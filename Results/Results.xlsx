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lagov\Dropbox\Paper Panel VAR replication\Results\"/>
    </mc:Choice>
  </mc:AlternateContent>
  <xr:revisionPtr revIDLastSave="0" documentId="8_{26E2CD1B-7DC7-457D-AA24-F9E20B329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36" r:id="rId1"/>
    <sheet name="rmsfe" sheetId="2" r:id="rId2"/>
    <sheet name="rmsfe_Pivot_T1" sheetId="16" r:id="rId3"/>
    <sheet name="rmsfe_Pivot_T4" sheetId="26" r:id="rId4"/>
    <sheet name="rmsfe_Pivot_T8" sheetId="28" r:id="rId5"/>
    <sheet name="T4" sheetId="27" r:id="rId6"/>
    <sheet name="T8" sheetId="29" r:id="rId7"/>
    <sheet name="T1" sheetId="25" r:id="rId8"/>
    <sheet name="pvalR" sheetId="4" r:id="rId9"/>
    <sheet name="pvalL" sheetId="6" r:id="rId10"/>
    <sheet name="min_rmsfe" sheetId="7" r:id="rId11"/>
    <sheet name="Names" sheetId="8" r:id="rId12"/>
    <sheet name="pvalR_true_false10" sheetId="18" r:id="rId13"/>
    <sheet name="pvalR_true_false05" sheetId="19" r:id="rId14"/>
    <sheet name="pvalL_true_false10" sheetId="20" r:id="rId15"/>
    <sheet name="pvalL_true_false05" sheetId="21" r:id="rId16"/>
    <sheet name="pvalLR_true_false10" sheetId="22" r:id="rId17"/>
    <sheet name="pvalLR_true_false05" sheetId="23" r:id="rId18"/>
    <sheet name="pvalLR" sheetId="24" r:id="rId19"/>
  </sheets>
  <definedNames>
    <definedName name="_xlnm._FilterDatabase" localSheetId="10" hidden="1">min_rmsfe!$A$1:$M$361</definedName>
    <definedName name="_xlnm._FilterDatabase" localSheetId="8" hidden="1">pvalR!$A$1:$M$271</definedName>
    <definedName name="_xlnm._FilterDatabase" localSheetId="1" hidden="1">rmsfe!$A$1:$M$271</definedName>
    <definedName name="modelNames">Names!$A$1:$B$19</definedName>
  </definedNames>
  <calcPr calcId="191029"/>
  <pivotCaches>
    <pivotCache cacheId="96" r:id="rId20"/>
    <pivotCache cacheId="97" r:id="rId21"/>
    <pivotCache cacheId="98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25" l="1"/>
  <c r="U24" i="25"/>
  <c r="R15" i="29"/>
  <c r="B29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B30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B31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B32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B11" i="29"/>
  <c r="C11" i="29"/>
  <c r="D11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B12" i="29"/>
  <c r="C12" i="29"/>
  <c r="D12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B20" i="29"/>
  <c r="C20" i="29"/>
  <c r="D20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B21" i="29"/>
  <c r="C21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B22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B32" i="27"/>
  <c r="C32" i="27"/>
  <c r="D32" i="27"/>
  <c r="E32" i="27"/>
  <c r="F32" i="27"/>
  <c r="G32" i="27"/>
  <c r="H32" i="27"/>
  <c r="I32" i="27"/>
  <c r="J32" i="27"/>
  <c r="K32" i="27"/>
  <c r="L32" i="27"/>
  <c r="M32" i="27"/>
  <c r="N32" i="27"/>
  <c r="O32" i="27"/>
  <c r="P32" i="27"/>
  <c r="Q32" i="27"/>
  <c r="R32" i="27"/>
  <c r="B30" i="27"/>
  <c r="C30" i="27"/>
  <c r="D30" i="27"/>
  <c r="E30" i="27"/>
  <c r="F30" i="27"/>
  <c r="G30" i="27"/>
  <c r="H30" i="27"/>
  <c r="I30" i="27"/>
  <c r="J30" i="27"/>
  <c r="K30" i="27"/>
  <c r="L30" i="27"/>
  <c r="M30" i="27"/>
  <c r="N30" i="27"/>
  <c r="O30" i="27"/>
  <c r="P30" i="27"/>
  <c r="Q30" i="27"/>
  <c r="R30" i="27"/>
  <c r="B31" i="27"/>
  <c r="C31" i="27"/>
  <c r="D31" i="27"/>
  <c r="E31" i="27"/>
  <c r="F31" i="27"/>
  <c r="G31" i="27"/>
  <c r="H31" i="27"/>
  <c r="I31" i="27"/>
  <c r="J31" i="27"/>
  <c r="K31" i="27"/>
  <c r="L31" i="27"/>
  <c r="M31" i="27"/>
  <c r="N31" i="27"/>
  <c r="O31" i="27"/>
  <c r="P31" i="27"/>
  <c r="Q31" i="27"/>
  <c r="R31" i="27"/>
  <c r="B21" i="27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B22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B12" i="27"/>
  <c r="C12" i="27"/>
  <c r="D12" i="27"/>
  <c r="E12" i="27"/>
  <c r="F12" i="27"/>
  <c r="G12" i="27"/>
  <c r="H12" i="27"/>
  <c r="I12" i="27"/>
  <c r="J12" i="27"/>
  <c r="K12" i="27"/>
  <c r="L12" i="27"/>
  <c r="M12" i="27"/>
  <c r="N12" i="27"/>
  <c r="O12" i="27"/>
  <c r="P12" i="27"/>
  <c r="Q12" i="27"/>
  <c r="R12" i="27"/>
  <c r="N362" i="19"/>
  <c r="N363" i="19"/>
  <c r="N364" i="19"/>
  <c r="N365" i="19"/>
  <c r="N366" i="19"/>
  <c r="N367" i="19"/>
  <c r="N368" i="19"/>
  <c r="N369" i="19"/>
  <c r="N370" i="19"/>
  <c r="N371" i="19"/>
  <c r="N372" i="19"/>
  <c r="N373" i="19"/>
  <c r="N374" i="19"/>
  <c r="N375" i="19"/>
  <c r="N376" i="19"/>
  <c r="N377" i="19"/>
  <c r="N378" i="19"/>
  <c r="N379" i="19"/>
  <c r="N380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396" i="19"/>
  <c r="N397" i="19"/>
  <c r="N398" i="19"/>
  <c r="N399" i="19"/>
  <c r="N400" i="19"/>
  <c r="N401" i="19"/>
  <c r="N402" i="19"/>
  <c r="N403" i="19"/>
  <c r="N404" i="19"/>
  <c r="N405" i="19"/>
  <c r="N406" i="19"/>
  <c r="N362" i="18"/>
  <c r="N363" i="18"/>
  <c r="N364" i="18"/>
  <c r="N365" i="18"/>
  <c r="N366" i="18"/>
  <c r="N367" i="18"/>
  <c r="N368" i="18"/>
  <c r="N369" i="18"/>
  <c r="N370" i="18"/>
  <c r="N371" i="18"/>
  <c r="N372" i="18"/>
  <c r="N373" i="18"/>
  <c r="N374" i="18"/>
  <c r="N375" i="18"/>
  <c r="N376" i="18"/>
  <c r="N377" i="18"/>
  <c r="N378" i="18"/>
  <c r="N379" i="18"/>
  <c r="N380" i="18"/>
  <c r="N381" i="18"/>
  <c r="N382" i="18"/>
  <c r="N383" i="18"/>
  <c r="N384" i="18"/>
  <c r="N385" i="18"/>
  <c r="N386" i="18"/>
  <c r="N387" i="18"/>
  <c r="N388" i="18"/>
  <c r="N389" i="18"/>
  <c r="N390" i="18"/>
  <c r="N391" i="18"/>
  <c r="N392" i="18"/>
  <c r="N393" i="18"/>
  <c r="N394" i="18"/>
  <c r="N395" i="18"/>
  <c r="N396" i="18"/>
  <c r="N397" i="18"/>
  <c r="N398" i="18"/>
  <c r="N399" i="18"/>
  <c r="N400" i="18"/>
  <c r="N401" i="18"/>
  <c r="N402" i="18"/>
  <c r="N403" i="18"/>
  <c r="N404" i="18"/>
  <c r="N405" i="18"/>
  <c r="N406" i="18"/>
  <c r="B31" i="25"/>
  <c r="C31" i="25"/>
  <c r="D31" i="25"/>
  <c r="E31" i="25"/>
  <c r="F31" i="25"/>
  <c r="G31" i="25"/>
  <c r="H31" i="25"/>
  <c r="I31" i="25"/>
  <c r="J31" i="25"/>
  <c r="K31" i="25"/>
  <c r="L31" i="25"/>
  <c r="M31" i="25"/>
  <c r="N31" i="25"/>
  <c r="O31" i="25"/>
  <c r="P31" i="25"/>
  <c r="Q31" i="25"/>
  <c r="R31" i="25"/>
  <c r="B32" i="25"/>
  <c r="C32" i="25"/>
  <c r="D32" i="25"/>
  <c r="E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R32" i="25"/>
  <c r="B21" i="25"/>
  <c r="C21" i="25"/>
  <c r="D21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B22" i="25"/>
  <c r="C22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B24" i="25"/>
  <c r="C24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P24" i="25"/>
  <c r="Q24" i="25"/>
  <c r="R24" i="25"/>
  <c r="B25" i="25"/>
  <c r="C25" i="25"/>
  <c r="D25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B26" i="25"/>
  <c r="C26" i="25"/>
  <c r="D26" i="25"/>
  <c r="E26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B27" i="25"/>
  <c r="C27" i="25"/>
  <c r="D27" i="25"/>
  <c r="E27" i="25"/>
  <c r="F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B28" i="25"/>
  <c r="C28" i="25"/>
  <c r="T28" i="25" s="1"/>
  <c r="D28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Q28" i="25"/>
  <c r="R28" i="25"/>
  <c r="B29" i="25"/>
  <c r="C29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B30" i="25"/>
  <c r="C30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B12" i="25"/>
  <c r="C12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T28" i="29" s="1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T18" i="29" s="1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B9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T8" i="29" s="1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T28" i="27" s="1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T18" i="27" s="1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B15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B14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B11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B8" i="27"/>
  <c r="T8" i="27" s="1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R20" i="25"/>
  <c r="R19" i="25"/>
  <c r="R18" i="25"/>
  <c r="R17" i="25"/>
  <c r="R16" i="25"/>
  <c r="R15" i="25"/>
  <c r="R14" i="25"/>
  <c r="R6" i="25"/>
  <c r="R7" i="25"/>
  <c r="R8" i="25"/>
  <c r="R9" i="25"/>
  <c r="R10" i="25"/>
  <c r="R11" i="25"/>
  <c r="R5" i="25"/>
  <c r="C5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C6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C7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C8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C9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C10" i="25"/>
  <c r="D10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C11" i="25"/>
  <c r="D11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C14" i="25"/>
  <c r="D14" i="25"/>
  <c r="E14" i="25"/>
  <c r="F14" i="25"/>
  <c r="G14" i="25"/>
  <c r="H14" i="25"/>
  <c r="I14" i="25"/>
  <c r="J14" i="25"/>
  <c r="K14" i="25"/>
  <c r="L14" i="25"/>
  <c r="M14" i="25"/>
  <c r="N14" i="25"/>
  <c r="O14" i="25"/>
  <c r="P14" i="25"/>
  <c r="Q14" i="25"/>
  <c r="C15" i="25"/>
  <c r="D15" i="25"/>
  <c r="E15" i="25"/>
  <c r="F15" i="25"/>
  <c r="G15" i="25"/>
  <c r="H15" i="25"/>
  <c r="I15" i="25"/>
  <c r="J15" i="25"/>
  <c r="K15" i="25"/>
  <c r="L15" i="25"/>
  <c r="M15" i="25"/>
  <c r="N15" i="25"/>
  <c r="O15" i="25"/>
  <c r="P15" i="25"/>
  <c r="Q15" i="25"/>
  <c r="C16" i="25"/>
  <c r="D16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Q16" i="25"/>
  <c r="C17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C18" i="25"/>
  <c r="D18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Q18" i="25"/>
  <c r="C19" i="25"/>
  <c r="D19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Q19" i="25"/>
  <c r="C20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D4" i="25"/>
  <c r="E4" i="25"/>
  <c r="F4" i="25"/>
  <c r="G4" i="25"/>
  <c r="H4" i="25"/>
  <c r="I4" i="25"/>
  <c r="J4" i="25"/>
  <c r="K4" i="25"/>
  <c r="L4" i="25"/>
  <c r="M4" i="25"/>
  <c r="N4" i="25"/>
  <c r="O4" i="25"/>
  <c r="P4" i="25"/>
  <c r="Q4" i="25"/>
  <c r="C4" i="25"/>
  <c r="B20" i="25"/>
  <c r="B19" i="25"/>
  <c r="T19" i="25" s="1"/>
  <c r="B18" i="25"/>
  <c r="T18" i="25" s="1"/>
  <c r="B17" i="25"/>
  <c r="B16" i="25"/>
  <c r="B15" i="25"/>
  <c r="B14" i="25"/>
  <c r="C2" i="25"/>
  <c r="D2" i="25"/>
  <c r="E2" i="25"/>
  <c r="F2" i="25"/>
  <c r="G2" i="25"/>
  <c r="H2" i="25"/>
  <c r="I2" i="25"/>
  <c r="J2" i="25"/>
  <c r="K2" i="25"/>
  <c r="L2" i="25"/>
  <c r="M2" i="25"/>
  <c r="N2" i="25"/>
  <c r="O2" i="25"/>
  <c r="P2" i="25"/>
  <c r="Q2" i="25"/>
  <c r="B4" i="25"/>
  <c r="B5" i="25"/>
  <c r="B6" i="25"/>
  <c r="B7" i="25"/>
  <c r="B8" i="25"/>
  <c r="T8" i="25" s="1"/>
  <c r="B9" i="25"/>
  <c r="B10" i="25"/>
  <c r="B11" i="25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N2" i="19"/>
  <c r="N361" i="18"/>
  <c r="N360" i="18"/>
  <c r="N359" i="18"/>
  <c r="N358" i="18"/>
  <c r="N357" i="18"/>
  <c r="N356" i="18"/>
  <c r="N355" i="18"/>
  <c r="N354" i="18"/>
  <c r="N353" i="18"/>
  <c r="N352" i="18"/>
  <c r="N351" i="18"/>
  <c r="N350" i="18"/>
  <c r="N349" i="18"/>
  <c r="N348" i="18"/>
  <c r="N347" i="18"/>
  <c r="N346" i="18"/>
  <c r="N345" i="18"/>
  <c r="N344" i="18"/>
  <c r="N343" i="18"/>
  <c r="N342" i="18"/>
  <c r="N341" i="18"/>
  <c r="N340" i="18"/>
  <c r="N339" i="18"/>
  <c r="N338" i="18"/>
  <c r="N337" i="18"/>
  <c r="N336" i="18"/>
  <c r="N335" i="18"/>
  <c r="N334" i="18"/>
  <c r="N333" i="18"/>
  <c r="N332" i="18"/>
  <c r="N331" i="18"/>
  <c r="N330" i="18"/>
  <c r="N329" i="18"/>
  <c r="N328" i="18"/>
  <c r="N327" i="18"/>
  <c r="N326" i="18"/>
  <c r="N325" i="18"/>
  <c r="N324" i="18"/>
  <c r="N323" i="18"/>
  <c r="N322" i="18"/>
  <c r="N321" i="18"/>
  <c r="N320" i="18"/>
  <c r="N319" i="18"/>
  <c r="N318" i="18"/>
  <c r="N317" i="18"/>
  <c r="N316" i="18"/>
  <c r="N315" i="18"/>
  <c r="N314" i="18"/>
  <c r="N313" i="18"/>
  <c r="N312" i="18"/>
  <c r="N311" i="18"/>
  <c r="N310" i="18"/>
  <c r="N309" i="18"/>
  <c r="N308" i="18"/>
  <c r="N307" i="18"/>
  <c r="N306" i="18"/>
  <c r="N305" i="18"/>
  <c r="N304" i="18"/>
  <c r="N303" i="18"/>
  <c r="N302" i="18"/>
  <c r="N301" i="18"/>
  <c r="N300" i="18"/>
  <c r="N299" i="18"/>
  <c r="N298" i="18"/>
  <c r="N297" i="18"/>
  <c r="N296" i="18"/>
  <c r="N295" i="18"/>
  <c r="N294" i="18"/>
  <c r="N293" i="18"/>
  <c r="N292" i="18"/>
  <c r="N291" i="18"/>
  <c r="N290" i="18"/>
  <c r="N289" i="18"/>
  <c r="N288" i="18"/>
  <c r="N287" i="18"/>
  <c r="N286" i="18"/>
  <c r="N285" i="18"/>
  <c r="N284" i="18"/>
  <c r="N283" i="18"/>
  <c r="N282" i="18"/>
  <c r="N281" i="18"/>
  <c r="N280" i="18"/>
  <c r="N279" i="18"/>
  <c r="N278" i="18"/>
  <c r="N277" i="18"/>
  <c r="N276" i="18"/>
  <c r="N275" i="18"/>
  <c r="N274" i="18"/>
  <c r="N273" i="18"/>
  <c r="N272" i="18"/>
  <c r="N271" i="18"/>
  <c r="N270" i="18"/>
  <c r="N269" i="18"/>
  <c r="N268" i="18"/>
  <c r="N267" i="18"/>
  <c r="N266" i="18"/>
  <c r="N265" i="18"/>
  <c r="N264" i="18"/>
  <c r="N263" i="18"/>
  <c r="N262" i="18"/>
  <c r="N261" i="18"/>
  <c r="N260" i="18"/>
  <c r="N259" i="18"/>
  <c r="N258" i="18"/>
  <c r="N257" i="18"/>
  <c r="N256" i="18"/>
  <c r="N255" i="18"/>
  <c r="N254" i="18"/>
  <c r="N253" i="18"/>
  <c r="N252" i="18"/>
  <c r="N251" i="18"/>
  <c r="N250" i="18"/>
  <c r="N249" i="18"/>
  <c r="N248" i="18"/>
  <c r="N247" i="18"/>
  <c r="N246" i="18"/>
  <c r="N245" i="18"/>
  <c r="N244" i="18"/>
  <c r="N243" i="18"/>
  <c r="N242" i="18"/>
  <c r="N241" i="18"/>
  <c r="N240" i="18"/>
  <c r="N239" i="18"/>
  <c r="N238" i="18"/>
  <c r="N237" i="18"/>
  <c r="N236" i="18"/>
  <c r="N235" i="18"/>
  <c r="N234" i="18"/>
  <c r="N233" i="18"/>
  <c r="N232" i="18"/>
  <c r="N231" i="18"/>
  <c r="N230" i="18"/>
  <c r="N229" i="18"/>
  <c r="N228" i="18"/>
  <c r="N227" i="18"/>
  <c r="N226" i="18"/>
  <c r="N225" i="18"/>
  <c r="N224" i="18"/>
  <c r="N223" i="18"/>
  <c r="N222" i="18"/>
  <c r="N221" i="18"/>
  <c r="N220" i="18"/>
  <c r="N219" i="18"/>
  <c r="N218" i="18"/>
  <c r="N217" i="18"/>
  <c r="N216" i="18"/>
  <c r="N215" i="18"/>
  <c r="N214" i="18"/>
  <c r="N213" i="18"/>
  <c r="N212" i="18"/>
  <c r="N211" i="18"/>
  <c r="N210" i="18"/>
  <c r="N209" i="18"/>
  <c r="N208" i="18"/>
  <c r="N207" i="18"/>
  <c r="N206" i="18"/>
  <c r="N205" i="18"/>
  <c r="N204" i="18"/>
  <c r="N203" i="18"/>
  <c r="N202" i="18"/>
  <c r="N201" i="18"/>
  <c r="N200" i="18"/>
  <c r="N199" i="18"/>
  <c r="N198" i="18"/>
  <c r="N197" i="18"/>
  <c r="N196" i="18"/>
  <c r="N195" i="18"/>
  <c r="N194" i="18"/>
  <c r="N193" i="18"/>
  <c r="N192" i="18"/>
  <c r="N191" i="18"/>
  <c r="N190" i="18"/>
  <c r="N189" i="18"/>
  <c r="N188" i="18"/>
  <c r="N187" i="18"/>
  <c r="N186" i="18"/>
  <c r="N185" i="18"/>
  <c r="N184" i="18"/>
  <c r="N183" i="18"/>
  <c r="N182" i="18"/>
  <c r="N181" i="18"/>
  <c r="N180" i="18"/>
  <c r="N179" i="18"/>
  <c r="N178" i="18"/>
  <c r="N177" i="18"/>
  <c r="N176" i="18"/>
  <c r="N175" i="18"/>
  <c r="N174" i="18"/>
  <c r="N173" i="18"/>
  <c r="N172" i="18"/>
  <c r="N171" i="18"/>
  <c r="N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20" i="18"/>
  <c r="N119" i="18"/>
  <c r="N118" i="18"/>
  <c r="N117" i="18"/>
  <c r="N116" i="18"/>
  <c r="N115" i="18"/>
  <c r="N114" i="18"/>
  <c r="N113" i="18"/>
  <c r="N112" i="18"/>
  <c r="N111" i="18"/>
  <c r="N110" i="18"/>
  <c r="N109" i="18"/>
  <c r="N108" i="18"/>
  <c r="N107" i="18"/>
  <c r="N106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N2" i="18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<sst xmlns="http://schemas.openxmlformats.org/spreadsheetml/2006/main" count="22935" uniqueCount="456">
  <si>
    <t>OriginalVariableNames</t>
  </si>
  <si>
    <t>y_DE_N15G3f_spec02</t>
  </si>
  <si>
    <t>y_DE_N15G3f_spec01</t>
  </si>
  <si>
    <t>y_DE_N15G3f_spec04</t>
  </si>
  <si>
    <t>y_DE_N15G3f_spec09</t>
  </si>
  <si>
    <t>y_FR_N15G3f_spec02</t>
  </si>
  <si>
    <t>y_FR_N15G3f_spec01</t>
  </si>
  <si>
    <t>y_FR_N15G3f_spec04</t>
  </si>
  <si>
    <t>y_FR_N15G3f_spec09</t>
  </si>
  <si>
    <t>y_IT_N15G3f_spec02</t>
  </si>
  <si>
    <t>y_IT_N15G3f_spec01</t>
  </si>
  <si>
    <t>y_IT_N15G3f_spec04</t>
  </si>
  <si>
    <t>y_IT_N15G3f_spec09</t>
  </si>
  <si>
    <t>y_GB_N15G3f_spec02</t>
  </si>
  <si>
    <t>y_GB_N15G3f_spec01</t>
  </si>
  <si>
    <t>y_GB_N15G3f_spec04</t>
  </si>
  <si>
    <t>y_GB_N15G3f_spec09</t>
  </si>
  <si>
    <t>y_US_N15G3f_spec02</t>
  </si>
  <si>
    <t>y_US_N15G3f_spec01</t>
  </si>
  <si>
    <t>y_US_N15G3f_spec04</t>
  </si>
  <si>
    <t>y_US_N15G3f_spec09</t>
  </si>
  <si>
    <t>y_CA_N15G3f_spec02</t>
  </si>
  <si>
    <t>y_CA_N15G3f_spec01</t>
  </si>
  <si>
    <t>y_CA_N15G3f_spec04</t>
  </si>
  <si>
    <t>y_CA_N15G3f_spec09</t>
  </si>
  <si>
    <t>y_AG_N15G3f_spec02</t>
  </si>
  <si>
    <t>y_AG_N15G3f_spec01</t>
  </si>
  <si>
    <t>y_AG_N15G3f_spec04</t>
  </si>
  <si>
    <t>y_AG_N15G3f_spec09</t>
  </si>
  <si>
    <t>y_BR_N15G3f_spec02</t>
  </si>
  <si>
    <t>y_BR_N15G3f_spec01</t>
  </si>
  <si>
    <t>y_BR_N15G3f_spec04</t>
  </si>
  <si>
    <t>y_BR_N15G3f_spec09</t>
  </si>
  <si>
    <t>y_MX_N15G3f_spec02</t>
  </si>
  <si>
    <t>y_MX_N15G3f_spec01</t>
  </si>
  <si>
    <t>y_MX_N15G3f_spec04</t>
  </si>
  <si>
    <t>y_MX_N15G3f_spec09</t>
  </si>
  <si>
    <t>y_CN_N15G3f_spec02</t>
  </si>
  <si>
    <t>y_CN_N15G3f_spec01</t>
  </si>
  <si>
    <t>y_CN_N15G3f_spec04</t>
  </si>
  <si>
    <t>y_CN_N15G3f_spec09</t>
  </si>
  <si>
    <t>y_JP_N15G3f_spec02</t>
  </si>
  <si>
    <t>y_JP_N15G3f_spec01</t>
  </si>
  <si>
    <t>y_JP_N15G3f_spec04</t>
  </si>
  <si>
    <t>y_JP_N15G3f_spec09</t>
  </si>
  <si>
    <t>y_AU_N15G3f_spec02</t>
  </si>
  <si>
    <t>y_AU_N15G3f_spec01</t>
  </si>
  <si>
    <t>y_AU_N15G3f_spec04</t>
  </si>
  <si>
    <t>y_AU_N15G3f_spec09</t>
  </si>
  <si>
    <t>y_AT_N15G3f_spec02</t>
  </si>
  <si>
    <t>y_AT_N15G3f_spec01</t>
  </si>
  <si>
    <t>y_AT_N15G3f_spec04</t>
  </si>
  <si>
    <t>y_AT_N15G3f_spec09</t>
  </si>
  <si>
    <t>y_IN_N15G3f_spec02</t>
  </si>
  <si>
    <t>y_IN_N15G3f_spec01</t>
  </si>
  <si>
    <t>y_IN_N15G3f_spec04</t>
  </si>
  <si>
    <t>y_IN_N15G3f_spec09</t>
  </si>
  <si>
    <t>y_CH_N15G3f_spec02</t>
  </si>
  <si>
    <t>y_CH_N15G3f_spec01</t>
  </si>
  <si>
    <t>y_CH_N15G3f_spec04</t>
  </si>
  <si>
    <t>y_CH_N15G3f_spec09</t>
  </si>
  <si>
    <t>Dp_DE_N15G3f_spec02</t>
  </si>
  <si>
    <t>Dp_DE_N15G3f_spec01</t>
  </si>
  <si>
    <t>Dp_DE_N15G3f_spec04</t>
  </si>
  <si>
    <t>Dp_DE_N15G3f_spec09</t>
  </si>
  <si>
    <t>Dp_FR_N15G3f_spec02</t>
  </si>
  <si>
    <t>Dp_FR_N15G3f_spec01</t>
  </si>
  <si>
    <t>Dp_FR_N15G3f_spec04</t>
  </si>
  <si>
    <t>Dp_FR_N15G3f_spec09</t>
  </si>
  <si>
    <t>Dp_IT_N15G3f_spec02</t>
  </si>
  <si>
    <t>Dp_IT_N15G3f_spec01</t>
  </si>
  <si>
    <t>Dp_IT_N15G3f_spec04</t>
  </si>
  <si>
    <t>Dp_IT_N15G3f_spec09</t>
  </si>
  <si>
    <t>Dp_GB_N15G3f_spec02</t>
  </si>
  <si>
    <t>Dp_GB_N15G3f_spec01</t>
  </si>
  <si>
    <t>Dp_GB_N15G3f_spec04</t>
  </si>
  <si>
    <t>Dp_GB_N15G3f_spec09</t>
  </si>
  <si>
    <t>Dp_US_N15G3f_spec02</t>
  </si>
  <si>
    <t>Dp_US_N15G3f_spec01</t>
  </si>
  <si>
    <t>Dp_US_N15G3f_spec04</t>
  </si>
  <si>
    <t>Dp_US_N15G3f_spec09</t>
  </si>
  <si>
    <t>Dp_CA_N15G3f_spec02</t>
  </si>
  <si>
    <t>Dp_CA_N15G3f_spec01</t>
  </si>
  <si>
    <t>Dp_CA_N15G3f_spec04</t>
  </si>
  <si>
    <t>Dp_CA_N15G3f_spec09</t>
  </si>
  <si>
    <t>Dp_AG_N15G3f_spec02</t>
  </si>
  <si>
    <t>Dp_AG_N15G3f_spec01</t>
  </si>
  <si>
    <t>Dp_AG_N15G3f_spec04</t>
  </si>
  <si>
    <t>Dp_AG_N15G3f_spec09</t>
  </si>
  <si>
    <t>Dp_BR_N15G3f_spec02</t>
  </si>
  <si>
    <t>Dp_BR_N15G3f_spec01</t>
  </si>
  <si>
    <t>Dp_BR_N15G3f_spec04</t>
  </si>
  <si>
    <t>Dp_BR_N15G3f_spec09</t>
  </si>
  <si>
    <t>Dp_MX_N15G3f_spec02</t>
  </si>
  <si>
    <t>Dp_MX_N15G3f_spec01</t>
  </si>
  <si>
    <t>Dp_MX_N15G3f_spec04</t>
  </si>
  <si>
    <t>Dp_MX_N15G3f_spec09</t>
  </si>
  <si>
    <t>Dp_CN_N15G3f_spec02</t>
  </si>
  <si>
    <t>Dp_CN_N15G3f_spec01</t>
  </si>
  <si>
    <t>Dp_CN_N15G3f_spec04</t>
  </si>
  <si>
    <t>Dp_CN_N15G3f_spec09</t>
  </si>
  <si>
    <t>Dp_JP_N15G3f_spec02</t>
  </si>
  <si>
    <t>Dp_JP_N15G3f_spec01</t>
  </si>
  <si>
    <t>Dp_JP_N15G3f_spec04</t>
  </si>
  <si>
    <t>Dp_JP_N15G3f_spec09</t>
  </si>
  <si>
    <t>Dp_AU_N15G3f_spec02</t>
  </si>
  <si>
    <t>Dp_AU_N15G3f_spec01</t>
  </si>
  <si>
    <t>Dp_AU_N15G3f_spec04</t>
  </si>
  <si>
    <t>Dp_AU_N15G3f_spec09</t>
  </si>
  <si>
    <t>Dp_AT_N15G3f_spec02</t>
  </si>
  <si>
    <t>Dp_AT_N15G3f_spec01</t>
  </si>
  <si>
    <t>Dp_AT_N15G3f_spec04</t>
  </si>
  <si>
    <t>Dp_AT_N15G3f_spec09</t>
  </si>
  <si>
    <t>Dp_IN_N15G3f_spec02</t>
  </si>
  <si>
    <t>Dp_IN_N15G3f_spec01</t>
  </si>
  <si>
    <t>Dp_IN_N15G3f_spec04</t>
  </si>
  <si>
    <t>Dp_IN_N15G3f_spec09</t>
  </si>
  <si>
    <t>Dp_CH_N15G3f_spec02</t>
  </si>
  <si>
    <t>Dp_CH_N15G3f_spec01</t>
  </si>
  <si>
    <t>Dp_CH_N15G3f_spec04</t>
  </si>
  <si>
    <t>Dp_CH_N15G3f_spec09</t>
  </si>
  <si>
    <t>r_DE_N15G3f_spec02</t>
  </si>
  <si>
    <t>r_DE_N15G3f_spec01</t>
  </si>
  <si>
    <t>r_DE_N15G3f_spec04</t>
  </si>
  <si>
    <t>r_DE_N15G3f_spec09</t>
  </si>
  <si>
    <t>r_FR_N15G3f_spec02</t>
  </si>
  <si>
    <t>r_FR_N15G3f_spec01</t>
  </si>
  <si>
    <t>r_FR_N15G3f_spec04</t>
  </si>
  <si>
    <t>r_FR_N15G3f_spec09</t>
  </si>
  <si>
    <t>r_IT_N15G3f_spec02</t>
  </si>
  <si>
    <t>r_IT_N15G3f_spec01</t>
  </si>
  <si>
    <t>r_IT_N15G3f_spec04</t>
  </si>
  <si>
    <t>r_IT_N15G3f_spec09</t>
  </si>
  <si>
    <t>r_GB_N15G3f_spec02</t>
  </si>
  <si>
    <t>r_GB_N15G3f_spec01</t>
  </si>
  <si>
    <t>r_GB_N15G3f_spec04</t>
  </si>
  <si>
    <t>r_GB_N15G3f_spec09</t>
  </si>
  <si>
    <t>r_US_N15G3f_spec02</t>
  </si>
  <si>
    <t>r_US_N15G3f_spec01</t>
  </si>
  <si>
    <t>r_US_N15G3f_spec04</t>
  </si>
  <si>
    <t>r_US_N15G3f_spec09</t>
  </si>
  <si>
    <t>r_CA_N15G3f_spec02</t>
  </si>
  <si>
    <t>r_CA_N15G3f_spec01</t>
  </si>
  <si>
    <t>r_CA_N15G3f_spec04</t>
  </si>
  <si>
    <t>r_CA_N15G3f_spec09</t>
  </si>
  <si>
    <t>r_AG_N15G3f_spec02</t>
  </si>
  <si>
    <t>r_AG_N15G3f_spec01</t>
  </si>
  <si>
    <t>r_AG_N15G3f_spec04</t>
  </si>
  <si>
    <t>r_AG_N15G3f_spec09</t>
  </si>
  <si>
    <t>r_BR_N15G3f_spec02</t>
  </si>
  <si>
    <t>r_BR_N15G3f_spec01</t>
  </si>
  <si>
    <t>r_BR_N15G3f_spec04</t>
  </si>
  <si>
    <t>r_BR_N15G3f_spec09</t>
  </si>
  <si>
    <t>r_BR_N15G3f_spec10</t>
  </si>
  <si>
    <t>r_MX_N15G3f_spec02</t>
  </si>
  <si>
    <t>r_MX_N15G3f_spec01</t>
  </si>
  <si>
    <t>r_MX_N15G3f_spec04</t>
  </si>
  <si>
    <t>r_MX_N15G3f_spec09</t>
  </si>
  <si>
    <t>r_MX_N15G3f_spec10</t>
  </si>
  <si>
    <t>r_CN_N15G3f_spec02</t>
  </si>
  <si>
    <t>r_CN_N15G3f_spec01</t>
  </si>
  <si>
    <t>r_CN_N15G3f_spec04</t>
  </si>
  <si>
    <t>r_CN_N15G3f_spec09</t>
  </si>
  <si>
    <t>r_CN_N15G3f_spec10</t>
  </si>
  <si>
    <t>r_JP_N15G3f_spec02</t>
  </si>
  <si>
    <t>r_JP_N15G3f_spec01</t>
  </si>
  <si>
    <t>r_JP_N15G3f_spec04</t>
  </si>
  <si>
    <t>r_JP_N15G3f_spec09</t>
  </si>
  <si>
    <t>r_JP_N15G3f_spec10</t>
  </si>
  <si>
    <t>r_AU_N15G3f_spec02</t>
  </si>
  <si>
    <t>r_AU_N15G3f_spec01</t>
  </si>
  <si>
    <t>r_AU_N15G3f_spec04</t>
  </si>
  <si>
    <t>r_AU_N15G3f_spec09</t>
  </si>
  <si>
    <t>r_AU_N15G3f_spec10</t>
  </si>
  <si>
    <t>r_AT_N15G3f_spec02</t>
  </si>
  <si>
    <t>r_AT_N15G3f_spec01</t>
  </si>
  <si>
    <t>r_AT_N15G3f_spec04</t>
  </si>
  <si>
    <t>r_AT_N15G3f_spec09</t>
  </si>
  <si>
    <t>r_AT_N15G3f_spec10</t>
  </si>
  <si>
    <t>r_IN_N15G3f_spec02</t>
  </si>
  <si>
    <t>r_IN_N15G3f_spec01</t>
  </si>
  <si>
    <t>r_IN_N15G3f_spec04</t>
  </si>
  <si>
    <t>r_IN_N15G3f_spec09</t>
  </si>
  <si>
    <t>r_IN_N15G3f_spec10</t>
  </si>
  <si>
    <t>r_CH_N15G3f_spec02</t>
  </si>
  <si>
    <t>r_CH_N15G3f_spec01</t>
  </si>
  <si>
    <t>r_CH_N15G3f_spec04</t>
  </si>
  <si>
    <t>r_CH_N15G3f_spec09</t>
  </si>
  <si>
    <t>r_CH_N15G3f_spec10</t>
  </si>
  <si>
    <t>T_1</t>
  </si>
  <si>
    <t>T_2</t>
  </si>
  <si>
    <t>T_3</t>
  </si>
  <si>
    <t>T_4</t>
  </si>
  <si>
    <t>T_5</t>
  </si>
  <si>
    <t>T_6</t>
  </si>
  <si>
    <t>T_7</t>
  </si>
  <si>
    <t>T_8</t>
  </si>
  <si>
    <t>varcell</t>
  </si>
  <si>
    <t>y</t>
  </si>
  <si>
    <t>Dp</t>
  </si>
  <si>
    <t>r</t>
  </si>
  <si>
    <t>speccell</t>
  </si>
  <si>
    <t>spec02</t>
  </si>
  <si>
    <t>spec01</t>
  </si>
  <si>
    <t>spec04</t>
  </si>
  <si>
    <t>spec05</t>
  </si>
  <si>
    <t>spec09</t>
  </si>
  <si>
    <t>spec10</t>
  </si>
  <si>
    <t>cuntcell</t>
  </si>
  <si>
    <t>DE</t>
  </si>
  <si>
    <t>FR</t>
  </si>
  <si>
    <t>IT</t>
  </si>
  <si>
    <t>GB</t>
  </si>
  <si>
    <t>US</t>
  </si>
  <si>
    <t>CA</t>
  </si>
  <si>
    <t>AG</t>
  </si>
  <si>
    <t>BR</t>
  </si>
  <si>
    <t>MX</t>
  </si>
  <si>
    <t>CN</t>
  </si>
  <si>
    <t>JP</t>
  </si>
  <si>
    <t>AU</t>
  </si>
  <si>
    <t>AT</t>
  </si>
  <si>
    <t>IN</t>
  </si>
  <si>
    <t>CH</t>
  </si>
  <si>
    <t>dataspeccell</t>
  </si>
  <si>
    <t>N15G3f</t>
  </si>
  <si>
    <t>spec18</t>
  </si>
  <si>
    <t>Row Labels</t>
  </si>
  <si>
    <t>Column Labels</t>
  </si>
  <si>
    <t>Row</t>
  </si>
  <si>
    <t>name</t>
  </si>
  <si>
    <t>pVAR_main</t>
  </si>
  <si>
    <t>BVAR_Minn</t>
  </si>
  <si>
    <t>spec03</t>
  </si>
  <si>
    <t>pVAR_pooling</t>
  </si>
  <si>
    <t>BVAR_Chan</t>
  </si>
  <si>
    <t>BVAR_MinnFlex</t>
  </si>
  <si>
    <t>spec06</t>
  </si>
  <si>
    <t>pVAR_pooltau</t>
  </si>
  <si>
    <t>spec07</t>
  </si>
  <si>
    <t>KK_BFCS</t>
  </si>
  <si>
    <t>spec08</t>
  </si>
  <si>
    <t>KK_SSSS</t>
  </si>
  <si>
    <t>KK_BMS</t>
  </si>
  <si>
    <t>KK_CC</t>
  </si>
  <si>
    <t>spec11</t>
  </si>
  <si>
    <t>pVAR_main_01</t>
  </si>
  <si>
    <t>spec12</t>
  </si>
  <si>
    <t>pVAR_main_001</t>
  </si>
  <si>
    <t>spec13</t>
  </si>
  <si>
    <t>pVAR_main_0001</t>
  </si>
  <si>
    <t>spec14</t>
  </si>
  <si>
    <t>pVAR_main_old_T</t>
  </si>
  <si>
    <t>spec15</t>
  </si>
  <si>
    <t>pVAR_main_old_HC</t>
  </si>
  <si>
    <t>spec16</t>
  </si>
  <si>
    <t>BVAR_Minn_Hierachical</t>
  </si>
  <si>
    <t>spec17</t>
  </si>
  <si>
    <t>Chan_orig</t>
  </si>
  <si>
    <t>Jarocinski</t>
  </si>
  <si>
    <t>modelname</t>
  </si>
  <si>
    <t>y_DE_N15G3f_spec10</t>
  </si>
  <si>
    <t>y_FR_N15G3f_spec10</t>
  </si>
  <si>
    <t>y_IT_N15G3f_spec10</t>
  </si>
  <si>
    <t>y_GB_N15G3f_spec10</t>
  </si>
  <si>
    <t>y_US_N15G3f_spec10</t>
  </si>
  <si>
    <t>y_CA_N15G3f_spec10</t>
  </si>
  <si>
    <t>y_AG_N15G3f_spec10</t>
  </si>
  <si>
    <t>y_BR_N15G3f_spec10</t>
  </si>
  <si>
    <t>y_MX_N15G3f_spec10</t>
  </si>
  <si>
    <t>y_CN_N15G3f_spec10</t>
  </si>
  <si>
    <t>y_JP_N15G3f_spec10</t>
  </si>
  <si>
    <t>y_AU_N15G3f_spec10</t>
  </si>
  <si>
    <t>y_AT_N15G3f_spec10</t>
  </si>
  <si>
    <t>y_IN_N15G3f_spec10</t>
  </si>
  <si>
    <t>y_CH_N15G3f_spec10</t>
  </si>
  <si>
    <t>Dp_DE_N15G3f_spec10</t>
  </si>
  <si>
    <t>Dp_FR_N15G3f_spec10</t>
  </si>
  <si>
    <t>Dp_IT_N15G3f_spec10</t>
  </si>
  <si>
    <t>Dp_GB_N15G3f_spec10</t>
  </si>
  <si>
    <t>Dp_US_N15G3f_spec10</t>
  </si>
  <si>
    <t>Dp_CA_N15G3f_spec10</t>
  </si>
  <si>
    <t>Dp_AG_N15G3f_spec10</t>
  </si>
  <si>
    <t>Dp_BR_N15G3f_spec10</t>
  </si>
  <si>
    <t>Dp_MX_N15G3f_spec10</t>
  </si>
  <si>
    <t>Dp_CN_N15G3f_spec10</t>
  </si>
  <si>
    <t>Dp_JP_N15G3f_spec10</t>
  </si>
  <si>
    <t>Dp_AU_N15G3f_spec10</t>
  </si>
  <si>
    <t>Dp_AT_N15G3f_spec10</t>
  </si>
  <si>
    <t>Dp_IN_N15G3f_spec10</t>
  </si>
  <si>
    <t>Dp_CH_N15G3f_spec10</t>
  </si>
  <si>
    <t>r_DE_N15G3f_spec10</t>
  </si>
  <si>
    <t>r_FR_N15G3f_spec10</t>
  </si>
  <si>
    <t>r_IT_N15G3f_spec10</t>
  </si>
  <si>
    <t>r_GB_N15G3f_spec10</t>
  </si>
  <si>
    <t>r_US_N15G3f_spec10</t>
  </si>
  <si>
    <t>r_CA_N15G3f_spec10</t>
  </si>
  <si>
    <t>r_AG_N15G3f_spec10</t>
  </si>
  <si>
    <t>y_DE_N15G3f_spec07</t>
  </si>
  <si>
    <t>y_DE_N15G3f_spec08</t>
  </si>
  <si>
    <t>y_DE_N15G3f_spec03</t>
  </si>
  <si>
    <t>y_FR_N15G3f_spec07</t>
  </si>
  <si>
    <t>y_FR_N15G3f_spec08</t>
  </si>
  <si>
    <t>y_FR_N15G3f_spec03</t>
  </si>
  <si>
    <t>y_IT_N15G3f_spec07</t>
  </si>
  <si>
    <t>y_IT_N15G3f_spec08</t>
  </si>
  <si>
    <t>y_IT_N15G3f_spec03</t>
  </si>
  <si>
    <t>y_GB_N15G3f_spec07</t>
  </si>
  <si>
    <t>y_GB_N15G3f_spec08</t>
  </si>
  <si>
    <t>y_GB_N15G3f_spec03</t>
  </si>
  <si>
    <t>y_US_N15G3f_spec07</t>
  </si>
  <si>
    <t>y_US_N15G3f_spec08</t>
  </si>
  <si>
    <t>y_US_N15G3f_spec03</t>
  </si>
  <si>
    <t>y_CA_N15G3f_spec07</t>
  </si>
  <si>
    <t>y_CA_N15G3f_spec08</t>
  </si>
  <si>
    <t>y_CA_N15G3f_spec03</t>
  </si>
  <si>
    <t>y_AG_N15G3f_spec07</t>
  </si>
  <si>
    <t>y_AG_N15G3f_spec08</t>
  </si>
  <si>
    <t>y_AG_N15G3f_spec03</t>
  </si>
  <si>
    <t>y_BR_N15G3f_spec07</t>
  </si>
  <si>
    <t>y_BR_N15G3f_spec08</t>
  </si>
  <si>
    <t>y_BR_N15G3f_spec03</t>
  </si>
  <si>
    <t>y_MX_N15G3f_spec07</t>
  </si>
  <si>
    <t>y_MX_N15G3f_spec08</t>
  </si>
  <si>
    <t>y_MX_N15G3f_spec03</t>
  </si>
  <si>
    <t>y_CN_N15G3f_spec07</t>
  </si>
  <si>
    <t>y_CN_N15G3f_spec08</t>
  </si>
  <si>
    <t>y_CN_N15G3f_spec03</t>
  </si>
  <si>
    <t>y_JP_N15G3f_spec07</t>
  </si>
  <si>
    <t>y_JP_N15G3f_spec08</t>
  </si>
  <si>
    <t>y_JP_N15G3f_spec03</t>
  </si>
  <si>
    <t>y_AU_N15G3f_spec07</t>
  </si>
  <si>
    <t>y_AU_N15G3f_spec08</t>
  </si>
  <si>
    <t>y_AU_N15G3f_spec03</t>
  </si>
  <si>
    <t>y_AT_N15G3f_spec07</t>
  </si>
  <si>
    <t>y_AT_N15G3f_spec08</t>
  </si>
  <si>
    <t>y_AT_N15G3f_spec03</t>
  </si>
  <si>
    <t>y_IN_N15G3f_spec07</t>
  </si>
  <si>
    <t>y_IN_N15G3f_spec08</t>
  </si>
  <si>
    <t>y_IN_N15G3f_spec03</t>
  </si>
  <si>
    <t>y_CH_N15G3f_spec07</t>
  </si>
  <si>
    <t>y_CH_N15G3f_spec08</t>
  </si>
  <si>
    <t>y_CH_N15G3f_spec03</t>
  </si>
  <si>
    <t>Dp_DE_N15G3f_spec07</t>
  </si>
  <si>
    <t>Dp_DE_N15G3f_spec08</t>
  </si>
  <si>
    <t>Dp_DE_N15G3f_spec03</t>
  </si>
  <si>
    <t>Dp_FR_N15G3f_spec07</t>
  </si>
  <si>
    <t>Dp_FR_N15G3f_spec08</t>
  </si>
  <si>
    <t>Dp_FR_N15G3f_spec03</t>
  </si>
  <si>
    <t>Dp_IT_N15G3f_spec07</t>
  </si>
  <si>
    <t>Dp_IT_N15G3f_spec08</t>
  </si>
  <si>
    <t>Dp_IT_N15G3f_spec03</t>
  </si>
  <si>
    <t>Dp_GB_N15G3f_spec07</t>
  </si>
  <si>
    <t>Dp_GB_N15G3f_spec08</t>
  </si>
  <si>
    <t>Dp_GB_N15G3f_spec03</t>
  </si>
  <si>
    <t>Dp_US_N15G3f_spec07</t>
  </si>
  <si>
    <t>Dp_US_N15G3f_spec08</t>
  </si>
  <si>
    <t>Dp_US_N15G3f_spec03</t>
  </si>
  <si>
    <t>Dp_CA_N15G3f_spec07</t>
  </si>
  <si>
    <t>Dp_CA_N15G3f_spec08</t>
  </si>
  <si>
    <t>Dp_CA_N15G3f_spec03</t>
  </si>
  <si>
    <t>Dp_AG_N15G3f_spec07</t>
  </si>
  <si>
    <t>Dp_AG_N15G3f_spec08</t>
  </si>
  <si>
    <t>Dp_AG_N15G3f_spec03</t>
  </si>
  <si>
    <t>Dp_BR_N15G3f_spec07</t>
  </si>
  <si>
    <t>Dp_BR_N15G3f_spec08</t>
  </si>
  <si>
    <t>Dp_BR_N15G3f_spec03</t>
  </si>
  <si>
    <t>Dp_MX_N15G3f_spec07</t>
  </si>
  <si>
    <t>Dp_MX_N15G3f_spec08</t>
  </si>
  <si>
    <t>Dp_MX_N15G3f_spec03</t>
  </si>
  <si>
    <t>Dp_CN_N15G3f_spec07</t>
  </si>
  <si>
    <t>Dp_CN_N15G3f_spec08</t>
  </si>
  <si>
    <t>Dp_CN_N15G3f_spec03</t>
  </si>
  <si>
    <t>Dp_JP_N15G3f_spec07</t>
  </si>
  <si>
    <t>Dp_JP_N15G3f_spec08</t>
  </si>
  <si>
    <t>Dp_JP_N15G3f_spec03</t>
  </si>
  <si>
    <t>Dp_AU_N15G3f_spec07</t>
  </si>
  <si>
    <t>Dp_AU_N15G3f_spec08</t>
  </si>
  <si>
    <t>Dp_AU_N15G3f_spec03</t>
  </si>
  <si>
    <t>Dp_AT_N15G3f_spec07</t>
  </si>
  <si>
    <t>Dp_AT_N15G3f_spec08</t>
  </si>
  <si>
    <t>Dp_AT_N15G3f_spec03</t>
  </si>
  <si>
    <t>Dp_IN_N15G3f_spec07</t>
  </si>
  <si>
    <t>Dp_IN_N15G3f_spec08</t>
  </si>
  <si>
    <t>Dp_IN_N15G3f_spec03</t>
  </si>
  <si>
    <t>Dp_CH_N15G3f_spec07</t>
  </si>
  <si>
    <t>Dp_CH_N15G3f_spec08</t>
  </si>
  <si>
    <t>Dp_CH_N15G3f_spec03</t>
  </si>
  <si>
    <t>r_DE_N15G3f_spec07</t>
  </si>
  <si>
    <t>r_DE_N15G3f_spec08</t>
  </si>
  <si>
    <t>r_DE_N15G3f_spec03</t>
  </si>
  <si>
    <t>r_FR_N15G3f_spec07</t>
  </si>
  <si>
    <t>r_FR_N15G3f_spec08</t>
  </si>
  <si>
    <t>r_FR_N15G3f_spec03</t>
  </si>
  <si>
    <t>r_IT_N15G3f_spec07</t>
  </si>
  <si>
    <t>r_IT_N15G3f_spec08</t>
  </si>
  <si>
    <t>r_IT_N15G3f_spec03</t>
  </si>
  <si>
    <t>r_GB_N15G3f_spec07</t>
  </si>
  <si>
    <t>r_GB_N15G3f_spec08</t>
  </si>
  <si>
    <t>r_GB_N15G3f_spec03</t>
  </si>
  <si>
    <t>r_US_N15G3f_spec07</t>
  </si>
  <si>
    <t>r_US_N15G3f_spec08</t>
  </si>
  <si>
    <t>r_US_N15G3f_spec03</t>
  </si>
  <si>
    <t>r_CA_N15G3f_spec07</t>
  </si>
  <si>
    <t>r_CA_N15G3f_spec08</t>
  </si>
  <si>
    <t>r_CA_N15G3f_spec03</t>
  </si>
  <si>
    <t>r_AG_N15G3f_spec07</t>
  </si>
  <si>
    <t>r_AG_N15G3f_spec08</t>
  </si>
  <si>
    <t>r_AG_N15G3f_spec03</t>
  </si>
  <si>
    <t>r_BR_N15G3f_spec07</t>
  </si>
  <si>
    <t>r_BR_N15G3f_spec08</t>
  </si>
  <si>
    <t>r_BR_N15G3f_spec03</t>
  </si>
  <si>
    <t>r_MX_N15G3f_spec07</t>
  </si>
  <si>
    <t>r_MX_N15G3f_spec08</t>
  </si>
  <si>
    <t>r_MX_N15G3f_spec03</t>
  </si>
  <si>
    <t>r_CN_N15G3f_spec07</t>
  </si>
  <si>
    <t>r_CN_N15G3f_spec08</t>
  </si>
  <si>
    <t>r_CN_N15G3f_spec03</t>
  </si>
  <si>
    <t>r_JP_N15G3f_spec07</t>
  </si>
  <si>
    <t>r_JP_N15G3f_spec08</t>
  </si>
  <si>
    <t>r_JP_N15G3f_spec03</t>
  </si>
  <si>
    <t>r_AU_N15G3f_spec07</t>
  </si>
  <si>
    <t>r_AU_N15G3f_spec08</t>
  </si>
  <si>
    <t>r_AU_N15G3f_spec03</t>
  </si>
  <si>
    <t>r_AT_N15G3f_spec07</t>
  </si>
  <si>
    <t>r_AT_N15G3f_spec08</t>
  </si>
  <si>
    <t>r_AT_N15G3f_spec03</t>
  </si>
  <si>
    <t>r_IN_N15G3f_spec07</t>
  </si>
  <si>
    <t>r_IN_N15G3f_spec08</t>
  </si>
  <si>
    <t>r_IN_N15G3f_spec03</t>
  </si>
  <si>
    <t>r_CH_N15G3f_spec07</t>
  </si>
  <si>
    <t>r_CH_N15G3f_spec08</t>
  </si>
  <si>
    <t>r_CH_N15G3f_spec03</t>
  </si>
  <si>
    <t>Sum of T_1</t>
  </si>
  <si>
    <t>Grand Total</t>
  </si>
  <si>
    <t xml:space="preserve"> </t>
  </si>
  <si>
    <t>Sum of T_8</t>
  </si>
  <si>
    <t>Sum of T_4</t>
  </si>
  <si>
    <t>POOL</t>
  </si>
  <si>
    <t>BFCS</t>
  </si>
  <si>
    <t>SSSS</t>
  </si>
  <si>
    <t>BMS</t>
  </si>
  <si>
    <t>CC</t>
  </si>
  <si>
    <t>GDP</t>
  </si>
  <si>
    <t>Inflation</t>
  </si>
  <si>
    <t>Interest rate</t>
  </si>
  <si>
    <t>ZS\&amp;POOL</t>
  </si>
  <si>
    <t>ZS</t>
  </si>
  <si>
    <t>ZSGL</t>
  </si>
  <si>
    <t>r_JP_N15G3f_spec18</t>
  </si>
  <si>
    <t>r_AU_N15G3f_spec18</t>
  </si>
  <si>
    <t>r_AT_N15G3f_spec18</t>
  </si>
  <si>
    <t>r_IN_N15G3f_spec18</t>
  </si>
  <si>
    <t>r_CH_N15G3f_spec18</t>
  </si>
  <si>
    <t>J</t>
  </si>
  <si>
    <t xml:space="preserve">Once you have ran Main_Section_5.m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</si>
</sst>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0" borderId="0" xfId="0" applyFont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6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gov, Boris" refreshedDate="46105.628113773149" createdVersion="8" refreshedVersion="8" minRefreshableVersion="3" recordCount="405" xr:uid="{09712D55-9A2A-444E-9E0B-EE2812A7B2C3}">
  <cacheSource type="worksheet">
    <worksheetSource ref="A1:N406" sheet="rmsfe"/>
  </cacheSource>
  <cacheFields count="14">
    <cacheField name="OriginalVariableNames" numFmtId="0">
      <sharedItems/>
    </cacheField>
    <cacheField name="T_1" numFmtId="0">
      <sharedItems containsSemiMixedTypes="0" containsString="0" containsNumber="1" minValue="0.19772092725138052" maxValue="9.5354482643240637"/>
    </cacheField>
    <cacheField name="T_2" numFmtId="0">
      <sharedItems containsSemiMixedTypes="0" containsString="0" containsNumber="1" minValue="0.17007600340603202" maxValue="8.3778113402838983"/>
    </cacheField>
    <cacheField name="T_3" numFmtId="0">
      <sharedItems containsSemiMixedTypes="0" containsString="0" containsNumber="1" minValue="0.16090134916277279" maxValue="8.4213514136860237"/>
    </cacheField>
    <cacheField name="T_4" numFmtId="0">
      <sharedItems containsSemiMixedTypes="0" containsString="0" containsNumber="1" minValue="0.16462727754002865" maxValue="8.3450528144810985"/>
    </cacheField>
    <cacheField name="T_5" numFmtId="0">
      <sharedItems containsSemiMixedTypes="0" containsString="0" containsNumber="1" minValue="0.15003585596825195" maxValue="8.3588388139697365"/>
    </cacheField>
    <cacheField name="T_6" numFmtId="0">
      <sharedItems containsSemiMixedTypes="0" containsString="0" containsNumber="1" minValue="0.14483087536964573" maxValue="8.3249517767416403"/>
    </cacheField>
    <cacheField name="T_7" numFmtId="0">
      <sharedItems containsSemiMixedTypes="0" containsString="0" containsNumber="1" minValue="0.14317506265432933" maxValue="8.3383142395957375"/>
    </cacheField>
    <cacheField name="T_8" numFmtId="0">
      <sharedItems containsSemiMixedTypes="0" containsString="0" containsNumber="1" minValue="0.14802812441151317" maxValue="8.3389601036031493"/>
    </cacheField>
    <cacheField name="varcell" numFmtId="0">
      <sharedItems count="3">
        <s v="y"/>
        <s v="Dp"/>
        <s v="r"/>
      </sharedItems>
    </cacheField>
    <cacheField name="speccell" numFmtId="0">
      <sharedItems/>
    </cacheField>
    <cacheField name="cuntcell" numFmtId="0">
      <sharedItems count="15">
        <s v="DE"/>
        <s v="FR"/>
        <s v="IT"/>
        <s v="GB"/>
        <s v="US"/>
        <s v="CA"/>
        <s v="AG"/>
        <s v="BR"/>
        <s v="MX"/>
        <s v="CN"/>
        <s v="JP"/>
        <s v="AU"/>
        <s v="AT"/>
        <s v="IN"/>
        <s v="CH"/>
      </sharedItems>
    </cacheField>
    <cacheField name="dataspeccell" numFmtId="0">
      <sharedItems/>
    </cacheField>
    <cacheField name="modelname" numFmtId="0">
      <sharedItems count="9">
        <s v="ZS"/>
        <s v="ZS\&amp;POOL"/>
        <s v="ZSGL"/>
        <s v="BFCS"/>
        <s v="SSSS"/>
        <s v="BMS"/>
        <s v="CC"/>
        <s v="POOL"/>
        <s v="J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gov, Boris" refreshedDate="46105.628114120373" createdVersion="8" refreshedVersion="8" minRefreshableVersion="3" recordCount="405" xr:uid="{2F8A06A6-0980-459E-98D0-78DA468DDC4E}">
  <cacheSource type="worksheet">
    <worksheetSource ref="A1:N406" sheet="pvalR_true_false10"/>
  </cacheSource>
  <cacheFields count="14">
    <cacheField name="OriginalVariableNames" numFmtId="0">
      <sharedItems/>
    </cacheField>
    <cacheField name="T_1" numFmtId="0">
      <sharedItems containsSemiMixedTypes="0" containsString="0" containsNumber="1" containsInteger="1" minValue="0" maxValue="1"/>
    </cacheField>
    <cacheField name="T_2" numFmtId="0">
      <sharedItems containsSemiMixedTypes="0" containsString="0" containsNumber="1" containsInteger="1" minValue="0" maxValue="1"/>
    </cacheField>
    <cacheField name="T_3" numFmtId="0">
      <sharedItems containsSemiMixedTypes="0" containsString="0" containsNumber="1" containsInteger="1" minValue="0" maxValue="1"/>
    </cacheField>
    <cacheField name="T_4" numFmtId="0">
      <sharedItems containsSemiMixedTypes="0" containsString="0" containsNumber="1" containsInteger="1" minValue="0" maxValue="1"/>
    </cacheField>
    <cacheField name="T_5" numFmtId="0">
      <sharedItems containsSemiMixedTypes="0" containsString="0" containsNumber="1" containsInteger="1" minValue="0" maxValue="1"/>
    </cacheField>
    <cacheField name="T_6" numFmtId="0">
      <sharedItems containsSemiMixedTypes="0" containsString="0" containsNumber="1" containsInteger="1" minValue="0" maxValue="1"/>
    </cacheField>
    <cacheField name="T_7" numFmtId="0">
      <sharedItems containsSemiMixedTypes="0" containsString="0" containsNumber="1" containsInteger="1" minValue="0" maxValue="1"/>
    </cacheField>
    <cacheField name="T_8" numFmtId="0">
      <sharedItems containsSemiMixedTypes="0" containsString="0" containsNumber="1" containsInteger="1" minValue="0" maxValue="1"/>
    </cacheField>
    <cacheField name="varcell" numFmtId="0">
      <sharedItems count="3">
        <s v="y"/>
        <s v="Dp"/>
        <s v="r"/>
      </sharedItems>
    </cacheField>
    <cacheField name="speccell" numFmtId="0">
      <sharedItems/>
    </cacheField>
    <cacheField name="cuntcell" numFmtId="0">
      <sharedItems count="15">
        <s v="DE"/>
        <s v="FR"/>
        <s v="IT"/>
        <s v="GB"/>
        <s v="US"/>
        <s v="CA"/>
        <s v="AG"/>
        <s v="BR"/>
        <s v="MX"/>
        <s v="CN"/>
        <s v="JP"/>
        <s v="AU"/>
        <s v="AT"/>
        <s v="IN"/>
        <s v="CH"/>
      </sharedItems>
    </cacheField>
    <cacheField name="dataspeccell" numFmtId="0">
      <sharedItems/>
    </cacheField>
    <cacheField name="modelname" numFmtId="0">
      <sharedItems containsBlank="1" count="10">
        <s v="ZS"/>
        <s v="ZS\&amp;POOL"/>
        <s v="ZSGL"/>
        <s v="BFCS"/>
        <s v="SSSS"/>
        <s v="BMS"/>
        <s v="CC"/>
        <s v="POOL"/>
        <s v="J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agov, Boris" refreshedDate="46105.62811435185" createdVersion="8" refreshedVersion="8" minRefreshableVersion="3" recordCount="404" xr:uid="{F687F248-3423-42A4-A768-77F3FBA12248}">
  <cacheSource type="worksheet">
    <worksheetSource ref="A1:N405" sheet="pvalR_true_false05"/>
  </cacheSource>
  <cacheFields count="14">
    <cacheField name="OriginalVariableNames" numFmtId="0">
      <sharedItems/>
    </cacheField>
    <cacheField name="T_1" numFmtId="0">
      <sharedItems containsSemiMixedTypes="0" containsString="0" containsNumber="1" containsInteger="1" minValue="0" maxValue="1"/>
    </cacheField>
    <cacheField name="T_2" numFmtId="0">
      <sharedItems containsSemiMixedTypes="0" containsString="0" containsNumber="1" containsInteger="1" minValue="0" maxValue="1"/>
    </cacheField>
    <cacheField name="T_3" numFmtId="0">
      <sharedItems containsSemiMixedTypes="0" containsString="0" containsNumber="1" containsInteger="1" minValue="0" maxValue="1"/>
    </cacheField>
    <cacheField name="T_4" numFmtId="0">
      <sharedItems containsSemiMixedTypes="0" containsString="0" containsNumber="1" containsInteger="1" minValue="0" maxValue="1"/>
    </cacheField>
    <cacheField name="T_5" numFmtId="0">
      <sharedItems containsSemiMixedTypes="0" containsString="0" containsNumber="1" containsInteger="1" minValue="0" maxValue="1"/>
    </cacheField>
    <cacheField name="T_6" numFmtId="0">
      <sharedItems containsSemiMixedTypes="0" containsString="0" containsNumber="1" containsInteger="1" minValue="0" maxValue="1"/>
    </cacheField>
    <cacheField name="T_7" numFmtId="0">
      <sharedItems containsSemiMixedTypes="0" containsString="0" containsNumber="1" containsInteger="1" minValue="0" maxValue="1"/>
    </cacheField>
    <cacheField name="T_8" numFmtId="0">
      <sharedItems containsSemiMixedTypes="0" containsString="0" containsNumber="1" containsInteger="1" minValue="0" maxValue="1"/>
    </cacheField>
    <cacheField name="varcell" numFmtId="0">
      <sharedItems count="3">
        <s v="y"/>
        <s v="Dp"/>
        <s v="r"/>
      </sharedItems>
    </cacheField>
    <cacheField name="speccell" numFmtId="0">
      <sharedItems/>
    </cacheField>
    <cacheField name="cuntcell" numFmtId="0">
      <sharedItems count="15">
        <s v="DE"/>
        <s v="FR"/>
        <s v="IT"/>
        <s v="GB"/>
        <s v="US"/>
        <s v="CA"/>
        <s v="AG"/>
        <s v="BR"/>
        <s v="MX"/>
        <s v="CN"/>
        <s v="JP"/>
        <s v="AU"/>
        <s v="AT"/>
        <s v="IN"/>
        <s v="CH"/>
      </sharedItems>
    </cacheField>
    <cacheField name="dataspeccell" numFmtId="0">
      <sharedItems/>
    </cacheField>
    <cacheField name="modelname" numFmtId="0">
      <sharedItems count="9">
        <s v="ZS"/>
        <s v="ZS\&amp;POOL"/>
        <s v="ZSGL"/>
        <s v="BFCS"/>
        <s v="SSSS"/>
        <s v="BMS"/>
        <s v="CC"/>
        <s v="POOL"/>
        <s v="J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s v="y_DE_N15G3f_spec02"/>
    <n v="1"/>
    <n v="1"/>
    <n v="1"/>
    <n v="1"/>
    <n v="1"/>
    <n v="1"/>
    <n v="1"/>
    <n v="1"/>
    <x v="0"/>
    <s v="spec02"/>
    <x v="0"/>
    <s v="N15G3f"/>
    <x v="0"/>
  </r>
  <r>
    <s v="y_DE_N15G3f_spec01"/>
    <n v="0.96808741543948251"/>
    <n v="0.97581140015587975"/>
    <n v="0.97750373255030731"/>
    <n v="0.97031982676536765"/>
    <n v="0.97183517853120749"/>
    <n v="0.97991976367860945"/>
    <n v="0.98679952747080379"/>
    <n v="0.98557723968136934"/>
    <x v="0"/>
    <s v="spec01"/>
    <x v="0"/>
    <s v="N15G3f"/>
    <x v="1"/>
  </r>
  <r>
    <s v="y_DE_N15G3f_spec04"/>
    <n v="0.98719820476159659"/>
    <n v="0.98905455859868807"/>
    <n v="0.98450520089116045"/>
    <n v="0.98245248773788252"/>
    <n v="0.98099966562648921"/>
    <n v="0.98443555456884668"/>
    <n v="0.99504591529990738"/>
    <n v="0.98921433292217487"/>
    <x v="0"/>
    <s v="spec04"/>
    <x v="0"/>
    <s v="N15G3f"/>
    <x v="2"/>
  </r>
  <r>
    <s v="y_DE_N15G3f_spec07"/>
    <n v="0.95894220752181381"/>
    <n v="0.95927278738594624"/>
    <n v="0.96182282651941653"/>
    <n v="0.96166641390594298"/>
    <n v="0.96521671209629722"/>
    <n v="0.99042650143963484"/>
    <n v="0.98911972609791876"/>
    <n v="1.0023073909976639"/>
    <x v="0"/>
    <s v="spec07"/>
    <x v="0"/>
    <s v="N15G3f"/>
    <x v="3"/>
  </r>
  <r>
    <s v="y_DE_N15G3f_spec08"/>
    <n v="0.98328678099857447"/>
    <n v="0.98481248469682303"/>
    <n v="0.96892269299810396"/>
    <n v="0.96145516626366856"/>
    <n v="0.95869527082523398"/>
    <n v="0.96581679583470736"/>
    <n v="0.97279022593176601"/>
    <n v="0.98164935658747987"/>
    <x v="0"/>
    <s v="spec08"/>
    <x v="0"/>
    <s v="N15G3f"/>
    <x v="4"/>
  </r>
  <r>
    <s v="y_DE_N15G3f_spec09"/>
    <n v="0.92441024723655552"/>
    <n v="0.97198541087996049"/>
    <n v="0.96215062577954957"/>
    <n v="0.96671863249808654"/>
    <n v="0.97745023794429897"/>
    <n v="0.98929885567042841"/>
    <n v="0.9990275793638359"/>
    <n v="1.0009820963452369"/>
    <x v="0"/>
    <s v="spec09"/>
    <x v="0"/>
    <s v="N15G3f"/>
    <x v="5"/>
  </r>
  <r>
    <s v="y_DE_N15G3f_spec10"/>
    <n v="0.97111271856327275"/>
    <n v="1.8507450706330233"/>
    <n v="1.909388916931684"/>
    <n v="2.006210024132439"/>
    <n v="2.1160556076666208"/>
    <n v="2.1446760965265597"/>
    <n v="2.1291406636451584"/>
    <n v="2.1636318163578503"/>
    <x v="0"/>
    <s v="spec10"/>
    <x v="0"/>
    <s v="N15G3f"/>
    <x v="6"/>
  </r>
  <r>
    <s v="y_DE_N15G3f_spec03"/>
    <n v="0.98280452506771032"/>
    <n v="0.99232784840891886"/>
    <n v="0.99388727245672837"/>
    <n v="0.98620952525770567"/>
    <n v="0.9873895999609702"/>
    <n v="0.99051264151360341"/>
    <n v="0.9997990347071144"/>
    <n v="0.99557676725028643"/>
    <x v="0"/>
    <s v="spec03"/>
    <x v="0"/>
    <s v="N15G3f"/>
    <x v="7"/>
  </r>
  <r>
    <s v="y_DE_N15G3f_spec18"/>
    <n v="0.94034668608178729"/>
    <n v="0.97187201093862441"/>
    <n v="0.99035180530896383"/>
    <n v="0.96812799459393672"/>
    <n v="0.99007338925469845"/>
    <n v="0.99910263229896934"/>
    <n v="0.98405887644105949"/>
    <n v="0.99060854051623703"/>
    <x v="0"/>
    <s v="spec18"/>
    <x v="0"/>
    <s v="N15G3f"/>
    <x v="8"/>
  </r>
  <r>
    <s v="y_FR_N15G3f_spec02"/>
    <n v="1"/>
    <n v="1"/>
    <n v="1"/>
    <n v="1"/>
    <n v="1"/>
    <n v="1"/>
    <n v="1"/>
    <n v="1"/>
    <x v="0"/>
    <s v="spec02"/>
    <x v="1"/>
    <s v="N15G3f"/>
    <x v="0"/>
  </r>
  <r>
    <s v="y_FR_N15G3f_spec01"/>
    <n v="1.0019519497524101"/>
    <n v="1.0046603399618657"/>
    <n v="1.0043996027998077"/>
    <n v="0.99955167690828017"/>
    <n v="1.0005228454841688"/>
    <n v="1.0022973631434562"/>
    <n v="1.0022423504178064"/>
    <n v="0.99888550601495385"/>
    <x v="0"/>
    <s v="spec01"/>
    <x v="1"/>
    <s v="N15G3f"/>
    <x v="1"/>
  </r>
  <r>
    <s v="y_FR_N15G3f_spec04"/>
    <n v="1.0134780297967836"/>
    <n v="1.0125450633304884"/>
    <n v="1.0178433317542159"/>
    <n v="1.0083154436658424"/>
    <n v="1.014022351266155"/>
    <n v="1.0120232710812522"/>
    <n v="1.0119668372343078"/>
    <n v="1.0114863315248737"/>
    <x v="0"/>
    <s v="spec04"/>
    <x v="1"/>
    <s v="N15G3f"/>
    <x v="2"/>
  </r>
  <r>
    <s v="y_FR_N15G3f_spec07"/>
    <n v="1.0777371076197952"/>
    <n v="1.0247353747013472"/>
    <n v="0.99135853704433108"/>
    <n v="0.97441348092826485"/>
    <n v="0.96623511142704899"/>
    <n v="0.97476961334681267"/>
    <n v="0.98352216701137807"/>
    <n v="0.99236277750462332"/>
    <x v="0"/>
    <s v="spec07"/>
    <x v="1"/>
    <s v="N15G3f"/>
    <x v="3"/>
  </r>
  <r>
    <s v="y_FR_N15G3f_spec08"/>
    <n v="1.619074616867245"/>
    <n v="1.2577074213373771"/>
    <n v="1.2068457638043557"/>
    <n v="1.1858915876827245"/>
    <n v="1.1670872596234585"/>
    <n v="1.1552892035849356"/>
    <n v="1.1633797188220829"/>
    <n v="1.1396250167554207"/>
    <x v="0"/>
    <s v="spec08"/>
    <x v="1"/>
    <s v="N15G3f"/>
    <x v="4"/>
  </r>
  <r>
    <s v="y_FR_N15G3f_spec09"/>
    <n v="1.0695816755913228"/>
    <n v="1.0744587430614574"/>
    <n v="1.0652516841963628"/>
    <n v="1.0474823160338786"/>
    <n v="1.0693236246071494"/>
    <n v="1.0767941180663567"/>
    <n v="1.0843868205265514"/>
    <n v="1.0824036430642914"/>
    <x v="0"/>
    <s v="spec09"/>
    <x v="1"/>
    <s v="N15G3f"/>
    <x v="5"/>
  </r>
  <r>
    <s v="y_FR_N15G3f_spec10"/>
    <n v="1.2523473255965991"/>
    <n v="2.8413734083266848"/>
    <n v="2.8438756536995169"/>
    <n v="2.9044759507064284"/>
    <n v="2.9722325853772245"/>
    <n v="2.9986703142357838"/>
    <n v="3.0392164066278267"/>
    <n v="3.1197196171602308"/>
    <x v="0"/>
    <s v="spec10"/>
    <x v="1"/>
    <s v="N15G3f"/>
    <x v="6"/>
  </r>
  <r>
    <s v="y_FR_N15G3f_spec03"/>
    <n v="1.0257085015870091"/>
    <n v="1.0359410413521239"/>
    <n v="1.0441323606723045"/>
    <n v="1.0379374027750601"/>
    <n v="1.0428947752946536"/>
    <n v="1.0347742480431792"/>
    <n v="1.0304004524377777"/>
    <n v="1.0274343235667103"/>
    <x v="0"/>
    <s v="spec03"/>
    <x v="1"/>
    <s v="N15G3f"/>
    <x v="7"/>
  </r>
  <r>
    <s v="y_FR_N15G3f_spec18"/>
    <n v="1.0147694799450204"/>
    <n v="1.0162277897800922"/>
    <n v="1.0209328864464586"/>
    <n v="0.99461420692750968"/>
    <n v="1.0001477962161567"/>
    <n v="1.0052093227696033"/>
    <n v="0.9878930783164741"/>
    <n v="0.99931379999935988"/>
    <x v="0"/>
    <s v="spec18"/>
    <x v="1"/>
    <s v="N15G3f"/>
    <x v="8"/>
  </r>
  <r>
    <s v="y_IT_N15G3f_spec02"/>
    <n v="1"/>
    <n v="1"/>
    <n v="1"/>
    <n v="1"/>
    <n v="1"/>
    <n v="1"/>
    <n v="1"/>
    <n v="1"/>
    <x v="0"/>
    <s v="spec02"/>
    <x v="2"/>
    <s v="N15G3f"/>
    <x v="0"/>
  </r>
  <r>
    <s v="y_IT_N15G3f_spec01"/>
    <n v="0.98595421348839629"/>
    <n v="0.99805836498375766"/>
    <n v="0.99753830819616773"/>
    <n v="1.003507829464757"/>
    <n v="1.009351193955345"/>
    <n v="1.0153171455135317"/>
    <n v="1.0195587712430287"/>
    <n v="1.0224067350363992"/>
    <x v="0"/>
    <s v="spec01"/>
    <x v="2"/>
    <s v="N15G3f"/>
    <x v="1"/>
  </r>
  <r>
    <s v="y_IT_N15G3f_spec04"/>
    <n v="1.0146340766000976"/>
    <n v="1.0086299588949938"/>
    <n v="0.99707483082694792"/>
    <n v="0.99710680759773329"/>
    <n v="1.0019535343199806"/>
    <n v="1.0020877025340542"/>
    <n v="1.0000474093645884"/>
    <n v="1.0003680618976323"/>
    <x v="0"/>
    <s v="spec04"/>
    <x v="2"/>
    <s v="N15G3f"/>
    <x v="2"/>
  </r>
  <r>
    <s v="y_IT_N15G3f_spec07"/>
    <n v="1.0175975749730957"/>
    <n v="0.97735852213239738"/>
    <n v="0.96858862077655616"/>
    <n v="0.96764544439274114"/>
    <n v="0.99178027980584238"/>
    <n v="1.0023066361858757"/>
    <n v="1.0041111980541335"/>
    <n v="0.99645139267910199"/>
    <x v="0"/>
    <s v="spec07"/>
    <x v="2"/>
    <s v="N15G3f"/>
    <x v="3"/>
  </r>
  <r>
    <s v="y_IT_N15G3f_spec08"/>
    <n v="1.5811515739646131"/>
    <n v="1.4412390389811731"/>
    <n v="1.3935184704117722"/>
    <n v="1.3716257988804441"/>
    <n v="1.3880878194530164"/>
    <n v="1.3868004228824424"/>
    <n v="1.3958200366365972"/>
    <n v="1.3833122280911121"/>
    <x v="0"/>
    <s v="spec08"/>
    <x v="2"/>
    <s v="N15G3f"/>
    <x v="4"/>
  </r>
  <r>
    <s v="y_IT_N15G3f_spec09"/>
    <n v="1.0919533263151431"/>
    <n v="1.0398017993417632"/>
    <n v="0.99687542819287256"/>
    <n v="0.99859953965615955"/>
    <n v="1.0172682832855113"/>
    <n v="1.0305251851494428"/>
    <n v="1.031045595578348"/>
    <n v="1.0308160084566926"/>
    <x v="0"/>
    <s v="spec09"/>
    <x v="2"/>
    <s v="N15G3f"/>
    <x v="5"/>
  </r>
  <r>
    <s v="y_IT_N15G3f_spec10"/>
    <n v="1.1281171034305473"/>
    <n v="2.6144929150146474"/>
    <n v="2.5870184432391574"/>
    <n v="2.6464486771672289"/>
    <n v="2.7160311653944187"/>
    <n v="2.7243804286628626"/>
    <n v="2.7438169161826513"/>
    <n v="2.7462996448495227"/>
    <x v="0"/>
    <s v="spec10"/>
    <x v="2"/>
    <s v="N15G3f"/>
    <x v="6"/>
  </r>
  <r>
    <s v="y_IT_N15G3f_spec03"/>
    <n v="0.9633125911347421"/>
    <n v="0.96476449370888717"/>
    <n v="0.95924903220935043"/>
    <n v="0.96811556699525503"/>
    <n v="0.97353890901272777"/>
    <n v="0.97463626290836181"/>
    <n v="0.97608231123809641"/>
    <n v="0.97183243707737155"/>
    <x v="0"/>
    <s v="spec03"/>
    <x v="2"/>
    <s v="N15G3f"/>
    <x v="7"/>
  </r>
  <r>
    <s v="y_IT_N15G3f_spec18"/>
    <n v="0.94859567721320626"/>
    <n v="0.97798250161609124"/>
    <n v="0.96756099318879318"/>
    <n v="0.97685567292965403"/>
    <n v="0.98951033180669679"/>
    <n v="0.99893932920069128"/>
    <n v="0.99239586315197892"/>
    <n v="1.0018281571461218"/>
    <x v="0"/>
    <s v="spec18"/>
    <x v="2"/>
    <s v="N15G3f"/>
    <x v="8"/>
  </r>
  <r>
    <s v="y_GB_N15G3f_spec02"/>
    <n v="1"/>
    <n v="1"/>
    <n v="1"/>
    <n v="1"/>
    <n v="1"/>
    <n v="1"/>
    <n v="1"/>
    <n v="1"/>
    <x v="0"/>
    <s v="spec02"/>
    <x v="3"/>
    <s v="N15G3f"/>
    <x v="0"/>
  </r>
  <r>
    <s v="y_GB_N15G3f_spec01"/>
    <n v="0.98579759046668491"/>
    <n v="0.98684424049039798"/>
    <n v="0.97406288695821375"/>
    <n v="0.98715162335370032"/>
    <n v="0.98033137057611019"/>
    <n v="0.98696967378541023"/>
    <n v="0.9901899347377966"/>
    <n v="0.99285211515370786"/>
    <x v="0"/>
    <s v="spec01"/>
    <x v="3"/>
    <s v="N15G3f"/>
    <x v="1"/>
  </r>
  <r>
    <s v="y_GB_N15G3f_spec04"/>
    <n v="1.0062203653641359"/>
    <n v="1.0060041489883813"/>
    <n v="0.98820779856923935"/>
    <n v="0.99697394758492341"/>
    <n v="0.99471429994449911"/>
    <n v="0.99757916966796845"/>
    <n v="0.99924576750374028"/>
    <n v="0.99698360852053303"/>
    <x v="0"/>
    <s v="spec04"/>
    <x v="3"/>
    <s v="N15G3f"/>
    <x v="2"/>
  </r>
  <r>
    <s v="y_GB_N15G3f_spec07"/>
    <n v="1.0541973809339356"/>
    <n v="1.0250615961338625"/>
    <n v="0.96454440662103991"/>
    <n v="0.98683146975848401"/>
    <n v="0.98289018568186604"/>
    <n v="0.98044139825485477"/>
    <n v="1.0030483744337244"/>
    <n v="0.96764000013768225"/>
    <x v="0"/>
    <s v="spec07"/>
    <x v="3"/>
    <s v="N15G3f"/>
    <x v="3"/>
  </r>
  <r>
    <s v="y_GB_N15G3f_spec08"/>
    <n v="1.2841811052443051"/>
    <n v="1.211438109744664"/>
    <n v="1.1041100296910036"/>
    <n v="1.1218393907866355"/>
    <n v="1.1087565767669476"/>
    <n v="1.0919911792317998"/>
    <n v="1.1127453203619235"/>
    <n v="1.1063932586510574"/>
    <x v="0"/>
    <s v="spec08"/>
    <x v="3"/>
    <s v="N15G3f"/>
    <x v="4"/>
  </r>
  <r>
    <s v="y_GB_N15G3f_spec09"/>
    <n v="1.0613019503574597"/>
    <n v="1.0781851712926658"/>
    <n v="0.99521624725249747"/>
    <n v="1.0251929638166632"/>
    <n v="1.0238160535821788"/>
    <n v="1.0449534157917908"/>
    <n v="1.0547097894499173"/>
    <n v="1.0628917342983777"/>
    <x v="0"/>
    <s v="spec09"/>
    <x v="3"/>
    <s v="N15G3f"/>
    <x v="5"/>
  </r>
  <r>
    <s v="y_GB_N15G3f_spec10"/>
    <n v="1.163448901273928"/>
    <n v="2.1643651445954957"/>
    <n v="2.1397971047670534"/>
    <n v="2.2206550305628578"/>
    <n v="2.249457687117185"/>
    <n v="2.271693800268213"/>
    <n v="2.2408920636990683"/>
    <n v="2.2245650860188961"/>
    <x v="0"/>
    <s v="spec10"/>
    <x v="3"/>
    <s v="N15G3f"/>
    <x v="6"/>
  </r>
  <r>
    <s v="y_GB_N15G3f_spec03"/>
    <n v="0.99041453055979967"/>
    <n v="0.99634801210941248"/>
    <n v="0.97944794379202527"/>
    <n v="0.99368871598921316"/>
    <n v="0.98861988279203528"/>
    <n v="0.98882516507051688"/>
    <n v="0.98896542948005783"/>
    <n v="0.9894635671687031"/>
    <x v="0"/>
    <s v="spec03"/>
    <x v="3"/>
    <s v="N15G3f"/>
    <x v="7"/>
  </r>
  <r>
    <s v="y_GB_N15G3f_spec18"/>
    <n v="0.97726112693575318"/>
    <n v="0.98404062468756115"/>
    <n v="0.98264703064318815"/>
    <n v="0.9907249287248997"/>
    <n v="0.98646169817105733"/>
    <n v="0.9963866422657639"/>
    <n v="0.99912749462905426"/>
    <n v="1.0043974202495591"/>
    <x v="0"/>
    <s v="spec18"/>
    <x v="3"/>
    <s v="N15G3f"/>
    <x v="8"/>
  </r>
  <r>
    <s v="y_US_N15G3f_spec02"/>
    <n v="1"/>
    <n v="1"/>
    <n v="1"/>
    <n v="1"/>
    <n v="1"/>
    <n v="1"/>
    <n v="1"/>
    <n v="1"/>
    <x v="0"/>
    <s v="spec02"/>
    <x v="4"/>
    <s v="N15G3f"/>
    <x v="0"/>
  </r>
  <r>
    <s v="y_US_N15G3f_spec01"/>
    <n v="0.98206474942417765"/>
    <n v="0.9908835056551123"/>
    <n v="0.98772960434585788"/>
    <n v="0.99671765926228018"/>
    <n v="0.99671740954550314"/>
    <n v="1.0021019975961445"/>
    <n v="1.0036387745526865"/>
    <n v="1.0055897750498879"/>
    <x v="0"/>
    <s v="spec01"/>
    <x v="4"/>
    <s v="N15G3f"/>
    <x v="1"/>
  </r>
  <r>
    <s v="y_US_N15G3f_spec04"/>
    <n v="1.0083415808558049"/>
    <n v="1.0130032073759101"/>
    <n v="0.99605045211231058"/>
    <n v="0.99526650767951386"/>
    <n v="0.99679711475614352"/>
    <n v="0.99740387370137884"/>
    <n v="0.99749101681802532"/>
    <n v="0.99814935268413973"/>
    <x v="0"/>
    <s v="spec04"/>
    <x v="4"/>
    <s v="N15G3f"/>
    <x v="2"/>
  </r>
  <r>
    <s v="y_US_N15G3f_spec07"/>
    <n v="1.1079435698232807"/>
    <n v="1.0044253765192421"/>
    <n v="0.96481916258596523"/>
    <n v="0.98174106114439363"/>
    <n v="0.9780151262555179"/>
    <n v="1.0014067785490781"/>
    <n v="1.0051109477753297"/>
    <n v="1.0105479063218064"/>
    <x v="0"/>
    <s v="spec07"/>
    <x v="4"/>
    <s v="N15G3f"/>
    <x v="3"/>
  </r>
  <r>
    <s v="y_US_N15G3f_spec08"/>
    <n v="1.2576171197822734"/>
    <n v="1.0769426134069704"/>
    <n v="1.0507933382992893"/>
    <n v="1.0266942996340327"/>
    <n v="1.0249629902006021"/>
    <n v="0.99432348928570913"/>
    <n v="1.0142419318511504"/>
    <n v="1.0322412268072541"/>
    <x v="0"/>
    <s v="spec08"/>
    <x v="4"/>
    <s v="N15G3f"/>
    <x v="4"/>
  </r>
  <r>
    <s v="y_US_N15G3f_spec09"/>
    <n v="1.2657966666514875"/>
    <n v="1.1105855687641635"/>
    <n v="1.0684927786113596"/>
    <n v="1.0544629536944883"/>
    <n v="1.0669990596490604"/>
    <n v="1.0540858408890152"/>
    <n v="1.0621314949901788"/>
    <n v="1.0840516097424107"/>
    <x v="0"/>
    <s v="spec09"/>
    <x v="4"/>
    <s v="N15G3f"/>
    <x v="5"/>
  </r>
  <r>
    <s v="y_US_N15G3f_spec10"/>
    <n v="1.287437902652574"/>
    <n v="2.50673992055227"/>
    <n v="2.6006488025939172"/>
    <n v="2.6855486298109112"/>
    <n v="2.7079401065220021"/>
    <n v="2.8438610597211431"/>
    <n v="2.8481320244747592"/>
    <n v="2.8351846766813176"/>
    <x v="0"/>
    <s v="spec10"/>
    <x v="4"/>
    <s v="N15G3f"/>
    <x v="6"/>
  </r>
  <r>
    <s v="y_US_N15G3f_spec03"/>
    <n v="1.000947309693156"/>
    <n v="1.0454485579610862"/>
    <n v="1.0188535084817083"/>
    <n v="1.0007679295740137"/>
    <n v="1.0015469091700726"/>
    <n v="0.99209838083400903"/>
    <n v="0.99242576978729802"/>
    <n v="0.99885125331029634"/>
    <x v="0"/>
    <s v="spec03"/>
    <x v="4"/>
    <s v="N15G3f"/>
    <x v="7"/>
  </r>
  <r>
    <s v="y_US_N15G3f_spec18"/>
    <n v="0.99746083240883809"/>
    <n v="0.99858747178666574"/>
    <n v="0.99568833852014571"/>
    <n v="0.9975988470853332"/>
    <n v="1.0029328310111787"/>
    <n v="1.0084042500178914"/>
    <n v="1.0218016547452247"/>
    <n v="1.0213733438795771"/>
    <x v="0"/>
    <s v="spec18"/>
    <x v="4"/>
    <s v="N15G3f"/>
    <x v="8"/>
  </r>
  <r>
    <s v="y_CA_N15G3f_spec02"/>
    <n v="1"/>
    <n v="1"/>
    <n v="1"/>
    <n v="1"/>
    <n v="1"/>
    <n v="1"/>
    <n v="1"/>
    <n v="1"/>
    <x v="0"/>
    <s v="spec02"/>
    <x v="5"/>
    <s v="N15G3f"/>
    <x v="0"/>
  </r>
  <r>
    <s v="y_CA_N15G3f_spec01"/>
    <n v="0.97246306614511924"/>
    <n v="0.94882775860119994"/>
    <n v="0.94485485957925763"/>
    <n v="0.94322065882616923"/>
    <n v="0.94577612577877312"/>
    <n v="0.94747087360844739"/>
    <n v="0.95758545863147926"/>
    <n v="0.9618360779611167"/>
    <x v="0"/>
    <s v="spec01"/>
    <x v="5"/>
    <s v="N15G3f"/>
    <x v="1"/>
  </r>
  <r>
    <s v="y_CA_N15G3f_spec04"/>
    <n v="1.01768412197573"/>
    <n v="1.0270025307192943"/>
    <n v="1.0260607140138129"/>
    <n v="1.02658934157254"/>
    <n v="1.0199505590110518"/>
    <n v="1.0160266880814337"/>
    <n v="1.0164869233567722"/>
    <n v="1.0194375757047507"/>
    <x v="0"/>
    <s v="spec04"/>
    <x v="5"/>
    <s v="N15G3f"/>
    <x v="2"/>
  </r>
  <r>
    <s v="y_CA_N15G3f_spec07"/>
    <n v="1.0558248242249075"/>
    <n v="0.89787695182406846"/>
    <n v="0.88631131653716677"/>
    <n v="0.88311517003964113"/>
    <n v="0.88371239724571538"/>
    <n v="0.90037354643161482"/>
    <n v="0.90702261237159665"/>
    <n v="0.93007856511426223"/>
    <x v="0"/>
    <s v="spec07"/>
    <x v="5"/>
    <s v="N15G3f"/>
    <x v="3"/>
  </r>
  <r>
    <s v="y_CA_N15G3f_spec08"/>
    <n v="1.3203544403023333"/>
    <n v="1.1047173500619119"/>
    <n v="1.0905735243545367"/>
    <n v="1.0839762372266653"/>
    <n v="1.0925506043583695"/>
    <n v="1.0862910398590997"/>
    <n v="1.090740449057491"/>
    <n v="1.1173223529718141"/>
    <x v="0"/>
    <s v="spec08"/>
    <x v="5"/>
    <s v="N15G3f"/>
    <x v="4"/>
  </r>
  <r>
    <s v="y_CA_N15G3f_spec09"/>
    <n v="0.99314109602899747"/>
    <n v="1.0617483306554263"/>
    <n v="1.0459115059200566"/>
    <n v="1.0515592017992994"/>
    <n v="1.0688250104339994"/>
    <n v="1.0799961897292218"/>
    <n v="1.0871501816026665"/>
    <n v="1.1028380643618025"/>
    <x v="0"/>
    <s v="spec09"/>
    <x v="5"/>
    <s v="N15G3f"/>
    <x v="5"/>
  </r>
  <r>
    <s v="y_CA_N15G3f_spec10"/>
    <n v="0.99436648171444397"/>
    <n v="2.2739552949666191"/>
    <n v="2.5180256188413068"/>
    <n v="2.6729157978826006"/>
    <n v="2.6380772139001687"/>
    <n v="2.5856706408229231"/>
    <n v="2.6695120221224542"/>
    <n v="2.8032220116919149"/>
    <x v="0"/>
    <s v="spec10"/>
    <x v="5"/>
    <s v="N15G3f"/>
    <x v="6"/>
  </r>
  <r>
    <s v="y_CA_N15G3f_spec03"/>
    <n v="1.0602665830342806"/>
    <n v="1.0593078790653474"/>
    <n v="1.0279636314273872"/>
    <n v="1.0089332924334289"/>
    <n v="1.0047737841957052"/>
    <n v="1.0016481053505577"/>
    <n v="0.99768063010360664"/>
    <n v="0.99685264215578995"/>
    <x v="0"/>
    <s v="spec03"/>
    <x v="5"/>
    <s v="N15G3f"/>
    <x v="7"/>
  </r>
  <r>
    <s v="y_CA_N15G3f_spec18"/>
    <n v="0.99857615809774447"/>
    <n v="0.9521663957740033"/>
    <n v="0.9324319918963675"/>
    <n v="0.92148723017904477"/>
    <n v="0.90403971421425777"/>
    <n v="0.91025707116505594"/>
    <n v="0.91780413477908374"/>
    <n v="0.94220171213076942"/>
    <x v="0"/>
    <s v="spec18"/>
    <x v="5"/>
    <s v="N15G3f"/>
    <x v="8"/>
  </r>
  <r>
    <s v="y_AG_N15G3f_spec02"/>
    <n v="1"/>
    <n v="1"/>
    <n v="1"/>
    <n v="1"/>
    <n v="1"/>
    <n v="1"/>
    <n v="1"/>
    <n v="1"/>
    <x v="0"/>
    <s v="spec02"/>
    <x v="6"/>
    <s v="N15G3f"/>
    <x v="0"/>
  </r>
  <r>
    <s v="y_AG_N15G3f_spec01"/>
    <n v="0.98906183000609149"/>
    <n v="0.99209519777316324"/>
    <n v="0.98604157944815418"/>
    <n v="0.9858595264672052"/>
    <n v="0.98697157319263884"/>
    <n v="0.99908632061797253"/>
    <n v="0.99859113546005085"/>
    <n v="0.99650450985136307"/>
    <x v="0"/>
    <s v="spec01"/>
    <x v="6"/>
    <s v="N15G3f"/>
    <x v="1"/>
  </r>
  <r>
    <s v="y_AG_N15G3f_spec04"/>
    <n v="1.003359599334855"/>
    <n v="0.9984607393736914"/>
    <n v="0.99642590393663422"/>
    <n v="0.99456347733429984"/>
    <n v="0.99725828402225125"/>
    <n v="1.0049105931448423"/>
    <n v="1.0051981820845135"/>
    <n v="1.0038453488974524"/>
    <x v="0"/>
    <s v="spec04"/>
    <x v="6"/>
    <s v="N15G3f"/>
    <x v="2"/>
  </r>
  <r>
    <s v="y_AG_N15G3f_spec07"/>
    <n v="1.1256729298767683"/>
    <n v="1.028992443948102"/>
    <n v="0.99879164875718285"/>
    <n v="0.99300179601145866"/>
    <n v="0.9983923742882771"/>
    <n v="0.99710439254896766"/>
    <n v="0.9965721054415001"/>
    <n v="1.0064286889923211"/>
    <x v="0"/>
    <s v="spec07"/>
    <x v="6"/>
    <s v="N15G3f"/>
    <x v="3"/>
  </r>
  <r>
    <s v="y_AG_N15G3f_spec08"/>
    <n v="1.1840477586655789"/>
    <n v="1.1225231870900048"/>
    <n v="1.170733892698868"/>
    <n v="1.1473636012633794"/>
    <n v="1.1697903400795224"/>
    <n v="1.1502053540130759"/>
    <n v="1.0918885692778453"/>
    <n v="1.1998376655024081"/>
    <x v="0"/>
    <s v="spec08"/>
    <x v="6"/>
    <s v="N15G3f"/>
    <x v="4"/>
  </r>
  <r>
    <s v="y_AG_N15G3f_spec09"/>
    <n v="1.1293640657486803"/>
    <n v="1.0895776569003777"/>
    <n v="1.0852828294495591"/>
    <n v="1.0907112150475815"/>
    <n v="1.108749262743167"/>
    <n v="1.1109503125920819"/>
    <n v="1.1139587850432904"/>
    <n v="1.1558648192681762"/>
    <x v="0"/>
    <s v="spec09"/>
    <x v="6"/>
    <s v="N15G3f"/>
    <x v="5"/>
  </r>
  <r>
    <s v="y_AG_N15G3f_spec10"/>
    <n v="1.3315832907124618"/>
    <n v="1.4652549075357106"/>
    <n v="1.4585758906159909"/>
    <n v="1.4539449338367056"/>
    <n v="1.4834122113169961"/>
    <n v="1.4771292108892389"/>
    <n v="1.4641784770939226"/>
    <n v="1.5547155756531355"/>
    <x v="0"/>
    <s v="spec10"/>
    <x v="6"/>
    <s v="N15G3f"/>
    <x v="6"/>
  </r>
  <r>
    <s v="y_AG_N15G3f_spec03"/>
    <n v="0.99159285460065083"/>
    <n v="0.99489932057113828"/>
    <n v="0.99369145394223446"/>
    <n v="0.99252785287675749"/>
    <n v="0.9966807306816462"/>
    <n v="1.0041778656259792"/>
    <n v="1.0031465792395795"/>
    <n v="1.0045067400279692"/>
    <x v="0"/>
    <s v="spec03"/>
    <x v="6"/>
    <s v="N15G3f"/>
    <x v="7"/>
  </r>
  <r>
    <s v="y_AG_N15G3f_spec18"/>
    <n v="0.98627065382013368"/>
    <n v="0.98466684496898371"/>
    <n v="0.98105549228900102"/>
    <n v="0.97357571316839064"/>
    <n v="0.97934304824452656"/>
    <n v="0.96849100550244815"/>
    <n v="0.98066871289014834"/>
    <n v="0.96325391694219753"/>
    <x v="0"/>
    <s v="spec18"/>
    <x v="6"/>
    <s v="N15G3f"/>
    <x v="8"/>
  </r>
  <r>
    <s v="y_BR_N15G3f_spec02"/>
    <n v="1"/>
    <n v="1"/>
    <n v="1"/>
    <n v="1"/>
    <n v="1"/>
    <n v="1"/>
    <n v="1"/>
    <n v="1"/>
    <x v="0"/>
    <s v="spec02"/>
    <x v="7"/>
    <s v="N15G3f"/>
    <x v="0"/>
  </r>
  <r>
    <s v="y_BR_N15G3f_spec01"/>
    <n v="0.99166505076652467"/>
    <n v="0.98542465508862964"/>
    <n v="0.99216193264598485"/>
    <n v="0.98320739221459297"/>
    <n v="0.98787204320914712"/>
    <n v="0.9958191489243351"/>
    <n v="0.99719189437207878"/>
    <n v="1.000141622529594"/>
    <x v="0"/>
    <s v="spec01"/>
    <x v="7"/>
    <s v="N15G3f"/>
    <x v="1"/>
  </r>
  <r>
    <s v="y_BR_N15G3f_spec04"/>
    <n v="0.99753324044475766"/>
    <n v="0.99984068380445201"/>
    <n v="1.0005324851230772"/>
    <n v="0.9975370983804499"/>
    <n v="1.0031054101712347"/>
    <n v="0.99810906847940983"/>
    <n v="1.0027434995535851"/>
    <n v="0.99984952813587846"/>
    <x v="0"/>
    <s v="spec04"/>
    <x v="7"/>
    <s v="N15G3f"/>
    <x v="2"/>
  </r>
  <r>
    <s v="y_BR_N15G3f_spec07"/>
    <n v="1.0583183817481618"/>
    <n v="0.98699700094506437"/>
    <n v="0.98932423760957888"/>
    <n v="0.9833608214914763"/>
    <n v="0.97660459562271962"/>
    <n v="0.99147243070209756"/>
    <n v="0.99752184068257255"/>
    <n v="1.0419574281657111"/>
    <x v="0"/>
    <s v="spec07"/>
    <x v="7"/>
    <s v="N15G3f"/>
    <x v="3"/>
  </r>
  <r>
    <s v="y_BR_N15G3f_spec08"/>
    <n v="7.8809122927404278"/>
    <n v="8.3778113402838983"/>
    <n v="8.4213514136860237"/>
    <n v="8.3450528144810985"/>
    <n v="8.3588388139697365"/>
    <n v="8.3249517767416403"/>
    <n v="8.3383142395957375"/>
    <n v="8.3389601036031493"/>
    <x v="0"/>
    <s v="spec08"/>
    <x v="7"/>
    <s v="N15G3f"/>
    <x v="4"/>
  </r>
  <r>
    <s v="y_BR_N15G3f_spec09"/>
    <n v="1.4718089280031399"/>
    <n v="1.1010858519124112"/>
    <n v="1.1135809856665901"/>
    <n v="1.1260712516163751"/>
    <n v="1.1498318262689202"/>
    <n v="1.1477335026286122"/>
    <n v="1.1575565646068557"/>
    <n v="1.1696755147673759"/>
    <x v="0"/>
    <s v="spec09"/>
    <x v="7"/>
    <s v="N15G3f"/>
    <x v="5"/>
  </r>
  <r>
    <s v="y_BR_N15G3f_spec10"/>
    <n v="2.9337657179953895"/>
    <n v="2.0227841226694752"/>
    <n v="2.0989118718075446"/>
    <n v="2.1132652619640604"/>
    <n v="2.0701330834456373"/>
    <n v="2.074133808117161"/>
    <n v="2.1217370756323675"/>
    <n v="2.1653891172279254"/>
    <x v="0"/>
    <s v="spec10"/>
    <x v="7"/>
    <s v="N15G3f"/>
    <x v="6"/>
  </r>
  <r>
    <s v="y_BR_N15G3f_spec03"/>
    <n v="0.99446595726023079"/>
    <n v="0.99134306843035591"/>
    <n v="0.98474912081271393"/>
    <n v="0.99092230224540978"/>
    <n v="0.99883951104518831"/>
    <n v="1.0022497957218577"/>
    <n v="1.0029425953076461"/>
    <n v="1.0015630447692179"/>
    <x v="0"/>
    <s v="spec03"/>
    <x v="7"/>
    <s v="N15G3f"/>
    <x v="7"/>
  </r>
  <r>
    <s v="y_BR_N15G3f_spec18"/>
    <n v="1.0154965515835079"/>
    <n v="1.0551520526829072"/>
    <n v="1.0334682861319693"/>
    <n v="1.0178117108702631"/>
    <n v="1.0129575226564473"/>
    <n v="1.0061123849907669"/>
    <n v="0.99042561431060139"/>
    <n v="0.99449029643626363"/>
    <x v="0"/>
    <s v="spec18"/>
    <x v="7"/>
    <s v="N15G3f"/>
    <x v="8"/>
  </r>
  <r>
    <s v="y_MX_N15G3f_spec02"/>
    <n v="1"/>
    <n v="1"/>
    <n v="1"/>
    <n v="1"/>
    <n v="1"/>
    <n v="1"/>
    <n v="1"/>
    <n v="1"/>
    <x v="0"/>
    <s v="spec02"/>
    <x v="8"/>
    <s v="N15G3f"/>
    <x v="0"/>
  </r>
  <r>
    <s v="y_MX_N15G3f_spec01"/>
    <n v="0.9822666987097195"/>
    <n v="0.99437662408082417"/>
    <n v="1.0061164858899672"/>
    <n v="1.0032397358511642"/>
    <n v="1.0046934990227074"/>
    <n v="1.0043523303050272"/>
    <n v="1.0025250971126722"/>
    <n v="1.0017487954000728"/>
    <x v="0"/>
    <s v="spec01"/>
    <x v="8"/>
    <s v="N15G3f"/>
    <x v="1"/>
  </r>
  <r>
    <s v="y_MX_N15G3f_spec04"/>
    <n v="1.0101005718781078"/>
    <n v="0.9956639815773709"/>
    <n v="1.0034234878307513"/>
    <n v="1.0035386486695619"/>
    <n v="1.0068241411011434"/>
    <n v="1.0064969541836619"/>
    <n v="1.0094211717808614"/>
    <n v="1.0081125514312987"/>
    <x v="0"/>
    <s v="spec04"/>
    <x v="8"/>
    <s v="N15G3f"/>
    <x v="2"/>
  </r>
  <r>
    <s v="y_MX_N15G3f_spec07"/>
    <n v="1.0004288951721259"/>
    <n v="1.0351357508993781"/>
    <n v="1.0407604230556766"/>
    <n v="1.0372872881690034"/>
    <n v="1.0398254502100066"/>
    <n v="1.0227761509530005"/>
    <n v="1.0380294815740343"/>
    <n v="1.04113021538715"/>
    <x v="0"/>
    <s v="spec07"/>
    <x v="8"/>
    <s v="N15G3f"/>
    <x v="3"/>
  </r>
  <r>
    <s v="y_MX_N15G3f_spec08"/>
    <n v="2.4008004823427536"/>
    <n v="2.0486278432023082"/>
    <n v="2.1023103606545019"/>
    <n v="2.1359214388109566"/>
    <n v="2.1240161983668262"/>
    <n v="2.1189054920225807"/>
    <n v="2.0256216838694434"/>
    <n v="2.160502713132936"/>
    <x v="0"/>
    <s v="spec08"/>
    <x v="8"/>
    <s v="N15G3f"/>
    <x v="4"/>
  </r>
  <r>
    <s v="y_MX_N15G3f_spec09"/>
    <n v="0.94929524520830011"/>
    <n v="0.99875907009787579"/>
    <n v="1.0154726340297267"/>
    <n v="1.0204384200398455"/>
    <n v="1.0270666487880054"/>
    <n v="1.0219800343373158"/>
    <n v="1.0291440085270005"/>
    <n v="1.0308001553778328"/>
    <x v="0"/>
    <s v="spec09"/>
    <x v="8"/>
    <s v="N15G3f"/>
    <x v="5"/>
  </r>
  <r>
    <s v="y_MX_N15G3f_spec10"/>
    <n v="1.3730019533743103"/>
    <n v="2.0393720617043467"/>
    <n v="2.1771671494110345"/>
    <n v="2.1826572706629364"/>
    <n v="2.1862449849983494"/>
    <n v="2.1760753819872845"/>
    <n v="2.2024628118344762"/>
    <n v="2.2474687447376214"/>
    <x v="0"/>
    <s v="spec10"/>
    <x v="8"/>
    <s v="N15G3f"/>
    <x v="6"/>
  </r>
  <r>
    <s v="y_MX_N15G3f_spec03"/>
    <n v="1.000222220960447"/>
    <n v="1.0042174421425154"/>
    <n v="1.008005420540242"/>
    <n v="0.99784813690343754"/>
    <n v="1.0028368329177744"/>
    <n v="1.0034529925024689"/>
    <n v="1.0054847898189387"/>
    <n v="1.0011536229377005"/>
    <x v="0"/>
    <s v="spec03"/>
    <x v="8"/>
    <s v="N15G3f"/>
    <x v="7"/>
  </r>
  <r>
    <s v="y_MX_N15G3f_spec18"/>
    <n v="0.98148160430523845"/>
    <n v="1.0164087571432323"/>
    <n v="1.0341181474914731"/>
    <n v="0.98703891783323672"/>
    <n v="1.008531261658097"/>
    <n v="0.99903627634736991"/>
    <n v="1.0054665108159788"/>
    <n v="0.99574009469441027"/>
    <x v="0"/>
    <s v="spec18"/>
    <x v="8"/>
    <s v="N15G3f"/>
    <x v="8"/>
  </r>
  <r>
    <s v="y_CN_N15G3f_spec02"/>
    <n v="1"/>
    <n v="1"/>
    <n v="1"/>
    <n v="1"/>
    <n v="1"/>
    <n v="1"/>
    <n v="1"/>
    <n v="1"/>
    <x v="0"/>
    <s v="spec02"/>
    <x v="9"/>
    <s v="N15G3f"/>
    <x v="0"/>
  </r>
  <r>
    <s v="y_CN_N15G3f_spec01"/>
    <n v="1.0017492943187953"/>
    <n v="1.0155274965637335"/>
    <n v="1.0257905367421281"/>
    <n v="1.0272144452062695"/>
    <n v="1.009198160275975"/>
    <n v="1.010500242375834"/>
    <n v="0.99656226929699798"/>
    <n v="0.99092346088614114"/>
    <x v="0"/>
    <s v="spec01"/>
    <x v="9"/>
    <s v="N15G3f"/>
    <x v="1"/>
  </r>
  <r>
    <s v="y_CN_N15G3f_spec04"/>
    <n v="0.98686579149445786"/>
    <n v="0.99409036907924686"/>
    <n v="1.0011751443463544"/>
    <n v="0.99963400582415474"/>
    <n v="1.0079807696880578"/>
    <n v="1.018262427348706"/>
    <n v="1.0179372085473364"/>
    <n v="1.0153524176558819"/>
    <x v="0"/>
    <s v="spec04"/>
    <x v="9"/>
    <s v="N15G3f"/>
    <x v="2"/>
  </r>
  <r>
    <s v="y_CN_N15G3f_spec07"/>
    <n v="1.0861227303933585"/>
    <n v="1.0786529410514911"/>
    <n v="1.0715523561155926"/>
    <n v="1.0861518622307804"/>
    <n v="1.0346770617673637"/>
    <n v="1.0225103376204494"/>
    <n v="0.98815565769590719"/>
    <n v="1.0014319298280978"/>
    <x v="0"/>
    <s v="spec07"/>
    <x v="9"/>
    <s v="N15G3f"/>
    <x v="3"/>
  </r>
  <r>
    <s v="y_CN_N15G3f_spec08"/>
    <n v="1.2502025825391332"/>
    <n v="1.1917211165534345"/>
    <n v="1.1986017927576482"/>
    <n v="1.2047918922951706"/>
    <n v="1.1350399309417525"/>
    <n v="1.1195840958448005"/>
    <n v="1.1069429884297644"/>
    <n v="1.0964026877651556"/>
    <x v="0"/>
    <s v="spec08"/>
    <x v="9"/>
    <s v="N15G3f"/>
    <x v="4"/>
  </r>
  <r>
    <s v="y_CN_N15G3f_spec09"/>
    <n v="1.0997746275296125"/>
    <n v="1.1134523409057508"/>
    <n v="1.1266452994993961"/>
    <n v="1.129816293478163"/>
    <n v="1.0904323002460772"/>
    <n v="1.0836299190958203"/>
    <n v="1.0700755591705375"/>
    <n v="1.0802219486591429"/>
    <x v="0"/>
    <s v="spec09"/>
    <x v="9"/>
    <s v="N15G3f"/>
    <x v="5"/>
  </r>
  <r>
    <s v="y_CN_N15G3f_spec10"/>
    <n v="1.0992701331370869"/>
    <n v="1.8053689112971762"/>
    <n v="1.8003196009762554"/>
    <n v="1.8233118977337706"/>
    <n v="1.7337923815272756"/>
    <n v="1.685139581306706"/>
    <n v="1.6115513879134764"/>
    <n v="1.6640129838193873"/>
    <x v="0"/>
    <s v="spec10"/>
    <x v="9"/>
    <s v="N15G3f"/>
    <x v="6"/>
  </r>
  <r>
    <s v="y_CN_N15G3f_spec03"/>
    <n v="0.97944955843767101"/>
    <n v="0.98733118197012915"/>
    <n v="1.0018347292042047"/>
    <n v="1.0096658296796432"/>
    <n v="1.0194758688591736"/>
    <n v="1.0326459714456602"/>
    <n v="1.0324003784447502"/>
    <n v="1.030833835255005"/>
    <x v="0"/>
    <s v="spec03"/>
    <x v="9"/>
    <s v="N15G3f"/>
    <x v="7"/>
  </r>
  <r>
    <s v="y_CN_N15G3f_spec18"/>
    <n v="1.0337619828236546"/>
    <n v="1.0674445402560706"/>
    <n v="1.1142835172574759"/>
    <n v="1.1287106519181322"/>
    <n v="1.0790877540682393"/>
    <n v="1.0716985525688754"/>
    <n v="1.0499323159313982"/>
    <n v="1.041713817653992"/>
    <x v="0"/>
    <s v="spec18"/>
    <x v="9"/>
    <s v="N15G3f"/>
    <x v="8"/>
  </r>
  <r>
    <s v="y_JP_N15G3f_spec02"/>
    <n v="1"/>
    <n v="1"/>
    <n v="1"/>
    <n v="1"/>
    <n v="1"/>
    <n v="1"/>
    <n v="1"/>
    <n v="1"/>
    <x v="0"/>
    <s v="spec02"/>
    <x v="10"/>
    <s v="N15G3f"/>
    <x v="0"/>
  </r>
  <r>
    <s v="y_JP_N15G3f_spec01"/>
    <n v="0.96336126483406137"/>
    <n v="0.96903239490421211"/>
    <n v="0.96996810268191802"/>
    <n v="0.98493233478822417"/>
    <n v="0.98947461888992827"/>
    <n v="0.98879654559900843"/>
    <n v="1.0077267645942676"/>
    <n v="1.0208233644538827"/>
    <x v="0"/>
    <s v="spec01"/>
    <x v="10"/>
    <s v="N15G3f"/>
    <x v="1"/>
  </r>
  <r>
    <s v="y_JP_N15G3f_spec04"/>
    <n v="0.99246480668043813"/>
    <n v="0.97673716723701876"/>
    <n v="0.97359408353853627"/>
    <n v="0.97212871180201577"/>
    <n v="0.98243823414927245"/>
    <n v="0.984558082115362"/>
    <n v="0.98406040754356339"/>
    <n v="0.99680365949119376"/>
    <x v="0"/>
    <s v="spec04"/>
    <x v="10"/>
    <s v="N15G3f"/>
    <x v="2"/>
  </r>
  <r>
    <s v="y_JP_N15G3f_spec07"/>
    <n v="0.95968781225695265"/>
    <n v="0.9175675181428059"/>
    <n v="0.93875892976076891"/>
    <n v="0.99042250631417394"/>
    <n v="0.98269786365494249"/>
    <n v="0.96236063020471785"/>
    <n v="0.97716709188694006"/>
    <n v="1.0128731670205191"/>
    <x v="0"/>
    <s v="spec07"/>
    <x v="10"/>
    <s v="N15G3f"/>
    <x v="3"/>
  </r>
  <r>
    <s v="y_JP_N15G3f_spec08"/>
    <n v="0.99489862122139217"/>
    <n v="0.95460269024500999"/>
    <n v="0.94813888979616601"/>
    <n v="0.97397444342353712"/>
    <n v="0.96824367269819556"/>
    <n v="0.95850579114152568"/>
    <n v="0.97922116773228829"/>
    <n v="1.0337157624410127"/>
    <x v="0"/>
    <s v="spec08"/>
    <x v="10"/>
    <s v="N15G3f"/>
    <x v="4"/>
  </r>
  <r>
    <s v="y_JP_N15G3f_spec09"/>
    <n v="1.0277552427151309"/>
    <n v="0.93324323551626298"/>
    <n v="0.92749698156569405"/>
    <n v="0.96296960409778554"/>
    <n v="0.9663889811909484"/>
    <n v="0.96910709146099017"/>
    <n v="0.99573938944954776"/>
    <n v="1.0091897146402726"/>
    <x v="0"/>
    <s v="spec09"/>
    <x v="10"/>
    <s v="N15G3f"/>
    <x v="5"/>
  </r>
  <r>
    <s v="y_JP_N15G3f_spec10"/>
    <n v="1.024471767010467"/>
    <n v="1.8887618866890725"/>
    <n v="1.9508103018602807"/>
    <n v="2.1310225970315191"/>
    <n v="2.0934632282721193"/>
    <n v="2.0612927036598254"/>
    <n v="2.0938701085976721"/>
    <n v="2.010710249902993"/>
    <x v="0"/>
    <s v="spec10"/>
    <x v="10"/>
    <s v="N15G3f"/>
    <x v="6"/>
  </r>
  <r>
    <s v="y_JP_N15G3f_spec03"/>
    <n v="0.96348392161671825"/>
    <n v="0.94938298108094787"/>
    <n v="0.93814655888169152"/>
    <n v="0.94462564843463959"/>
    <n v="0.95743161521763254"/>
    <n v="0.96223974979852833"/>
    <n v="0.9812942146136352"/>
    <n v="1.001463116859924"/>
    <x v="0"/>
    <s v="spec03"/>
    <x v="10"/>
    <s v="N15G3f"/>
    <x v="7"/>
  </r>
  <r>
    <s v="y_JP_N15G3f_spec18"/>
    <n v="0.96733756543766891"/>
    <n v="0.97982584002503426"/>
    <n v="0.95445758633513611"/>
    <n v="0.97226645215861396"/>
    <n v="0.97903433094725723"/>
    <n v="0.98741971096641812"/>
    <n v="0.99965768447205861"/>
    <n v="1.0296544613296659"/>
    <x v="0"/>
    <s v="spec18"/>
    <x v="10"/>
    <s v="N15G3f"/>
    <x v="8"/>
  </r>
  <r>
    <s v="y_AU_N15G3f_spec02"/>
    <n v="1"/>
    <n v="1"/>
    <n v="1"/>
    <n v="1"/>
    <n v="1"/>
    <n v="1"/>
    <n v="1"/>
    <n v="1"/>
    <x v="0"/>
    <s v="spec02"/>
    <x v="11"/>
    <s v="N15G3f"/>
    <x v="0"/>
  </r>
  <r>
    <s v="y_AU_N15G3f_spec01"/>
    <n v="0.96592351578166136"/>
    <n v="0.95799760102178999"/>
    <n v="0.95192965028763854"/>
    <n v="0.95753789891760099"/>
    <n v="0.95373918726872198"/>
    <n v="0.97385122417807668"/>
    <n v="0.97042345076541403"/>
    <n v="0.97594481218171791"/>
    <x v="0"/>
    <s v="spec01"/>
    <x v="11"/>
    <s v="N15G3f"/>
    <x v="1"/>
  </r>
  <r>
    <s v="y_AU_N15G3f_spec04"/>
    <n v="1.0041148331925811"/>
    <n v="1.0096633277118607"/>
    <n v="1.0065492669160103"/>
    <n v="1.0099429512079365"/>
    <n v="1.0047588644840764"/>
    <n v="1.0181922823697649"/>
    <n v="1.0140379865031415"/>
    <n v="1.0110983469786403"/>
    <x v="0"/>
    <s v="spec04"/>
    <x v="11"/>
    <s v="N15G3f"/>
    <x v="2"/>
  </r>
  <r>
    <s v="y_AU_N15G3f_spec07"/>
    <n v="0.97017013919140105"/>
    <n v="0.90074698826814847"/>
    <n v="0.94139504024905385"/>
    <n v="0.94156075450713894"/>
    <n v="0.94317819809237435"/>
    <n v="0.93445207508311801"/>
    <n v="0.99896573612552386"/>
    <n v="0.96633918147114706"/>
    <x v="0"/>
    <s v="spec07"/>
    <x v="11"/>
    <s v="N15G3f"/>
    <x v="3"/>
  </r>
  <r>
    <s v="y_AU_N15G3f_spec08"/>
    <n v="1.3886899018758267"/>
    <n v="1.1955853729773942"/>
    <n v="1.1667321658203738"/>
    <n v="1.172030307748362"/>
    <n v="1.2032217178721929"/>
    <n v="1.2298438629927086"/>
    <n v="1.2211878687600866"/>
    <n v="1.2644666663347739"/>
    <x v="0"/>
    <s v="spec08"/>
    <x v="11"/>
    <s v="N15G3f"/>
    <x v="4"/>
  </r>
  <r>
    <s v="y_AU_N15G3f_spec09"/>
    <n v="1.2339340382684607"/>
    <n v="1.2293433635119975"/>
    <n v="1.2204804119666695"/>
    <n v="1.2351876999664879"/>
    <n v="1.2291367348263258"/>
    <n v="1.2807014620541806"/>
    <n v="1.2378564000291796"/>
    <n v="1.266444005095491"/>
    <x v="0"/>
    <s v="spec09"/>
    <x v="11"/>
    <s v="N15G3f"/>
    <x v="5"/>
  </r>
  <r>
    <s v="y_AU_N15G3f_spec10"/>
    <n v="1.4298071864854864"/>
    <n v="2.8471745972041629"/>
    <n v="2.9289714896157126"/>
    <n v="2.9383349823648728"/>
    <n v="3.1471416922476192"/>
    <n v="3.2718807264984333"/>
    <n v="3.3049429010533191"/>
    <n v="3.2163074464878743"/>
    <x v="0"/>
    <s v="spec10"/>
    <x v="11"/>
    <s v="N15G3f"/>
    <x v="6"/>
  </r>
  <r>
    <s v="y_AU_N15G3f_spec03"/>
    <n v="1.0046955764639387"/>
    <n v="1.0291040970558067"/>
    <n v="1.0320733484074405"/>
    <n v="1.0310991177655824"/>
    <n v="1.0204961503323462"/>
    <n v="1.0197300487945431"/>
    <n v="1.0096309719418026"/>
    <n v="1.0002856138843461"/>
    <x v="0"/>
    <s v="spec03"/>
    <x v="11"/>
    <s v="N15G3f"/>
    <x v="7"/>
  </r>
  <r>
    <s v="y_AU_N15G3f_spec18"/>
    <n v="0.96950245833072868"/>
    <n v="0.94204996940908747"/>
    <n v="0.93219459028327589"/>
    <n v="0.92566441186162307"/>
    <n v="0.92237659311926867"/>
    <n v="0.94674447345265578"/>
    <n v="0.93381143979740666"/>
    <n v="0.95712434748947206"/>
    <x v="0"/>
    <s v="spec18"/>
    <x v="11"/>
    <s v="N15G3f"/>
    <x v="8"/>
  </r>
  <r>
    <s v="y_AT_N15G3f_spec02"/>
    <n v="1"/>
    <n v="1"/>
    <n v="1"/>
    <n v="1"/>
    <n v="1"/>
    <n v="1"/>
    <n v="1"/>
    <n v="1"/>
    <x v="0"/>
    <s v="spec02"/>
    <x v="12"/>
    <s v="N15G3f"/>
    <x v="0"/>
  </r>
  <r>
    <s v="y_AT_N15G3f_spec01"/>
    <n v="0.97699227514162956"/>
    <n v="0.99840798067140224"/>
    <n v="1.0057181031232436"/>
    <n v="0.99511009530161398"/>
    <n v="1.0046983590416199"/>
    <n v="0.99903750893108967"/>
    <n v="1.0004695078623969"/>
    <n v="0.9965886964335422"/>
    <x v="0"/>
    <s v="spec01"/>
    <x v="12"/>
    <s v="N15G3f"/>
    <x v="1"/>
  </r>
  <r>
    <s v="y_AT_N15G3f_spec04"/>
    <n v="0.9778415110034846"/>
    <n v="0.99394830606217444"/>
    <n v="1.0022948175882846"/>
    <n v="0.99708307882054326"/>
    <n v="1.0017155034798761"/>
    <n v="0.99986300118547888"/>
    <n v="1.0014164322318519"/>
    <n v="1.0018469774813523"/>
    <x v="0"/>
    <s v="spec04"/>
    <x v="12"/>
    <s v="N15G3f"/>
    <x v="2"/>
  </r>
  <r>
    <s v="y_AT_N15G3f_spec07"/>
    <n v="0.94966489166784451"/>
    <n v="0.97633761678888287"/>
    <n v="1.0156303512291538"/>
    <n v="0.99126232025293626"/>
    <n v="1.0172121491433828"/>
    <n v="0.99735321472460381"/>
    <n v="1.0027316591107893"/>
    <n v="1.0329756453948509"/>
    <x v="0"/>
    <s v="spec07"/>
    <x v="12"/>
    <s v="N15G3f"/>
    <x v="3"/>
  </r>
  <r>
    <s v="y_AT_N15G3f_spec08"/>
    <n v="0.98170778831985817"/>
    <n v="1.0334631859387904"/>
    <n v="1.0429949755520738"/>
    <n v="1.0534924416144213"/>
    <n v="1.0410735664602913"/>
    <n v="1.0269759640597309"/>
    <n v="1.0331993108301445"/>
    <n v="1.0254114781156265"/>
    <x v="0"/>
    <s v="spec08"/>
    <x v="12"/>
    <s v="N15G3f"/>
    <x v="4"/>
  </r>
  <r>
    <s v="y_AT_N15G3f_spec09"/>
    <n v="0.96651499303488875"/>
    <n v="0.97578158897792544"/>
    <n v="1.022896232820764"/>
    <n v="0.9687893278481392"/>
    <n v="0.99804499244787948"/>
    <n v="1.0145285360949217"/>
    <n v="1.0046264955266078"/>
    <n v="1.017156390687177"/>
    <x v="0"/>
    <s v="spec09"/>
    <x v="12"/>
    <s v="N15G3f"/>
    <x v="5"/>
  </r>
  <r>
    <s v="y_AT_N15G3f_spec10"/>
    <n v="0.99984755357192268"/>
    <n v="1.6206390160730193"/>
    <n v="1.8118876709621436"/>
    <n v="1.6668855706845085"/>
    <n v="1.677878650481623"/>
    <n v="1.8820620476526762"/>
    <n v="1.895723965137265"/>
    <n v="1.9638803215278693"/>
    <x v="0"/>
    <s v="spec10"/>
    <x v="12"/>
    <s v="N15G3f"/>
    <x v="6"/>
  </r>
  <r>
    <s v="y_AT_N15G3f_spec03"/>
    <n v="0.9896941760596395"/>
    <n v="0.99368302003495668"/>
    <n v="0.99877534124513523"/>
    <n v="1.0046351838122745"/>
    <n v="0.99974276441412213"/>
    <n v="1.0002367261761314"/>
    <n v="0.99820317330606867"/>
    <n v="1.0004101759124988"/>
    <x v="0"/>
    <s v="spec03"/>
    <x v="12"/>
    <s v="N15G3f"/>
    <x v="7"/>
  </r>
  <r>
    <s v="y_AT_N15G3f_spec18"/>
    <n v="0.96266625851766874"/>
    <n v="1.0128254172576687"/>
    <n v="1.0379624649280181"/>
    <n v="0.98559246530036038"/>
    <n v="1.0113763841844685"/>
    <n v="1.0097595327527633"/>
    <n v="1.0082529921658523"/>
    <n v="1.0033534006010427"/>
    <x v="0"/>
    <s v="spec18"/>
    <x v="12"/>
    <s v="N15G3f"/>
    <x v="8"/>
  </r>
  <r>
    <s v="y_IN_N15G3f_spec02"/>
    <n v="1"/>
    <n v="1"/>
    <n v="1"/>
    <n v="1"/>
    <n v="1"/>
    <n v="1"/>
    <n v="1"/>
    <n v="1"/>
    <x v="0"/>
    <s v="spec02"/>
    <x v="13"/>
    <s v="N15G3f"/>
    <x v="0"/>
  </r>
  <r>
    <s v="y_IN_N15G3f_spec01"/>
    <n v="0.97768331770071348"/>
    <n v="0.98399522096123115"/>
    <n v="0.99380826409003931"/>
    <n v="0.99509101926541876"/>
    <n v="0.9886034461750921"/>
    <n v="0.9968143738648727"/>
    <n v="0.99367416887761728"/>
    <n v="1.00006503175848"/>
    <x v="0"/>
    <s v="spec01"/>
    <x v="13"/>
    <s v="N15G3f"/>
    <x v="1"/>
  </r>
  <r>
    <s v="y_IN_N15G3f_spec04"/>
    <n v="0.98980181135734502"/>
    <n v="0.98961425607956066"/>
    <n v="0.9985554951408252"/>
    <n v="1.0029848586037977"/>
    <n v="1.0007065194507752"/>
    <n v="0.99771498531752301"/>
    <n v="0.99627935453391359"/>
    <n v="0.99990925115358176"/>
    <x v="0"/>
    <s v="spec04"/>
    <x v="13"/>
    <s v="N15G3f"/>
    <x v="2"/>
  </r>
  <r>
    <s v="y_IN_N15G3f_spec07"/>
    <n v="0.96468704320712129"/>
    <n v="1.0445809182483861"/>
    <n v="1.0121982997282128"/>
    <n v="1.0299281224105159"/>
    <n v="1.0526047329676129"/>
    <n v="0.99505593671650694"/>
    <n v="1.0051461610218764"/>
    <n v="1.0298167410307895"/>
    <x v="0"/>
    <s v="spec07"/>
    <x v="13"/>
    <s v="N15G3f"/>
    <x v="3"/>
  </r>
  <r>
    <s v="y_IN_N15G3f_spec08"/>
    <n v="1.1360496087718828"/>
    <n v="1.0125035108513472"/>
    <n v="1.0574077069464674"/>
    <n v="1.1223523178541277"/>
    <n v="1.1311570542308456"/>
    <n v="1.1031373622674092"/>
    <n v="1.089538976285783"/>
    <n v="1.1077020578060388"/>
    <x v="0"/>
    <s v="spec08"/>
    <x v="13"/>
    <s v="N15G3f"/>
    <x v="4"/>
  </r>
  <r>
    <s v="y_IN_N15G3f_spec09"/>
    <n v="1.0026721274311754"/>
    <n v="0.99976298960943888"/>
    <n v="1.0061194117138885"/>
    <n v="1.0128892315212228"/>
    <n v="0.99537140140125502"/>
    <n v="0.99339183324639935"/>
    <n v="0.99775574303821524"/>
    <n v="1.0227630167943165"/>
    <x v="0"/>
    <s v="spec09"/>
    <x v="13"/>
    <s v="N15G3f"/>
    <x v="5"/>
  </r>
  <r>
    <s v="y_IN_N15G3f_spec10"/>
    <n v="1.0500489838437563"/>
    <n v="1.5416931273346748"/>
    <n v="1.4638716693831799"/>
    <n v="1.5272562947615735"/>
    <n v="1.5810389751703533"/>
    <n v="1.5617937724361275"/>
    <n v="1.6218405203873769"/>
    <n v="1.6327049893513319"/>
    <x v="0"/>
    <s v="spec10"/>
    <x v="13"/>
    <s v="N15G3f"/>
    <x v="6"/>
  </r>
  <r>
    <s v="y_IN_N15G3f_spec03"/>
    <n v="1.0389268556621636"/>
    <n v="1.0104472577326598"/>
    <n v="0.99587774345346869"/>
    <n v="0.98621417589504401"/>
    <n v="1.0020185100629857"/>
    <n v="0.99696001831565484"/>
    <n v="0.9929691570981467"/>
    <n v="0.99461084050961268"/>
    <x v="0"/>
    <s v="spec03"/>
    <x v="13"/>
    <s v="N15G3f"/>
    <x v="7"/>
  </r>
  <r>
    <s v="y_IN_N15G3f_spec18"/>
    <n v="1.031209869189309"/>
    <n v="1.0372873430323688"/>
    <n v="1.026073827303466"/>
    <n v="1.0355261500669553"/>
    <n v="1.0389573245206916"/>
    <n v="1.0403821568632845"/>
    <n v="1.0353914469330114"/>
    <n v="1.0573743109310678"/>
    <x v="0"/>
    <s v="spec18"/>
    <x v="13"/>
    <s v="N15G3f"/>
    <x v="8"/>
  </r>
  <r>
    <s v="y_CH_N15G3f_spec02"/>
    <n v="1"/>
    <n v="1"/>
    <n v="1"/>
    <n v="1"/>
    <n v="1"/>
    <n v="1"/>
    <n v="1"/>
    <n v="1"/>
    <x v="0"/>
    <s v="spec02"/>
    <x v="14"/>
    <s v="N15G3f"/>
    <x v="0"/>
  </r>
  <r>
    <s v="y_CH_N15G3f_spec01"/>
    <n v="1.0322443747120094"/>
    <n v="1.0369244725648323"/>
    <n v="1.0190237196272958"/>
    <n v="1.0043897848452163"/>
    <n v="0.99882164518443395"/>
    <n v="0.99596891397832676"/>
    <n v="0.99798912238145687"/>
    <n v="0.99724169110135363"/>
    <x v="0"/>
    <s v="spec01"/>
    <x v="14"/>
    <s v="N15G3f"/>
    <x v="1"/>
  </r>
  <r>
    <s v="y_CH_N15G3f_spec04"/>
    <n v="1.0085670084104814"/>
    <n v="1.004707400668752"/>
    <n v="1.0078891677254496"/>
    <n v="1.0044035264597413"/>
    <n v="1.0031319155590919"/>
    <n v="0.9976564039699557"/>
    <n v="0.99973217645771761"/>
    <n v="1.0031115609946866"/>
    <x v="0"/>
    <s v="spec04"/>
    <x v="14"/>
    <s v="N15G3f"/>
    <x v="2"/>
  </r>
  <r>
    <s v="y_CH_N15G3f_spec07"/>
    <n v="1.0209020610945703"/>
    <n v="1.0483592634426606"/>
    <n v="1.045732083971264"/>
    <n v="1.0207527728613131"/>
    <n v="1.016758318509122"/>
    <n v="1.0201166353350337"/>
    <n v="1.0407003167750253"/>
    <n v="0.98479896193718708"/>
    <x v="0"/>
    <s v="spec07"/>
    <x v="14"/>
    <s v="N15G3f"/>
    <x v="3"/>
  </r>
  <r>
    <s v="y_CH_N15G3f_spec08"/>
    <n v="1.0702147551199694"/>
    <n v="1.025068548097104"/>
    <n v="1.0293618442084504"/>
    <n v="1.0263316485667791"/>
    <n v="1.0023157324634366"/>
    <n v="1.0076815049359751"/>
    <n v="1.0073084535701557"/>
    <n v="1.0087191518568113"/>
    <x v="0"/>
    <s v="spec08"/>
    <x v="14"/>
    <s v="N15G3f"/>
    <x v="4"/>
  </r>
  <r>
    <s v="y_CH_N15G3f_spec09"/>
    <n v="1.1514250818259635"/>
    <n v="1.0757029004979324"/>
    <n v="1.07552461019558"/>
    <n v="1.0766762092922304"/>
    <n v="1.0772268347662939"/>
    <n v="1.0884473745203191"/>
    <n v="1.0732759929250224"/>
    <n v="1.065216737617106"/>
    <x v="0"/>
    <s v="spec09"/>
    <x v="14"/>
    <s v="N15G3f"/>
    <x v="5"/>
  </r>
  <r>
    <s v="y_CH_N15G3f_spec10"/>
    <n v="1.1175425716180851"/>
    <n v="2.0579978669152328"/>
    <n v="2.072062449019084"/>
    <n v="1.9170074518618123"/>
    <n v="2.0656562034328405"/>
    <n v="2.1680764226889848"/>
    <n v="2.1639057286536376"/>
    <n v="2.056608844627414"/>
    <x v="0"/>
    <s v="spec10"/>
    <x v="14"/>
    <s v="N15G3f"/>
    <x v="6"/>
  </r>
  <r>
    <s v="y_CH_N15G3f_spec03"/>
    <n v="1.0157567165739065"/>
    <n v="1.0329923813808495"/>
    <n v="1.0367701925223873"/>
    <n v="1.0233881695018523"/>
    <n v="1.0136867584835034"/>
    <n v="1.0129038873883702"/>
    <n v="1.0121023568501633"/>
    <n v="1.0126659989751932"/>
    <x v="0"/>
    <s v="spec03"/>
    <x v="14"/>
    <s v="N15G3f"/>
    <x v="7"/>
  </r>
  <r>
    <s v="y_CH_N15G3f_spec18"/>
    <n v="1.0841565171325847"/>
    <n v="1.1178655257443542"/>
    <n v="1.042239135092671"/>
    <n v="0.99850203546481286"/>
    <n v="0.99746747618840936"/>
    <n v="0.99698006368576642"/>
    <n v="0.9927951456251739"/>
    <n v="0.98770835661957845"/>
    <x v="0"/>
    <s v="spec18"/>
    <x v="14"/>
    <s v="N15G3f"/>
    <x v="8"/>
  </r>
  <r>
    <s v="Dp_DE_N15G3f_spec02"/>
    <n v="1"/>
    <n v="1"/>
    <n v="1"/>
    <n v="1"/>
    <n v="1"/>
    <n v="1"/>
    <n v="1"/>
    <n v="1"/>
    <x v="1"/>
    <s v="spec02"/>
    <x v="0"/>
    <s v="N15G3f"/>
    <x v="0"/>
  </r>
  <r>
    <s v="Dp_DE_N15G3f_spec01"/>
    <n v="1.0122139889051009"/>
    <n v="0.99481913679009981"/>
    <n v="0.98983178404126759"/>
    <n v="1.0001174494023071"/>
    <n v="0.99884528633942959"/>
    <n v="0.98983139283045174"/>
    <n v="0.99217159410078104"/>
    <n v="0.98252264197501205"/>
    <x v="1"/>
    <s v="spec01"/>
    <x v="0"/>
    <s v="N15G3f"/>
    <x v="1"/>
  </r>
  <r>
    <s v="Dp_DE_N15G3f_spec04"/>
    <n v="1.0204361730334885"/>
    <n v="1.0340346835390226"/>
    <n v="1.0463357159380529"/>
    <n v="1.0241855938191566"/>
    <n v="1.0330018721688448"/>
    <n v="1.0236533168871704"/>
    <n v="1.0036613437696988"/>
    <n v="0.99794031489942203"/>
    <x v="1"/>
    <s v="spec04"/>
    <x v="0"/>
    <s v="N15G3f"/>
    <x v="2"/>
  </r>
  <r>
    <s v="Dp_DE_N15G3f_spec07"/>
    <n v="1.2148153455384136"/>
    <n v="1.1799841703083331"/>
    <n v="1.1347437732550667"/>
    <n v="1.1049489760714419"/>
    <n v="1.1368544436385433"/>
    <n v="1.0862000104365408"/>
    <n v="1.079134293093307"/>
    <n v="1.0642777656471782"/>
    <x v="1"/>
    <s v="spec07"/>
    <x v="0"/>
    <s v="N15G3f"/>
    <x v="3"/>
  </r>
  <r>
    <s v="Dp_DE_N15G3f_spec08"/>
    <n v="1.1491992435921468"/>
    <n v="1.2523056008086464"/>
    <n v="1.1836972580221172"/>
    <n v="1.1946985374861703"/>
    <n v="1.1963959684399579"/>
    <n v="1.1571117447238999"/>
    <n v="1.1347401402469315"/>
    <n v="1.1005956363327833"/>
    <x v="1"/>
    <s v="spec08"/>
    <x v="0"/>
    <s v="N15G3f"/>
    <x v="4"/>
  </r>
  <r>
    <s v="Dp_DE_N15G3f_spec09"/>
    <n v="0.94067067133108229"/>
    <n v="0.97400360319126711"/>
    <n v="0.96721856934748052"/>
    <n v="0.95528862616544241"/>
    <n v="0.97430322239234624"/>
    <n v="0.93498013594455021"/>
    <n v="0.91678619406633732"/>
    <n v="0.95672869407064509"/>
    <x v="1"/>
    <s v="spec09"/>
    <x v="0"/>
    <s v="N15G3f"/>
    <x v="5"/>
  </r>
  <r>
    <s v="Dp_DE_N15G3f_spec10"/>
    <n v="1.1973232888592809"/>
    <n v="1.2176354495880879"/>
    <n v="1.2464412346923863"/>
    <n v="1.2437166575463394"/>
    <n v="1.2696745340562137"/>
    <n v="1.24309898664189"/>
    <n v="1.2498989487078325"/>
    <n v="1.3333348160091227"/>
    <x v="1"/>
    <s v="spec10"/>
    <x v="0"/>
    <s v="N15G3f"/>
    <x v="6"/>
  </r>
  <r>
    <s v="Dp_DE_N15G3f_spec03"/>
    <n v="1.0163090064242617"/>
    <n v="1.0336625880788679"/>
    <n v="1.0480047305476228"/>
    <n v="1.0464436912135933"/>
    <n v="1.0483766472619354"/>
    <n v="1.0394351006001774"/>
    <n v="1.0338477284364247"/>
    <n v="1.0413060341321536"/>
    <x v="1"/>
    <s v="spec03"/>
    <x v="0"/>
    <s v="N15G3f"/>
    <x v="7"/>
  </r>
  <r>
    <s v="Dp_DE_N15G3f_spec18"/>
    <n v="1.1198447326569536"/>
    <n v="1.1972649667729307"/>
    <n v="1.2713561562696711"/>
    <n v="1.3044094029902469"/>
    <n v="1.3605015626162658"/>
    <n v="1.3574087145246665"/>
    <n v="1.3639122066730478"/>
    <n v="1.3961461731697593"/>
    <x v="1"/>
    <s v="spec18"/>
    <x v="0"/>
    <s v="N15G3f"/>
    <x v="8"/>
  </r>
  <r>
    <s v="Dp_FR_N15G3f_spec02"/>
    <n v="1"/>
    <n v="1"/>
    <n v="1"/>
    <n v="1"/>
    <n v="1"/>
    <n v="1"/>
    <n v="1"/>
    <n v="1"/>
    <x v="1"/>
    <s v="spec02"/>
    <x v="1"/>
    <s v="N15G3f"/>
    <x v="0"/>
  </r>
  <r>
    <s v="Dp_FR_N15G3f_spec01"/>
    <n v="0.96620632614531921"/>
    <n v="0.95037245643933443"/>
    <n v="0.95518007759625601"/>
    <n v="0.95083296739547218"/>
    <n v="0.94138739659605986"/>
    <n v="0.92822744993460693"/>
    <n v="0.9228536727302048"/>
    <n v="0.92143156092905343"/>
    <x v="1"/>
    <s v="spec01"/>
    <x v="1"/>
    <s v="N15G3f"/>
    <x v="1"/>
  </r>
  <r>
    <s v="Dp_FR_N15G3f_spec04"/>
    <n v="1.0177540407572288"/>
    <n v="1.0056805612185462"/>
    <n v="1.0073490118088835"/>
    <n v="1.0057153586556518"/>
    <n v="1.0035785930093417"/>
    <n v="1.0136815325984998"/>
    <n v="1.0147689719814317"/>
    <n v="1.0141054506825005"/>
    <x v="1"/>
    <s v="spec04"/>
    <x v="1"/>
    <s v="N15G3f"/>
    <x v="2"/>
  </r>
  <r>
    <s v="Dp_FR_N15G3f_spec07"/>
    <n v="1.7501219248354305"/>
    <n v="1.684476789391314"/>
    <n v="1.6109724372834129"/>
    <n v="1.5650378115578321"/>
    <n v="1.562441718226556"/>
    <n v="1.5428565913155503"/>
    <n v="1.5595214947272611"/>
    <n v="1.4710188894135843"/>
    <x v="1"/>
    <s v="spec07"/>
    <x v="1"/>
    <s v="N15G3f"/>
    <x v="3"/>
  </r>
  <r>
    <s v="Dp_FR_N15G3f_spec08"/>
    <n v="1.0540686620499271"/>
    <n v="1.2714361797924512"/>
    <n v="1.2671155787651929"/>
    <n v="1.2138803459865133"/>
    <n v="1.2283803404399929"/>
    <n v="1.2221449272628107"/>
    <n v="1.2329725128335334"/>
    <n v="1.1757510951782644"/>
    <x v="1"/>
    <s v="spec08"/>
    <x v="1"/>
    <s v="N15G3f"/>
    <x v="4"/>
  </r>
  <r>
    <s v="Dp_FR_N15G3f_spec09"/>
    <n v="1.0559615957925954"/>
    <n v="1.0069953711008683"/>
    <n v="0.94944190967516096"/>
    <n v="0.94930345935854155"/>
    <n v="0.94437415279918302"/>
    <n v="0.89626722418038685"/>
    <n v="0.86025161659635263"/>
    <n v="0.89752851738044093"/>
    <x v="1"/>
    <s v="spec09"/>
    <x v="1"/>
    <s v="N15G3f"/>
    <x v="5"/>
  </r>
  <r>
    <s v="Dp_FR_N15G3f_spec10"/>
    <n v="1.1337010930459532"/>
    <n v="1.1106978332961459"/>
    <n v="1.0916107843823859"/>
    <n v="1.1192675300578874"/>
    <n v="1.1430752884825544"/>
    <n v="1.0858308700487072"/>
    <n v="1.125717544688039"/>
    <n v="1.105180552243507"/>
    <x v="1"/>
    <s v="spec10"/>
    <x v="1"/>
    <s v="N15G3f"/>
    <x v="6"/>
  </r>
  <r>
    <s v="Dp_FR_N15G3f_spec03"/>
    <n v="1.0063413312825942"/>
    <n v="1.0134929431894903"/>
    <n v="1.0325907437496504"/>
    <n v="1.0420107259148927"/>
    <n v="1.0367579473251187"/>
    <n v="1.0320792006364428"/>
    <n v="1.0701724489005362"/>
    <n v="1.0788722053514015"/>
    <x v="1"/>
    <s v="spec03"/>
    <x v="1"/>
    <s v="N15G3f"/>
    <x v="7"/>
  </r>
  <r>
    <s v="Dp_FR_N15G3f_spec18"/>
    <n v="1.0730609924980434"/>
    <n v="1.1304780664168645"/>
    <n v="1.1473816273648976"/>
    <n v="1.1607018815093506"/>
    <n v="1.153883396201562"/>
    <n v="1.1450394769846874"/>
    <n v="1.1596874657359217"/>
    <n v="1.1234205075830532"/>
    <x v="1"/>
    <s v="spec18"/>
    <x v="1"/>
    <s v="N15G3f"/>
    <x v="8"/>
  </r>
  <r>
    <s v="Dp_IT_N15G3f_spec02"/>
    <n v="1"/>
    <n v="1"/>
    <n v="1"/>
    <n v="1"/>
    <n v="1"/>
    <n v="1"/>
    <n v="1"/>
    <n v="1"/>
    <x v="1"/>
    <s v="spec02"/>
    <x v="2"/>
    <s v="N15G3f"/>
    <x v="0"/>
  </r>
  <r>
    <s v="Dp_IT_N15G3f_spec01"/>
    <n v="0.91400343774093229"/>
    <n v="0.89686714730553041"/>
    <n v="0.92233056924299006"/>
    <n v="0.92415836199727586"/>
    <n v="0.89803946790539335"/>
    <n v="0.88095747646135891"/>
    <n v="0.88086592066617886"/>
    <n v="0.8861148353998437"/>
    <x v="1"/>
    <s v="spec01"/>
    <x v="2"/>
    <s v="N15G3f"/>
    <x v="1"/>
  </r>
  <r>
    <s v="Dp_IT_N15G3f_spec04"/>
    <n v="1.0237121255046424"/>
    <n v="1.0176799698015289"/>
    <n v="1.017922051153594"/>
    <n v="1.0133762009154206"/>
    <n v="1.0316613692197076"/>
    <n v="1.0442685868428203"/>
    <n v="1.0459157284893257"/>
    <n v="1.0409254953260692"/>
    <x v="1"/>
    <s v="spec04"/>
    <x v="2"/>
    <s v="N15G3f"/>
    <x v="2"/>
  </r>
  <r>
    <s v="Dp_IT_N15G3f_spec07"/>
    <n v="2.8626208612286912"/>
    <n v="2.4946999800099166"/>
    <n v="2.4060550490330903"/>
    <n v="2.2552742914748309"/>
    <n v="2.132890249050261"/>
    <n v="1.9727139012337545"/>
    <n v="1.8600559117805384"/>
    <n v="1.7872912338077218"/>
    <x v="1"/>
    <s v="spec07"/>
    <x v="2"/>
    <s v="N15G3f"/>
    <x v="3"/>
  </r>
  <r>
    <s v="Dp_IT_N15G3f_spec08"/>
    <n v="1.3269600380594897"/>
    <n v="1.4710438739420286"/>
    <n v="1.4143810952445286"/>
    <n v="1.3664004708167699"/>
    <n v="1.3161741003829219"/>
    <n v="1.2346465560367026"/>
    <n v="1.1752702158738533"/>
    <n v="1.123525485197904"/>
    <x v="1"/>
    <s v="spec08"/>
    <x v="2"/>
    <s v="N15G3f"/>
    <x v="4"/>
  </r>
  <r>
    <s v="Dp_IT_N15G3f_spec09"/>
    <n v="1.312376663373507"/>
    <n v="1.3681468358292552"/>
    <n v="1.3108090839255815"/>
    <n v="1.277583244341733"/>
    <n v="1.2133566743685147"/>
    <n v="1.1188655520954001"/>
    <n v="1.0557729032990955"/>
    <n v="1.0252288294159326"/>
    <x v="1"/>
    <s v="spec09"/>
    <x v="2"/>
    <s v="N15G3f"/>
    <x v="5"/>
  </r>
  <r>
    <s v="Dp_IT_N15G3f_spec10"/>
    <n v="1.3001140565932108"/>
    <n v="1.5146665017486691"/>
    <n v="1.4917777456122081"/>
    <n v="1.4241022725147698"/>
    <n v="1.3179945027232305"/>
    <n v="1.2564884526627782"/>
    <n v="1.2098262264846333"/>
    <n v="1.2168305707699814"/>
    <x v="1"/>
    <s v="spec10"/>
    <x v="2"/>
    <s v="N15G3f"/>
    <x v="6"/>
  </r>
  <r>
    <s v="Dp_IT_N15G3f_spec03"/>
    <n v="0.9827545395460503"/>
    <n v="0.97552155398050577"/>
    <n v="1.0164403646491498"/>
    <n v="1.0312422493462849"/>
    <n v="1.0421664862193449"/>
    <n v="1.0665390011425189"/>
    <n v="1.0853959083432132"/>
    <n v="1.1018708517976379"/>
    <x v="1"/>
    <s v="spec03"/>
    <x v="2"/>
    <s v="N15G3f"/>
    <x v="7"/>
  </r>
  <r>
    <s v="Dp_IT_N15G3f_spec18"/>
    <n v="0.97197355188951351"/>
    <n v="0.9614255322088282"/>
    <n v="0.99778482817376801"/>
    <n v="0.99341684526305474"/>
    <n v="0.94007511403098909"/>
    <n v="0.8914109529440648"/>
    <n v="0.85413626585955482"/>
    <n v="0.84825349560489194"/>
    <x v="1"/>
    <s v="spec18"/>
    <x v="2"/>
    <s v="N15G3f"/>
    <x v="8"/>
  </r>
  <r>
    <s v="Dp_GB_N15G3f_spec02"/>
    <n v="1"/>
    <n v="1"/>
    <n v="1"/>
    <n v="1"/>
    <n v="1"/>
    <n v="1"/>
    <n v="1"/>
    <n v="1"/>
    <x v="1"/>
    <s v="spec02"/>
    <x v="3"/>
    <s v="N15G3f"/>
    <x v="0"/>
  </r>
  <r>
    <s v="Dp_GB_N15G3f_spec01"/>
    <n v="1.0040174026499653"/>
    <n v="0.98672762937827807"/>
    <n v="0.98376396712427161"/>
    <n v="0.97717784359864612"/>
    <n v="0.97903700618694944"/>
    <n v="0.98137093937741093"/>
    <n v="0.99121491565532016"/>
    <n v="0.98372530518860901"/>
    <x v="1"/>
    <s v="spec01"/>
    <x v="3"/>
    <s v="N15G3f"/>
    <x v="1"/>
  </r>
  <r>
    <s v="Dp_GB_N15G3f_spec04"/>
    <n v="0.98974856311219461"/>
    <n v="0.99167953336060166"/>
    <n v="0.98679714592512435"/>
    <n v="0.99142467668893519"/>
    <n v="0.98280082540561375"/>
    <n v="0.96633785904171543"/>
    <n v="0.95925400423291884"/>
    <n v="0.96178347107528928"/>
    <x v="1"/>
    <s v="spec04"/>
    <x v="3"/>
    <s v="N15G3f"/>
    <x v="2"/>
  </r>
  <r>
    <s v="Dp_GB_N15G3f_spec07"/>
    <n v="2.1995598196488131"/>
    <n v="1.6959606265079441"/>
    <n v="1.6126977911622669"/>
    <n v="1.5437484909477375"/>
    <n v="1.5182211855556991"/>
    <n v="1.4906798571163091"/>
    <n v="1.4239850561735883"/>
    <n v="1.3550615427832435"/>
    <x v="1"/>
    <s v="spec07"/>
    <x v="3"/>
    <s v="N15G3f"/>
    <x v="3"/>
  </r>
  <r>
    <s v="Dp_GB_N15G3f_spec08"/>
    <n v="1.3379860057167807"/>
    <n v="1.2762017945506465"/>
    <n v="1.2231240758379405"/>
    <n v="1.1710577320862401"/>
    <n v="1.1474074371576644"/>
    <n v="1.1202656919053842"/>
    <n v="1.0711489285081492"/>
    <n v="1.0089950289789433"/>
    <x v="1"/>
    <s v="spec08"/>
    <x v="3"/>
    <s v="N15G3f"/>
    <x v="4"/>
  </r>
  <r>
    <s v="Dp_GB_N15G3f_spec09"/>
    <n v="1.4192374862584116"/>
    <n v="1.3188442884307043"/>
    <n v="1.2718527793775483"/>
    <n v="1.237659785379472"/>
    <n v="1.2294191805377921"/>
    <n v="1.1675737913768209"/>
    <n v="1.1219421495501998"/>
    <n v="1.1085384953337063"/>
    <x v="1"/>
    <s v="spec09"/>
    <x v="3"/>
    <s v="N15G3f"/>
    <x v="5"/>
  </r>
  <r>
    <s v="Dp_GB_N15G3f_spec10"/>
    <n v="1.3742211600398964"/>
    <n v="1.1372470694905845"/>
    <n v="1.1177206014436338"/>
    <n v="1.0805400688500058"/>
    <n v="1.0566295008609068"/>
    <n v="1.0169516331460571"/>
    <n v="1.0254033645476885"/>
    <n v="1.0203751195416915"/>
    <x v="1"/>
    <s v="spec10"/>
    <x v="3"/>
    <s v="N15G3f"/>
    <x v="6"/>
  </r>
  <r>
    <s v="Dp_GB_N15G3f_spec03"/>
    <n v="1.0025179473668877"/>
    <n v="1.007473396729148"/>
    <n v="1.0177078038518035"/>
    <n v="1.0117503167102833"/>
    <n v="1.0118257116205509"/>
    <n v="1.0114308997345096"/>
    <n v="1.0253935028516219"/>
    <n v="1.0247123739826967"/>
    <x v="1"/>
    <s v="spec03"/>
    <x v="3"/>
    <s v="N15G3f"/>
    <x v="7"/>
  </r>
  <r>
    <s v="Dp_GB_N15G3f_spec18"/>
    <n v="1.0879171216743673"/>
    <n v="1.1113154396795184"/>
    <n v="1.1154460213477844"/>
    <n v="1.1091568947142778"/>
    <n v="1.1031511441690616"/>
    <n v="1.0956072144210789"/>
    <n v="1.0881280984227955"/>
    <n v="1.0889580942862676"/>
    <x v="1"/>
    <s v="spec18"/>
    <x v="3"/>
    <s v="N15G3f"/>
    <x v="8"/>
  </r>
  <r>
    <s v="Dp_US_N15G3f_spec02"/>
    <n v="1"/>
    <n v="1"/>
    <n v="1"/>
    <n v="1"/>
    <n v="1"/>
    <n v="1"/>
    <n v="1"/>
    <n v="1"/>
    <x v="1"/>
    <s v="spec02"/>
    <x v="4"/>
    <s v="N15G3f"/>
    <x v="0"/>
  </r>
  <r>
    <s v="Dp_US_N15G3f_spec01"/>
    <n v="0.9923909352704342"/>
    <n v="0.98682283582997576"/>
    <n v="0.98135353336368392"/>
    <n v="1.0043742831696951"/>
    <n v="1.0077030363601416"/>
    <n v="1.0030300508514285"/>
    <n v="0.99918260819245142"/>
    <n v="1.0009164068551608"/>
    <x v="1"/>
    <s v="spec01"/>
    <x v="4"/>
    <s v="N15G3f"/>
    <x v="1"/>
  </r>
  <r>
    <s v="Dp_US_N15G3f_spec04"/>
    <n v="0.99619081901020634"/>
    <n v="0.99342121125386773"/>
    <n v="1.0009745704706245"/>
    <n v="0.99742991127273195"/>
    <n v="0.99454626725339079"/>
    <n v="0.99148088683503011"/>
    <n v="0.99366326427606078"/>
    <n v="0.99104446916843181"/>
    <x v="1"/>
    <s v="spec04"/>
    <x v="4"/>
    <s v="N15G3f"/>
    <x v="2"/>
  </r>
  <r>
    <s v="Dp_US_N15G3f_spec07"/>
    <n v="1.2218966338022184"/>
    <n v="1.0797089294197808"/>
    <n v="1.076385135713642"/>
    <n v="1.1230616251365759"/>
    <n v="1.1596369316432831"/>
    <n v="1.133900321700388"/>
    <n v="1.0911441399580826"/>
    <n v="1.0798801726762635"/>
    <x v="1"/>
    <s v="spec07"/>
    <x v="4"/>
    <s v="N15G3f"/>
    <x v="3"/>
  </r>
  <r>
    <s v="Dp_US_N15G3f_spec08"/>
    <n v="0.99194038085568736"/>
    <n v="0.92872306549840944"/>
    <n v="0.93458154808198191"/>
    <n v="1.0016060921061374"/>
    <n v="0.99914529589917322"/>
    <n v="0.99088153751323205"/>
    <n v="0.98831313288006428"/>
    <n v="0.98284612893630363"/>
    <x v="1"/>
    <s v="spec08"/>
    <x v="4"/>
    <s v="N15G3f"/>
    <x v="4"/>
  </r>
  <r>
    <s v="Dp_US_N15G3f_spec09"/>
    <n v="1.0981952137610955"/>
    <n v="1.036259863735244"/>
    <n v="1.0390742233005488"/>
    <n v="1.0678854917132004"/>
    <n v="1.0694730288197558"/>
    <n v="1.0412804199671548"/>
    <n v="1.01583744821929"/>
    <n v="1.0325199280395809"/>
    <x v="1"/>
    <s v="spec09"/>
    <x v="4"/>
    <s v="N15G3f"/>
    <x v="5"/>
  </r>
  <r>
    <s v="Dp_US_N15G3f_spec10"/>
    <n v="0.96316075360314313"/>
    <n v="1.0176298813225331"/>
    <n v="1.0458313009006597"/>
    <n v="1.0887339667559608"/>
    <n v="1.0544276594661035"/>
    <n v="1.0381820474678274"/>
    <n v="1.0640467673295995"/>
    <n v="1.1136500778284772"/>
    <x v="1"/>
    <s v="spec10"/>
    <x v="4"/>
    <s v="N15G3f"/>
    <x v="6"/>
  </r>
  <r>
    <s v="Dp_US_N15G3f_spec03"/>
    <n v="0.99998452249114556"/>
    <n v="1.0025589855723438"/>
    <n v="1.010849273098243"/>
    <n v="1.0118163174447594"/>
    <n v="1.0032141635798908"/>
    <n v="1.0067221043937682"/>
    <n v="1.0168762459284209"/>
    <n v="1.0157747305425555"/>
    <x v="1"/>
    <s v="spec03"/>
    <x v="4"/>
    <s v="N15G3f"/>
    <x v="7"/>
  </r>
  <r>
    <s v="Dp_US_N15G3f_spec18"/>
    <n v="1.050171591671051"/>
    <n v="1.0769390047578971"/>
    <n v="1.0776433765801885"/>
    <n v="1.1080463432537508"/>
    <n v="1.0903962794406745"/>
    <n v="1.0876691309004805"/>
    <n v="1.1209193881530837"/>
    <n v="1.1204806295521474"/>
    <x v="1"/>
    <s v="spec18"/>
    <x v="4"/>
    <s v="N15G3f"/>
    <x v="8"/>
  </r>
  <r>
    <s v="Dp_CA_N15G3f_spec02"/>
    <n v="1"/>
    <n v="1"/>
    <n v="1"/>
    <n v="1"/>
    <n v="1"/>
    <n v="1"/>
    <n v="1"/>
    <n v="1"/>
    <x v="1"/>
    <s v="spec02"/>
    <x v="5"/>
    <s v="N15G3f"/>
    <x v="0"/>
  </r>
  <r>
    <s v="Dp_CA_N15G3f_spec01"/>
    <n v="0.99462519997851684"/>
    <n v="0.99466166517018617"/>
    <n v="0.99125642282459625"/>
    <n v="0.98787214231344533"/>
    <n v="0.99044652104258546"/>
    <n v="0.99342693311781127"/>
    <n v="1.0059739150644393"/>
    <n v="0.99697365665599891"/>
    <x v="1"/>
    <s v="spec01"/>
    <x v="5"/>
    <s v="N15G3f"/>
    <x v="1"/>
  </r>
  <r>
    <s v="Dp_CA_N15G3f_spec04"/>
    <n v="1.0023733584437466"/>
    <n v="0.99812615488510636"/>
    <n v="1.0013724111026505"/>
    <n v="1.0020847923681071"/>
    <n v="1.0126222677214367"/>
    <n v="1.0094484764403651"/>
    <n v="1.0035438107348476"/>
    <n v="0.99008842519435381"/>
    <x v="1"/>
    <s v="spec04"/>
    <x v="5"/>
    <s v="N15G3f"/>
    <x v="2"/>
  </r>
  <r>
    <s v="Dp_CA_N15G3f_spec07"/>
    <n v="1.2184218889281708"/>
    <n v="1.1490082929612955"/>
    <n v="1.201783852067497"/>
    <n v="1.220739108930766"/>
    <n v="1.2400261141960369"/>
    <n v="1.2219399373090651"/>
    <n v="1.2195694045542225"/>
    <n v="1.1995145602577222"/>
    <x v="1"/>
    <s v="spec07"/>
    <x v="5"/>
    <s v="N15G3f"/>
    <x v="3"/>
  </r>
  <r>
    <s v="Dp_CA_N15G3f_spec08"/>
    <n v="0.97950679495315385"/>
    <n v="0.92913433515616739"/>
    <n v="0.99637706021328432"/>
    <n v="1.0092081793345657"/>
    <n v="1.035657208814214"/>
    <n v="0.98182564201045031"/>
    <n v="0.99884052485294705"/>
    <n v="1.004442616062301"/>
    <x v="1"/>
    <s v="spec08"/>
    <x v="5"/>
    <s v="N15G3f"/>
    <x v="4"/>
  </r>
  <r>
    <s v="Dp_CA_N15G3f_spec09"/>
    <n v="1.0006595158568659"/>
    <n v="0.93909538743561205"/>
    <n v="0.93618099630452467"/>
    <n v="0.97160399182464086"/>
    <n v="0.9706056227034171"/>
    <n v="0.93549937784609138"/>
    <n v="0.95306102926321801"/>
    <n v="0.93678935369633309"/>
    <x v="1"/>
    <s v="spec09"/>
    <x v="5"/>
    <s v="N15G3f"/>
    <x v="5"/>
  </r>
  <r>
    <s v="Dp_CA_N15G3f_spec10"/>
    <n v="0.99179046237458357"/>
    <n v="1.0788204551215719"/>
    <n v="1.1273174563676791"/>
    <n v="1.1341530633098895"/>
    <n v="1.1293830748389926"/>
    <n v="1.1831219803215032"/>
    <n v="1.2755292628135508"/>
    <n v="1.2778162232218322"/>
    <x v="1"/>
    <s v="spec10"/>
    <x v="5"/>
    <s v="N15G3f"/>
    <x v="6"/>
  </r>
  <r>
    <s v="Dp_CA_N15G3f_spec03"/>
    <n v="1.0057890483018195"/>
    <n v="1.0201946402636337"/>
    <n v="1.0389520077171286"/>
    <n v="1.047829926666338"/>
    <n v="1.0586039328909462"/>
    <n v="1.0574996089151312"/>
    <n v="1.0576144851321689"/>
    <n v="1.0401573332368239"/>
    <x v="1"/>
    <s v="spec03"/>
    <x v="5"/>
    <s v="N15G3f"/>
    <x v="7"/>
  </r>
  <r>
    <s v="Dp_CA_N15G3f_spec18"/>
    <n v="1.0491842102246125"/>
    <n v="1.0958422489795254"/>
    <n v="1.1177397869384147"/>
    <n v="1.1474542567584189"/>
    <n v="1.1671890881714619"/>
    <n v="1.1539082700828625"/>
    <n v="1.2083405083886218"/>
    <n v="1.1792374804234522"/>
    <x v="1"/>
    <s v="spec18"/>
    <x v="5"/>
    <s v="N15G3f"/>
    <x v="8"/>
  </r>
  <r>
    <s v="Dp_AG_N15G3f_spec02"/>
    <n v="1"/>
    <n v="1"/>
    <n v="1"/>
    <n v="1"/>
    <n v="1"/>
    <n v="1"/>
    <n v="1"/>
    <n v="1"/>
    <x v="1"/>
    <s v="spec02"/>
    <x v="6"/>
    <s v="N15G3f"/>
    <x v="0"/>
  </r>
  <r>
    <s v="Dp_AG_N15G3f_spec01"/>
    <n v="0.83737299526392694"/>
    <n v="0.92060585160662634"/>
    <n v="1.1225288313003075"/>
    <n v="1.0315954259356039"/>
    <n v="1.0479539334591041"/>
    <n v="1.0677747121202761"/>
    <n v="1.1187550604365419"/>
    <n v="1.1369911693681547"/>
    <x v="1"/>
    <s v="spec01"/>
    <x v="6"/>
    <s v="N15G3f"/>
    <x v="1"/>
  </r>
  <r>
    <s v="Dp_AG_N15G3f_spec04"/>
    <n v="0.86456609295968123"/>
    <n v="0.86663771018103553"/>
    <n v="0.93567044683627232"/>
    <n v="0.9211712072227789"/>
    <n v="0.95877879290788071"/>
    <n v="0.96396044854946572"/>
    <n v="0.97851078855892348"/>
    <n v="0.99348833116765956"/>
    <x v="1"/>
    <s v="spec04"/>
    <x v="6"/>
    <s v="N15G3f"/>
    <x v="2"/>
  </r>
  <r>
    <s v="Dp_AG_N15G3f_spec07"/>
    <n v="3.8508057402992026"/>
    <n v="2.5981905598544204"/>
    <n v="2.803090099909249"/>
    <n v="1.96403671286035"/>
    <n v="1.8109666720028263"/>
    <n v="1.6604237847972461"/>
    <n v="1.6237107837481259"/>
    <n v="1.5336527452691491"/>
    <x v="1"/>
    <s v="spec07"/>
    <x v="6"/>
    <s v="N15G3f"/>
    <x v="3"/>
  </r>
  <r>
    <s v="Dp_AG_N15G3f_spec08"/>
    <n v="2.117833593569221"/>
    <n v="2.467527712383653"/>
    <n v="2.7835551417651367"/>
    <n v="1.9671896818805117"/>
    <n v="1.7446870119193065"/>
    <n v="1.5451032831833214"/>
    <n v="1.5193198904969873"/>
    <n v="1.4549247416469675"/>
    <x v="1"/>
    <s v="spec08"/>
    <x v="6"/>
    <s v="N15G3f"/>
    <x v="4"/>
  </r>
  <r>
    <s v="Dp_AG_N15G3f_spec09"/>
    <n v="2.0945427706763606"/>
    <n v="1.8591170978757399"/>
    <n v="1.9919927747784254"/>
    <n v="1.3993365816894012"/>
    <n v="1.2787470382615511"/>
    <n v="1.1719155408540984"/>
    <n v="1.1499076667173691"/>
    <n v="1.0811140203137224"/>
    <x v="1"/>
    <s v="spec09"/>
    <x v="6"/>
    <s v="N15G3f"/>
    <x v="5"/>
  </r>
  <r>
    <s v="Dp_AG_N15G3f_spec10"/>
    <n v="3.5487105295845325"/>
    <n v="2.6298165042964801"/>
    <n v="2.7996519892431779"/>
    <n v="1.9754289858166469"/>
    <n v="1.8226072912947795"/>
    <n v="1.6655273008437981"/>
    <n v="1.6353698190944601"/>
    <n v="1.5520471776023037"/>
    <x v="1"/>
    <s v="spec10"/>
    <x v="6"/>
    <s v="N15G3f"/>
    <x v="6"/>
  </r>
  <r>
    <s v="Dp_AG_N15G3f_spec03"/>
    <n v="0.8831253265020238"/>
    <n v="0.72761741130350677"/>
    <n v="0.87479325406872377"/>
    <n v="0.78304949921415201"/>
    <n v="0.84216561477551344"/>
    <n v="0.8584240241047546"/>
    <n v="0.90773466949994941"/>
    <n v="0.91841015012536309"/>
    <x v="1"/>
    <s v="spec03"/>
    <x v="6"/>
    <s v="N15G3f"/>
    <x v="7"/>
  </r>
  <r>
    <s v="Dp_AG_N15G3f_spec18"/>
    <n v="0.78453630379761996"/>
    <n v="0.67682571779707734"/>
    <n v="0.73063232529543964"/>
    <n v="0.55852686899141302"/>
    <n v="0.53601220474707323"/>
    <n v="0.49170021860928603"/>
    <n v="0.48139066499628297"/>
    <n v="0.41266031367667932"/>
    <x v="1"/>
    <s v="spec18"/>
    <x v="6"/>
    <s v="N15G3f"/>
    <x v="8"/>
  </r>
  <r>
    <s v="Dp_BR_N15G3f_spec02"/>
    <n v="1"/>
    <n v="1"/>
    <n v="1"/>
    <n v="1"/>
    <n v="1"/>
    <n v="1"/>
    <n v="1"/>
    <n v="1"/>
    <x v="1"/>
    <s v="spec02"/>
    <x v="7"/>
    <s v="N15G3f"/>
    <x v="0"/>
  </r>
  <r>
    <s v="Dp_BR_N15G3f_spec01"/>
    <n v="0.9248066545519652"/>
    <n v="0.93658589105910328"/>
    <n v="0.96852579583550602"/>
    <n v="1.0089320597603459"/>
    <n v="1.0225665969743891"/>
    <n v="1.0295016527960728"/>
    <n v="1.0276027371026248"/>
    <n v="1.0282934949937097"/>
    <x v="1"/>
    <s v="spec01"/>
    <x v="7"/>
    <s v="N15G3f"/>
    <x v="1"/>
  </r>
  <r>
    <s v="Dp_BR_N15G3f_spec04"/>
    <n v="0.9824997406346232"/>
    <n v="1.0147493155103082"/>
    <n v="1.0355827097146377"/>
    <n v="1.0569517314385246"/>
    <n v="1.0603450746476211"/>
    <n v="1.0618836927195627"/>
    <n v="1.0582240752370129"/>
    <n v="1.0561816292297643"/>
    <x v="1"/>
    <s v="spec04"/>
    <x v="7"/>
    <s v="N15G3f"/>
    <x v="2"/>
  </r>
  <r>
    <s v="Dp_BR_N15G3f_spec07"/>
    <n v="7.7790285268226746"/>
    <n v="3.8750468340832187"/>
    <n v="2.8891782659918679"/>
    <n v="2.4576640994421215"/>
    <n v="2.1518075024748891"/>
    <n v="1.9243238048270208"/>
    <n v="1.7479847487882509"/>
    <n v="1.6231610373335497"/>
    <x v="1"/>
    <s v="spec07"/>
    <x v="7"/>
    <s v="N15G3f"/>
    <x v="3"/>
  </r>
  <r>
    <s v="Dp_BR_N15G3f_spec08"/>
    <n v="3.3130996498227505"/>
    <n v="1.6988837663505443"/>
    <n v="1.2466973319038996"/>
    <n v="1.0457632380796646"/>
    <n v="0.9159372336231324"/>
    <n v="0.81485824173025623"/>
    <n v="0.74284597659056595"/>
    <n v="0.68926304044610576"/>
    <x v="1"/>
    <s v="spec08"/>
    <x v="7"/>
    <s v="N15G3f"/>
    <x v="4"/>
  </r>
  <r>
    <s v="Dp_BR_N15G3f_spec09"/>
    <n v="4.9174474374473096"/>
    <n v="3.1434930340519651"/>
    <n v="2.3387379325579372"/>
    <n v="1.9966934443469648"/>
    <n v="1.7441880010824091"/>
    <n v="1.5594983448908333"/>
    <n v="1.420049483387958"/>
    <n v="1.3173936566902134"/>
    <x v="1"/>
    <s v="spec09"/>
    <x v="7"/>
    <s v="N15G3f"/>
    <x v="5"/>
  </r>
  <r>
    <s v="Dp_BR_N15G3f_spec10"/>
    <n v="7.5878015808624442"/>
    <n v="3.909351808852005"/>
    <n v="2.9094624252024133"/>
    <n v="2.4821134910936196"/>
    <n v="2.1616232668277315"/>
    <n v="1.935788079426022"/>
    <n v="1.7630162778310017"/>
    <n v="1.6336443564797478"/>
    <x v="1"/>
    <s v="spec10"/>
    <x v="7"/>
    <s v="N15G3f"/>
    <x v="6"/>
  </r>
  <r>
    <s v="Dp_BR_N15G3f_spec03"/>
    <n v="0.85264128097003111"/>
    <n v="0.88618704472083565"/>
    <n v="0.89981252610726536"/>
    <n v="0.90066546505129408"/>
    <n v="0.88750050409422565"/>
    <n v="0.88600207479827642"/>
    <n v="0.889801607910091"/>
    <n v="0.8937096967045417"/>
    <x v="1"/>
    <s v="spec03"/>
    <x v="7"/>
    <s v="N15G3f"/>
    <x v="7"/>
  </r>
  <r>
    <s v="Dp_BR_N15G3f_spec18"/>
    <n v="0.45268636409823776"/>
    <n v="0.31773618896629952"/>
    <n v="0.27638236872406807"/>
    <n v="0.27169925262933381"/>
    <n v="0.26395938718944406"/>
    <n v="0.25544028055012963"/>
    <n v="0.24058421850071612"/>
    <n v="0.23977369155529343"/>
    <x v="1"/>
    <s v="spec18"/>
    <x v="7"/>
    <s v="N15G3f"/>
    <x v="8"/>
  </r>
  <r>
    <s v="Dp_MX_N15G3f_spec02"/>
    <n v="1"/>
    <n v="1"/>
    <n v="1"/>
    <n v="1"/>
    <n v="1"/>
    <n v="1"/>
    <n v="1"/>
    <n v="1"/>
    <x v="1"/>
    <s v="spec02"/>
    <x v="8"/>
    <s v="N15G3f"/>
    <x v="0"/>
  </r>
  <r>
    <s v="Dp_MX_N15G3f_spec01"/>
    <n v="0.94965064061205318"/>
    <n v="0.91667355523096961"/>
    <n v="0.91698812384452932"/>
    <n v="0.94453477400988339"/>
    <n v="0.95016022579092629"/>
    <n v="0.95146382978438249"/>
    <n v="0.96006601986611673"/>
    <n v="0.96932919519998795"/>
    <x v="1"/>
    <s v="spec01"/>
    <x v="8"/>
    <s v="N15G3f"/>
    <x v="1"/>
  </r>
  <r>
    <s v="Dp_MX_N15G3f_spec04"/>
    <n v="0.7398957839119904"/>
    <n v="0.69514087677004976"/>
    <n v="0.70954779558245318"/>
    <n v="0.72090695992286991"/>
    <n v="0.72551382736596293"/>
    <n v="0.72559360232328696"/>
    <n v="0.73326797002576571"/>
    <n v="0.73368570246782239"/>
    <x v="1"/>
    <s v="spec04"/>
    <x v="8"/>
    <s v="N15G3f"/>
    <x v="2"/>
  </r>
  <r>
    <s v="Dp_MX_N15G3f_spec07"/>
    <n v="6.5436336704347831"/>
    <n v="3.9987694542143357"/>
    <n v="3.1821112288073587"/>
    <n v="2.7513029614826334"/>
    <n v="2.3934451039451248"/>
    <n v="2.1578168777102946"/>
    <n v="1.9857235317652975"/>
    <n v="1.8554668273823347"/>
    <x v="1"/>
    <s v="spec07"/>
    <x v="8"/>
    <s v="N15G3f"/>
    <x v="3"/>
  </r>
  <r>
    <s v="Dp_MX_N15G3f_spec08"/>
    <n v="2.7815215696573325"/>
    <n v="2.419362918240294"/>
    <n v="1.9192519074484344"/>
    <n v="1.6647869372033408"/>
    <n v="1.4459990363677175"/>
    <n v="1.2871637229021329"/>
    <n v="1.2155723421086309"/>
    <n v="1.1305881950789975"/>
    <x v="1"/>
    <s v="spec08"/>
    <x v="8"/>
    <s v="N15G3f"/>
    <x v="4"/>
  </r>
  <r>
    <s v="Dp_MX_N15G3f_spec09"/>
    <n v="2.5527161029563108"/>
    <n v="1.6678839492144546"/>
    <n v="1.3058263241753485"/>
    <n v="1.1713084529963094"/>
    <n v="1.0330464314606449"/>
    <n v="0.91300726384639153"/>
    <n v="0.85692124278225357"/>
    <n v="0.80203132222912477"/>
    <x v="1"/>
    <s v="spec09"/>
    <x v="8"/>
    <s v="N15G3f"/>
    <x v="5"/>
  </r>
  <r>
    <s v="Dp_MX_N15G3f_spec10"/>
    <n v="4.6306340301834421"/>
    <n v="3.0292964704159351"/>
    <n v="2.4170975462100626"/>
    <n v="2.0938614236145998"/>
    <n v="1.827579164015118"/>
    <n v="1.6462549521393219"/>
    <n v="1.5159834420226832"/>
    <n v="1.4202655246850358"/>
    <x v="1"/>
    <s v="spec10"/>
    <x v="8"/>
    <s v="N15G3f"/>
    <x v="6"/>
  </r>
  <r>
    <s v="Dp_MX_N15G3f_spec03"/>
    <n v="0.71307861978475506"/>
    <n v="0.61875060257985171"/>
    <n v="0.62949903451939326"/>
    <n v="0.64740687131975516"/>
    <n v="0.64504081556323067"/>
    <n v="0.6442348406354701"/>
    <n v="0.65639338633316324"/>
    <n v="0.66588453540113224"/>
    <x v="1"/>
    <s v="spec03"/>
    <x v="8"/>
    <s v="N15G3f"/>
    <x v="7"/>
  </r>
  <r>
    <s v="Dp_MX_N15G3f_spec18"/>
    <n v="0.82533329510296372"/>
    <n v="0.68298003652889239"/>
    <n v="0.63777708918845233"/>
    <n v="0.64482429933396046"/>
    <n v="0.63375231504860885"/>
    <n v="0.62638281068829438"/>
    <n v="0.6261668990108632"/>
    <n v="0.6240296498019221"/>
    <x v="1"/>
    <s v="spec18"/>
    <x v="8"/>
    <s v="N15G3f"/>
    <x v="8"/>
  </r>
  <r>
    <s v="Dp_CN_N15G3f_spec02"/>
    <n v="1"/>
    <n v="1"/>
    <n v="1"/>
    <n v="1"/>
    <n v="1"/>
    <n v="1"/>
    <n v="1"/>
    <n v="1"/>
    <x v="1"/>
    <s v="spec02"/>
    <x v="9"/>
    <s v="N15G3f"/>
    <x v="0"/>
  </r>
  <r>
    <s v="Dp_CN_N15G3f_spec01"/>
    <n v="0.9872823907851872"/>
    <n v="0.97251787300201553"/>
    <n v="0.97306100597824285"/>
    <n v="0.97269388210423979"/>
    <n v="0.97946592217354722"/>
    <n v="0.98145741814137932"/>
    <n v="0.96960405496229085"/>
    <n v="0.98893526393875564"/>
    <x v="1"/>
    <s v="spec01"/>
    <x v="9"/>
    <s v="N15G3f"/>
    <x v="1"/>
  </r>
  <r>
    <s v="Dp_CN_N15G3f_spec04"/>
    <n v="1.0212852773264991"/>
    <n v="1.0026726030481337"/>
    <n v="1.0096955539190844"/>
    <n v="1.0082306865264186"/>
    <n v="1.0143929113076955"/>
    <n v="1.0105195059238499"/>
    <n v="1.0071784993609256"/>
    <n v="0.99818030909512134"/>
    <x v="1"/>
    <s v="spec04"/>
    <x v="9"/>
    <s v="N15G3f"/>
    <x v="2"/>
  </r>
  <r>
    <s v="Dp_CN_N15G3f_spec07"/>
    <n v="1.5168986672676867"/>
    <n v="1.3103261406847668"/>
    <n v="1.2058074002603911"/>
    <n v="1.1467721103299422"/>
    <n v="1.1816653360732303"/>
    <n v="1.1340297644074511"/>
    <n v="1.0906279379427926"/>
    <n v="1.1690780024169727"/>
    <x v="1"/>
    <s v="spec07"/>
    <x v="9"/>
    <s v="N15G3f"/>
    <x v="3"/>
  </r>
  <r>
    <s v="Dp_CN_N15G3f_spec08"/>
    <n v="1.1210708563042202"/>
    <n v="1.0629119790009021"/>
    <n v="1.0164204302948721"/>
    <n v="0.98775132853783931"/>
    <n v="0.98267904852665389"/>
    <n v="0.94393582920471253"/>
    <n v="0.87505537864750504"/>
    <n v="0.88187104494250634"/>
    <x v="1"/>
    <s v="spec08"/>
    <x v="9"/>
    <s v="N15G3f"/>
    <x v="4"/>
  </r>
  <r>
    <s v="Dp_CN_N15G3f_spec09"/>
    <n v="1.4165100862541422"/>
    <n v="1.4962439259571489"/>
    <n v="1.3631212099384098"/>
    <n v="1.3019445698973238"/>
    <n v="1.3274052897439355"/>
    <n v="1.2924795345212943"/>
    <n v="1.250732262903776"/>
    <n v="1.2886964834342345"/>
    <x v="1"/>
    <s v="spec09"/>
    <x v="9"/>
    <s v="N15G3f"/>
    <x v="5"/>
  </r>
  <r>
    <s v="Dp_CN_N15G3f_spec10"/>
    <n v="1.3821561119871997"/>
    <n v="1.2639274229431594"/>
    <n v="1.1630410045877344"/>
    <n v="1.1056022043878335"/>
    <n v="1.1575062587361382"/>
    <n v="1.1244530892863782"/>
    <n v="1.1334103363587433"/>
    <n v="1.1514312226194332"/>
    <x v="1"/>
    <s v="spec10"/>
    <x v="9"/>
    <s v="N15G3f"/>
    <x v="6"/>
  </r>
  <r>
    <s v="Dp_CN_N15G3f_spec03"/>
    <n v="1.0278711828833391"/>
    <n v="1.0367774090656832"/>
    <n v="1.0511305527553412"/>
    <n v="1.0466833539825389"/>
    <n v="1.0724870835040838"/>
    <n v="1.0578265150273602"/>
    <n v="1.0637834548331422"/>
    <n v="1.0294052677213437"/>
    <x v="1"/>
    <s v="spec03"/>
    <x v="9"/>
    <s v="N15G3f"/>
    <x v="7"/>
  </r>
  <r>
    <s v="Dp_CN_N15G3f_spec18"/>
    <n v="1.0223443473385432"/>
    <n v="1.0158734984937674"/>
    <n v="1.0377377572019866"/>
    <n v="1.024680339818868"/>
    <n v="1.0467751001865242"/>
    <n v="1.0288168026994473"/>
    <n v="1.0039911655354721"/>
    <n v="1.0338256245932436"/>
    <x v="1"/>
    <s v="spec18"/>
    <x v="9"/>
    <s v="N15G3f"/>
    <x v="8"/>
  </r>
  <r>
    <s v="Dp_JP_N15G3f_spec02"/>
    <n v="1"/>
    <n v="1"/>
    <n v="1"/>
    <n v="1"/>
    <n v="1"/>
    <n v="1"/>
    <n v="1"/>
    <n v="1"/>
    <x v="1"/>
    <s v="spec02"/>
    <x v="10"/>
    <s v="N15G3f"/>
    <x v="0"/>
  </r>
  <r>
    <s v="Dp_JP_N15G3f_spec01"/>
    <n v="1.0013096939253299"/>
    <n v="1.0041241975849433"/>
    <n v="0.99475495638814082"/>
    <n v="0.99940267866232269"/>
    <n v="1.0016594215890178"/>
    <n v="1.0109859148997162"/>
    <n v="1.0057840747175251"/>
    <n v="1.0111983036928445"/>
    <x v="1"/>
    <s v="spec01"/>
    <x v="10"/>
    <s v="N15G3f"/>
    <x v="1"/>
  </r>
  <r>
    <s v="Dp_JP_N15G3f_spec04"/>
    <n v="0.98338203175307048"/>
    <n v="0.97222263894433059"/>
    <n v="0.9798931651218471"/>
    <n v="0.97055887430727317"/>
    <n v="0.96722376162471035"/>
    <n v="0.96486837254253222"/>
    <n v="0.96874425291539756"/>
    <n v="0.96943175806808124"/>
    <x v="1"/>
    <s v="spec04"/>
    <x v="10"/>
    <s v="N15G3f"/>
    <x v="2"/>
  </r>
  <r>
    <s v="Dp_JP_N15G3f_spec07"/>
    <n v="1.131690284366472"/>
    <n v="1.0919680152156235"/>
    <n v="1.0622504207663637"/>
    <n v="1.0530826274199294"/>
    <n v="1.060667828341155"/>
    <n v="1.0801226249351732"/>
    <n v="1.0040453566047283"/>
    <n v="1.039506068527118"/>
    <x v="1"/>
    <s v="spec07"/>
    <x v="10"/>
    <s v="N15G3f"/>
    <x v="3"/>
  </r>
  <r>
    <s v="Dp_JP_N15G3f_spec08"/>
    <n v="1.0192569866314385"/>
    <n v="1.0195460039449709"/>
    <n v="0.99075369593130214"/>
    <n v="0.98045828991279849"/>
    <n v="0.98754468801373951"/>
    <n v="0.98267448798710211"/>
    <n v="0.97938735773451846"/>
    <n v="1.0030907267649178"/>
    <x v="1"/>
    <s v="spec08"/>
    <x v="10"/>
    <s v="N15G3f"/>
    <x v="4"/>
  </r>
  <r>
    <s v="Dp_JP_N15G3f_spec09"/>
    <n v="1.0099218959188048"/>
    <n v="1.037766171713052"/>
    <n v="1.0056862132335629"/>
    <n v="0.99539994737550408"/>
    <n v="1.0052313529035604"/>
    <n v="0.98395842621895391"/>
    <n v="0.96331843532749395"/>
    <n v="0.96025086287274442"/>
    <x v="1"/>
    <s v="spec09"/>
    <x v="10"/>
    <s v="N15G3f"/>
    <x v="5"/>
  </r>
  <r>
    <s v="Dp_JP_N15G3f_spec10"/>
    <n v="1.3093426517585998"/>
    <n v="1.9459266575842888"/>
    <n v="1.9050330249298681"/>
    <n v="1.9988338407198858"/>
    <n v="2.0023850517125319"/>
    <n v="1.8939002753515208"/>
    <n v="2.0448546196465602"/>
    <n v="2.0914853838643221"/>
    <x v="1"/>
    <s v="spec10"/>
    <x v="10"/>
    <s v="N15G3f"/>
    <x v="6"/>
  </r>
  <r>
    <s v="Dp_JP_N15G3f_spec03"/>
    <n v="0.97542930099261704"/>
    <n v="0.97725642141474867"/>
    <n v="0.98549952400738516"/>
    <n v="0.98113100310133927"/>
    <n v="0.972389985916985"/>
    <n v="0.97007777983592014"/>
    <n v="0.97899150478677144"/>
    <n v="0.97812515696510927"/>
    <x v="1"/>
    <s v="spec03"/>
    <x v="10"/>
    <s v="N15G3f"/>
    <x v="7"/>
  </r>
  <r>
    <s v="Dp_JP_N15G3f_spec18"/>
    <n v="1.0735342302252702"/>
    <n v="1.0912110199321512"/>
    <n v="1.1122806184089042"/>
    <n v="1.1628056975998713"/>
    <n v="1.172767986636287"/>
    <n v="1.1330016202016981"/>
    <n v="1.1996366772912694"/>
    <n v="1.2131448147397339"/>
    <x v="1"/>
    <s v="spec18"/>
    <x v="10"/>
    <s v="N15G3f"/>
    <x v="8"/>
  </r>
  <r>
    <s v="Dp_AU_N15G3f_spec02"/>
    <n v="1"/>
    <n v="1"/>
    <n v="1"/>
    <n v="1"/>
    <n v="1"/>
    <n v="1"/>
    <n v="1"/>
    <n v="1"/>
    <x v="1"/>
    <s v="spec02"/>
    <x v="11"/>
    <s v="N15G3f"/>
    <x v="0"/>
  </r>
  <r>
    <s v="Dp_AU_N15G3f_spec01"/>
    <n v="1.0108824632467808"/>
    <n v="1.0062464769342818"/>
    <n v="1.0110176847500412"/>
    <n v="1.0449213330395302"/>
    <n v="1.0585023653326737"/>
    <n v="1.0689676187791541"/>
    <n v="1.0719548785989597"/>
    <n v="1.0798027640131389"/>
    <x v="1"/>
    <s v="spec01"/>
    <x v="11"/>
    <s v="N15G3f"/>
    <x v="1"/>
  </r>
  <r>
    <s v="Dp_AU_N15G3f_spec04"/>
    <n v="0.98207424306854241"/>
    <n v="0.98033635129738506"/>
    <n v="0.9914282344109755"/>
    <n v="0.97633800713358665"/>
    <n v="0.97576529636877252"/>
    <n v="0.96326242051698407"/>
    <n v="0.96616065982994193"/>
    <n v="0.9681896192733106"/>
    <x v="1"/>
    <s v="spec04"/>
    <x v="11"/>
    <s v="N15G3f"/>
    <x v="2"/>
  </r>
  <r>
    <s v="Dp_AU_N15G3f_spec07"/>
    <n v="1.2066970410564857"/>
    <n v="1.1911946294870486"/>
    <n v="1.1911071597606824"/>
    <n v="1.4182256905834976"/>
    <n v="1.4311920187117666"/>
    <n v="1.4269010363748991"/>
    <n v="1.4316405530928533"/>
    <n v="1.4144068002230124"/>
    <x v="1"/>
    <s v="spec07"/>
    <x v="11"/>
    <s v="N15G3f"/>
    <x v="3"/>
  </r>
  <r>
    <s v="Dp_AU_N15G3f_spec08"/>
    <n v="0.8957880961404725"/>
    <n v="0.97452809257885442"/>
    <n v="1.0008882840489202"/>
    <n v="1.0755556626707516"/>
    <n v="1.1157954306888351"/>
    <n v="1.1347919952029863"/>
    <n v="1.0767082253677756"/>
    <n v="1.0867618877355381"/>
    <x v="1"/>
    <s v="spec08"/>
    <x v="11"/>
    <s v="N15G3f"/>
    <x v="4"/>
  </r>
  <r>
    <s v="Dp_AU_N15G3f_spec09"/>
    <n v="0.94949534466392516"/>
    <n v="1.0172084929428493"/>
    <n v="1.0426418397717478"/>
    <n v="1.152198877085076"/>
    <n v="1.2067371539407474"/>
    <n v="1.1771540766086408"/>
    <n v="1.1477569309609352"/>
    <n v="1.1313074970720827"/>
    <x v="1"/>
    <s v="spec09"/>
    <x v="11"/>
    <s v="N15G3f"/>
    <x v="5"/>
  </r>
  <r>
    <s v="Dp_AU_N15G3f_spec10"/>
    <n v="0.96233387573941198"/>
    <n v="1.0078812604562897"/>
    <n v="1.0267283530541678"/>
    <n v="1.1385579614025942"/>
    <n v="1.1459794417811018"/>
    <n v="1.1448009035668711"/>
    <n v="1.1426909456027172"/>
    <n v="1.1480991873453577"/>
    <x v="1"/>
    <s v="spec10"/>
    <x v="11"/>
    <s v="N15G3f"/>
    <x v="6"/>
  </r>
  <r>
    <s v="Dp_AU_N15G3f_spec03"/>
    <n v="0.99389774116197283"/>
    <n v="1.0046148983622882"/>
    <n v="1.0238736280207408"/>
    <n v="1.054431015084986"/>
    <n v="1.0604329914440214"/>
    <n v="1.0734439103054887"/>
    <n v="1.0805812471220855"/>
    <n v="1.0985004928212392"/>
    <x v="1"/>
    <s v="spec03"/>
    <x v="11"/>
    <s v="N15G3f"/>
    <x v="7"/>
  </r>
  <r>
    <s v="Dp_AU_N15G3f_spec18"/>
    <n v="1.040268921403684"/>
    <n v="1.0545125087547118"/>
    <n v="1.0550289006479867"/>
    <n v="1.0499178440891543"/>
    <n v="1.0644300971217469"/>
    <n v="1.0213417318986602"/>
    <n v="0.97092101410485354"/>
    <n v="0.98733187393877575"/>
    <x v="1"/>
    <s v="spec18"/>
    <x v="11"/>
    <s v="N15G3f"/>
    <x v="8"/>
  </r>
  <r>
    <s v="Dp_AT_N15G3f_spec02"/>
    <n v="1"/>
    <n v="1"/>
    <n v="1"/>
    <n v="1"/>
    <n v="1"/>
    <n v="1"/>
    <n v="1"/>
    <n v="1"/>
    <x v="1"/>
    <s v="spec02"/>
    <x v="12"/>
    <s v="N15G3f"/>
    <x v="0"/>
  </r>
  <r>
    <s v="Dp_AT_N15G3f_spec01"/>
    <n v="0.98386148531441786"/>
    <n v="0.99998853249637942"/>
    <n v="0.99244091224910724"/>
    <n v="0.99374953247290165"/>
    <n v="1.0025879706646901"/>
    <n v="1.0006827151026485"/>
    <n v="0.99941878297890219"/>
    <n v="0.99279395294426365"/>
    <x v="1"/>
    <s v="spec01"/>
    <x v="12"/>
    <s v="N15G3f"/>
    <x v="1"/>
  </r>
  <r>
    <s v="Dp_AT_N15G3f_spec04"/>
    <n v="1.0002011370194459"/>
    <n v="0.99241701494229873"/>
    <n v="0.98614078570891062"/>
    <n v="0.9797219720055429"/>
    <n v="0.98358231093836712"/>
    <n v="0.98496923468052577"/>
    <n v="0.97877656049865625"/>
    <n v="0.97799817420785351"/>
    <x v="1"/>
    <s v="spec04"/>
    <x v="12"/>
    <s v="N15G3f"/>
    <x v="2"/>
  </r>
  <r>
    <s v="Dp_AT_N15G3f_spec07"/>
    <n v="1.208140651866253"/>
    <n v="1.1158406793119704"/>
    <n v="1.1082599542308489"/>
    <n v="1.0867681782093233"/>
    <n v="1.0996989852963979"/>
    <n v="1.076736677175163"/>
    <n v="1.0713284673310037"/>
    <n v="1.0777854954050259"/>
    <x v="1"/>
    <s v="spec07"/>
    <x v="12"/>
    <s v="N15G3f"/>
    <x v="3"/>
  </r>
  <r>
    <s v="Dp_AT_N15G3f_spec08"/>
    <n v="1.3315087161238974"/>
    <n v="1.2129303376676417"/>
    <n v="1.1659995837477182"/>
    <n v="1.1574747204288725"/>
    <n v="1.1699345318040018"/>
    <n v="1.1732398258458563"/>
    <n v="1.1432703421339987"/>
    <n v="1.1401856256669103"/>
    <x v="1"/>
    <s v="spec08"/>
    <x v="12"/>
    <s v="N15G3f"/>
    <x v="4"/>
  </r>
  <r>
    <s v="Dp_AT_N15G3f_spec09"/>
    <n v="1.0519691837904763"/>
    <n v="0.97962881856505313"/>
    <n v="0.95027200603372985"/>
    <n v="0.93729505334187035"/>
    <n v="0.98197458126774562"/>
    <n v="0.9207547104043855"/>
    <n v="0.88560916643177956"/>
    <n v="0.94595870183401665"/>
    <x v="1"/>
    <s v="spec09"/>
    <x v="12"/>
    <s v="N15G3f"/>
    <x v="5"/>
  </r>
  <r>
    <s v="Dp_AT_N15G3f_spec10"/>
    <n v="1.1064807876636114"/>
    <n v="1.0192457691359424"/>
    <n v="1.0545366517224706"/>
    <n v="1.1761023544446181"/>
    <n v="1.1695813488354931"/>
    <n v="1.1287204646316951"/>
    <n v="1.1374035211599498"/>
    <n v="1.2469230521032664"/>
    <x v="1"/>
    <s v="spec10"/>
    <x v="12"/>
    <s v="N15G3f"/>
    <x v="6"/>
  </r>
  <r>
    <s v="Dp_AT_N15G3f_spec03"/>
    <n v="0.9812827813121181"/>
    <n v="1.0110247098668237"/>
    <n v="1.0208977084245068"/>
    <n v="1.0211689442559599"/>
    <n v="1.0168500158370015"/>
    <n v="1.0036767733521248"/>
    <n v="1.0001393592436405"/>
    <n v="0.99635874291524129"/>
    <x v="1"/>
    <s v="spec03"/>
    <x v="12"/>
    <s v="N15G3f"/>
    <x v="7"/>
  </r>
  <r>
    <s v="Dp_AT_N15G3f_spec18"/>
    <n v="1.1289722590974429"/>
    <n v="1.2460597533630067"/>
    <n v="1.3026191204388824"/>
    <n v="1.3620584253736021"/>
    <n v="1.3820571909398676"/>
    <n v="1.3698125147931635"/>
    <n v="1.3719047382486158"/>
    <n v="1.4157085875391495"/>
    <x v="1"/>
    <s v="spec18"/>
    <x v="12"/>
    <s v="N15G3f"/>
    <x v="8"/>
  </r>
  <r>
    <s v="Dp_IN_N15G3f_spec02"/>
    <n v="1"/>
    <n v="1"/>
    <n v="1"/>
    <n v="1"/>
    <n v="1"/>
    <n v="1"/>
    <n v="1"/>
    <n v="1"/>
    <x v="1"/>
    <s v="spec02"/>
    <x v="13"/>
    <s v="N15G3f"/>
    <x v="0"/>
  </r>
  <r>
    <s v="Dp_IN_N15G3f_spec01"/>
    <n v="0.93261870210873332"/>
    <n v="0.916757428344389"/>
    <n v="0.91937837212573548"/>
    <n v="0.92681421358914551"/>
    <n v="0.93850530011554878"/>
    <n v="0.96896118580878254"/>
    <n v="0.98476905115046476"/>
    <n v="1.0015572360480662"/>
    <x v="1"/>
    <s v="spec01"/>
    <x v="13"/>
    <s v="N15G3f"/>
    <x v="1"/>
  </r>
  <r>
    <s v="Dp_IN_N15G3f_spec04"/>
    <n v="1.0323658724063884"/>
    <n v="1.0251041861159516"/>
    <n v="1.0197849567118509"/>
    <n v="1.0176705161006272"/>
    <n v="0.99743526530990512"/>
    <n v="1.0021757916746852"/>
    <n v="1.003084516476386"/>
    <n v="1.0029319053817587"/>
    <x v="1"/>
    <s v="spec04"/>
    <x v="13"/>
    <s v="N15G3f"/>
    <x v="2"/>
  </r>
  <r>
    <s v="Dp_IN_N15G3f_spec07"/>
    <n v="1.0619849407658084"/>
    <n v="0.98765922887623692"/>
    <n v="0.94509289706227717"/>
    <n v="0.94557979566898254"/>
    <n v="0.93754131026688547"/>
    <n v="0.94996189890655824"/>
    <n v="1.0101816251597149"/>
    <n v="0.99287733967214953"/>
    <x v="1"/>
    <s v="spec07"/>
    <x v="13"/>
    <s v="N15G3f"/>
    <x v="3"/>
  </r>
  <r>
    <s v="Dp_IN_N15G3f_spec08"/>
    <n v="1.0221666690996616"/>
    <n v="0.99372513529275297"/>
    <n v="0.96937733277122107"/>
    <n v="0.95358940579883644"/>
    <n v="0.96229461063983412"/>
    <n v="0.96375785387267776"/>
    <n v="1.0329722359932139"/>
    <n v="1.0379004881194802"/>
    <x v="1"/>
    <s v="spec08"/>
    <x v="13"/>
    <s v="N15G3f"/>
    <x v="4"/>
  </r>
  <r>
    <s v="Dp_IN_N15G3f_spec09"/>
    <n v="0.92518253150715135"/>
    <n v="0.9339600313705434"/>
    <n v="0.90877415797306482"/>
    <n v="0.88465846618831567"/>
    <n v="0.89470196582055117"/>
    <n v="0.90464236223404515"/>
    <n v="0.92513991919302196"/>
    <n v="0.93994283714086801"/>
    <x v="1"/>
    <s v="spec09"/>
    <x v="13"/>
    <s v="N15G3f"/>
    <x v="5"/>
  </r>
  <r>
    <s v="Dp_IN_N15G3f_spec10"/>
    <n v="1.0612179006440141"/>
    <n v="0.99196953656989073"/>
    <n v="0.96309287278955191"/>
    <n v="0.95777188002499047"/>
    <n v="0.9523034386432615"/>
    <n v="0.96349831415880471"/>
    <n v="0.98120378349830895"/>
    <n v="0.98842525254064906"/>
    <x v="1"/>
    <s v="spec10"/>
    <x v="13"/>
    <s v="N15G3f"/>
    <x v="6"/>
  </r>
  <r>
    <s v="Dp_IN_N15G3f_spec03"/>
    <n v="0.98292744649755748"/>
    <n v="1.015881436806028"/>
    <n v="1.032507465867432"/>
    <n v="1.0428231845140465"/>
    <n v="1.0399486867570853"/>
    <n v="1.0536310329003551"/>
    <n v="1.05091267691259"/>
    <n v="1.0475394647272904"/>
    <x v="1"/>
    <s v="spec03"/>
    <x v="13"/>
    <s v="N15G3f"/>
    <x v="7"/>
  </r>
  <r>
    <s v="Dp_IN_N15G3f_spec18"/>
    <n v="0.88997786865825923"/>
    <n v="0.87469410990454499"/>
    <n v="0.86918823469482764"/>
    <n v="0.8539131940216772"/>
    <n v="0.7787580729331548"/>
    <n v="0.86071067359315034"/>
    <n v="0.92477800091064821"/>
    <n v="0.94085122317033165"/>
    <x v="1"/>
    <s v="spec18"/>
    <x v="13"/>
    <s v="N15G3f"/>
    <x v="8"/>
  </r>
  <r>
    <s v="Dp_CH_N15G3f_spec02"/>
    <n v="1"/>
    <n v="1"/>
    <n v="1"/>
    <n v="1"/>
    <n v="1"/>
    <n v="1"/>
    <n v="1"/>
    <n v="1"/>
    <x v="1"/>
    <s v="spec02"/>
    <x v="14"/>
    <s v="N15G3f"/>
    <x v="0"/>
  </r>
  <r>
    <s v="Dp_CH_N15G3f_spec01"/>
    <n v="0.99910887349057176"/>
    <n v="0.99851454681789786"/>
    <n v="1.0105230073657829"/>
    <n v="1.0107715997160382"/>
    <n v="1.0186827340504243"/>
    <n v="1.0269825646450961"/>
    <n v="1.0247515462830921"/>
    <n v="1.0352450063225411"/>
    <x v="1"/>
    <s v="spec01"/>
    <x v="14"/>
    <s v="N15G3f"/>
    <x v="1"/>
  </r>
  <r>
    <s v="Dp_CH_N15G3f_spec04"/>
    <n v="1.005906017240864"/>
    <n v="0.99603278802032136"/>
    <n v="0.99721474909248786"/>
    <n v="1.0002935911888966"/>
    <n v="1.0089324118416916"/>
    <n v="1.0141862935205226"/>
    <n v="1.0067285274841486"/>
    <n v="1.014098521530695"/>
    <x v="1"/>
    <s v="spec04"/>
    <x v="14"/>
    <s v="N15G3f"/>
    <x v="2"/>
  </r>
  <r>
    <s v="Dp_CH_N15G3f_spec07"/>
    <n v="1.6694101773842038"/>
    <n v="1.4025401454191688"/>
    <n v="1.3600744561116218"/>
    <n v="1.331520759742443"/>
    <n v="1.3482524200630623"/>
    <n v="1.3461512535333546"/>
    <n v="1.2910584730670664"/>
    <n v="1.2685672443197591"/>
    <x v="1"/>
    <s v="spec07"/>
    <x v="14"/>
    <s v="N15G3f"/>
    <x v="3"/>
  </r>
  <r>
    <s v="Dp_CH_N15G3f_spec08"/>
    <n v="0.99811461410729285"/>
    <n v="0.96780814695938921"/>
    <n v="0.96662711650684396"/>
    <n v="0.96115439496145283"/>
    <n v="0.97809757354039506"/>
    <n v="0.97126643302951088"/>
    <n v="0.94575437627540915"/>
    <n v="0.92858474191423845"/>
    <x v="1"/>
    <s v="spec08"/>
    <x v="14"/>
    <s v="N15G3f"/>
    <x v="4"/>
  </r>
  <r>
    <s v="Dp_CH_N15G3f_spec09"/>
    <n v="1.1776220451604666"/>
    <n v="1.0166341360773925"/>
    <n v="0.96397684229721115"/>
    <n v="0.95322629850839713"/>
    <n v="0.97468620150340768"/>
    <n v="0.9450544225725489"/>
    <n v="0.91225557552139158"/>
    <n v="0.92639139095053025"/>
    <x v="1"/>
    <s v="spec09"/>
    <x v="14"/>
    <s v="N15G3f"/>
    <x v="5"/>
  </r>
  <r>
    <s v="Dp_CH_N15G3f_spec10"/>
    <n v="1.4241665916084161"/>
    <n v="1.1790028845384597"/>
    <n v="1.2029645001037783"/>
    <n v="1.2093442796253806"/>
    <n v="1.1792033363481271"/>
    <n v="1.1570436659609151"/>
    <n v="1.12019546837075"/>
    <n v="1.1550701247587212"/>
    <x v="1"/>
    <s v="spec10"/>
    <x v="14"/>
    <s v="N15G3f"/>
    <x v="6"/>
  </r>
  <r>
    <s v="Dp_CH_N15G3f_spec03"/>
    <n v="1.0189930526092175"/>
    <n v="1.0232601113150155"/>
    <n v="1.0302067665867924"/>
    <n v="1.0357344662359755"/>
    <n v="1.0339358773611227"/>
    <n v="1.0401173533204326"/>
    <n v="1.0425104445251026"/>
    <n v="1.0725025245875062"/>
    <x v="1"/>
    <s v="spec03"/>
    <x v="14"/>
    <s v="N15G3f"/>
    <x v="7"/>
  </r>
  <r>
    <s v="Dp_CH_N15G3f_spec18"/>
    <n v="0.95185496808020087"/>
    <n v="1.0244733506929673"/>
    <n v="1.0559717214464779"/>
    <n v="1.0646595070900751"/>
    <n v="1.0111077012405303"/>
    <n v="0.96744883370677137"/>
    <n v="0.97363436196392328"/>
    <n v="0.98977609286242274"/>
    <x v="1"/>
    <s v="spec18"/>
    <x v="14"/>
    <s v="N15G3f"/>
    <x v="8"/>
  </r>
  <r>
    <s v="r_DE_N15G3f_spec02"/>
    <n v="1"/>
    <n v="1"/>
    <n v="1"/>
    <n v="1"/>
    <n v="1"/>
    <n v="1"/>
    <n v="1"/>
    <n v="1"/>
    <x v="2"/>
    <s v="spec02"/>
    <x v="0"/>
    <s v="N15G3f"/>
    <x v="0"/>
  </r>
  <r>
    <s v="r_DE_N15G3f_spec01"/>
    <n v="1.0545602401520462"/>
    <n v="1.0375794418679964"/>
    <n v="1.0251787795247866"/>
    <n v="1.0207688998576236"/>
    <n v="1.0129509731358091"/>
    <n v="1.005567135331553"/>
    <n v="0.99959428080082335"/>
    <n v="0.99538461239842335"/>
    <x v="2"/>
    <s v="spec01"/>
    <x v="0"/>
    <s v="N15G3f"/>
    <x v="1"/>
  </r>
  <r>
    <s v="r_DE_N15G3f_spec04"/>
    <n v="0.93323541509588626"/>
    <n v="0.91260100343189388"/>
    <n v="0.90342810807852847"/>
    <n v="0.89204058649135176"/>
    <n v="0.88382513922959871"/>
    <n v="0.88022432392892158"/>
    <n v="0.87992636440286176"/>
    <n v="0.88188735605167778"/>
    <x v="2"/>
    <s v="spec04"/>
    <x v="0"/>
    <s v="N15G3f"/>
    <x v="2"/>
  </r>
  <r>
    <s v="r_DE_N15G3f_spec07"/>
    <n v="5.2949444940047883"/>
    <n v="3.2520914645743786"/>
    <n v="2.2263377727387961"/>
    <n v="1.7359080825085631"/>
    <n v="1.4584326148674562"/>
    <n v="1.2833734452645673"/>
    <n v="1.1609815957069989"/>
    <n v="1.0756853054432201"/>
    <x v="2"/>
    <s v="spec07"/>
    <x v="0"/>
    <s v="N15G3f"/>
    <x v="3"/>
  </r>
  <r>
    <s v="r_DE_N15G3f_spec08"/>
    <n v="1.9656181653548481"/>
    <n v="1.809241606748633"/>
    <n v="1.3292125333330689"/>
    <n v="1.1031004505419095"/>
    <n v="0.96782056624052148"/>
    <n v="0.87872092496344589"/>
    <n v="0.81591530973494708"/>
    <n v="0.77289579822350929"/>
    <x v="2"/>
    <s v="spec08"/>
    <x v="0"/>
    <s v="N15G3f"/>
    <x v="4"/>
  </r>
  <r>
    <s v="r_DE_N15G3f_spec09"/>
    <n v="3.4809743501073633"/>
    <n v="2.2991215465476946"/>
    <n v="1.6116759340762719"/>
    <n v="1.2918630589784557"/>
    <n v="1.097130549197344"/>
    <n v="0.97110274021539855"/>
    <n v="0.87696833540797758"/>
    <n v="0.81622682772291222"/>
    <x v="2"/>
    <s v="spec09"/>
    <x v="0"/>
    <s v="N15G3f"/>
    <x v="5"/>
  </r>
  <r>
    <s v="r_DE_N15G3f_spec10"/>
    <n v="5.0256096259558758"/>
    <n v="3.8826917420182205"/>
    <n v="2.5994257454773515"/>
    <n v="2.0158325523194769"/>
    <n v="1.6756271950922188"/>
    <n v="1.4664443983211179"/>
    <n v="1.3171532092510061"/>
    <n v="1.2189733725117686"/>
    <x v="2"/>
    <s v="spec10"/>
    <x v="0"/>
    <s v="N15G3f"/>
    <x v="6"/>
  </r>
  <r>
    <s v="r_DE_N15G3f_spec03"/>
    <n v="0.9996136602327097"/>
    <n v="0.97996711662861757"/>
    <n v="0.96328827258448302"/>
    <n v="0.94972450924978913"/>
    <n v="0.93917633189440108"/>
    <n v="0.93166402734050535"/>
    <n v="0.92642882372871349"/>
    <n v="0.92406022390052234"/>
    <x v="2"/>
    <s v="spec03"/>
    <x v="0"/>
    <s v="N15G3f"/>
    <x v="7"/>
  </r>
  <r>
    <s v="r_DE_N15G3f_spec18"/>
    <n v="0.96774790023426427"/>
    <n v="0.91283376663595273"/>
    <n v="0.85611205366388121"/>
    <n v="0.81795372742894401"/>
    <n v="0.78875035520059256"/>
    <n v="0.7653378458679545"/>
    <n v="0.74613666747091001"/>
    <n v="0.73318589989655958"/>
    <x v="2"/>
    <s v="spec18"/>
    <x v="0"/>
    <s v="N15G3f"/>
    <x v="8"/>
  </r>
  <r>
    <s v="r_FR_N15G3f_spec02"/>
    <n v="1"/>
    <n v="1"/>
    <n v="1"/>
    <n v="1"/>
    <n v="1"/>
    <n v="1"/>
    <n v="1"/>
    <n v="1"/>
    <x v="2"/>
    <s v="spec02"/>
    <x v="1"/>
    <s v="N15G3f"/>
    <x v="0"/>
  </r>
  <r>
    <s v="r_FR_N15G3f_spec01"/>
    <n v="1.0253010796966238"/>
    <n v="1.0241156404134051"/>
    <n v="1.0239988844172503"/>
    <n v="1.0355109435305809"/>
    <n v="1.0461942728746687"/>
    <n v="1.0538253827711066"/>
    <n v="1.0570478516579562"/>
    <n v="1.0617261099422892"/>
    <x v="2"/>
    <s v="spec01"/>
    <x v="1"/>
    <s v="N15G3f"/>
    <x v="1"/>
  </r>
  <r>
    <s v="r_FR_N15G3f_spec04"/>
    <n v="1.0335082605833732"/>
    <n v="1.0173708066707536"/>
    <n v="1.0243676612366837"/>
    <n v="1.0329041130310057"/>
    <n v="1.0402880963241321"/>
    <n v="1.0440214764820763"/>
    <n v="1.0470485970245065"/>
    <n v="1.0500767855093374"/>
    <x v="2"/>
    <s v="spec04"/>
    <x v="1"/>
    <s v="N15G3f"/>
    <x v="2"/>
  </r>
  <r>
    <s v="r_FR_N15G3f_spec07"/>
    <n v="9.5354482643240637"/>
    <n v="5.7876036624881984"/>
    <n v="4.0842314343648685"/>
    <n v="3.2064379287479752"/>
    <n v="2.717863287135819"/>
    <n v="2.3913459968230542"/>
    <n v="2.1588435689575927"/>
    <n v="2.000435998758157"/>
    <x v="2"/>
    <s v="spec07"/>
    <x v="1"/>
    <s v="N15G3f"/>
    <x v="3"/>
  </r>
  <r>
    <s v="r_FR_N15G3f_spec08"/>
    <n v="2.3523062647630182"/>
    <n v="2.3001953358856353"/>
    <n v="1.7371439215175803"/>
    <n v="1.4671062192709006"/>
    <n v="1.3115011896168642"/>
    <n v="1.2031067663593749"/>
    <n v="1.1217352270738532"/>
    <n v="1.0653332401141067"/>
    <x v="2"/>
    <s v="spec08"/>
    <x v="1"/>
    <s v="N15G3f"/>
    <x v="4"/>
  </r>
  <r>
    <s v="r_FR_N15G3f_spec09"/>
    <n v="4.6835017027216628"/>
    <n v="3.292229863193036"/>
    <n v="2.3737238422723639"/>
    <n v="1.9328868767536296"/>
    <n v="1.6683083259242684"/>
    <n v="1.4866239530472027"/>
    <n v="1.3427967253034629"/>
    <n v="1.25069566591295"/>
    <x v="2"/>
    <s v="spec09"/>
    <x v="1"/>
    <s v="N15G3f"/>
    <x v="5"/>
  </r>
  <r>
    <s v="r_FR_N15G3f_spec10"/>
    <n v="7.7864167631578889"/>
    <n v="5.8281508528673509"/>
    <n v="4.0900671405243694"/>
    <n v="3.2469756346413998"/>
    <n v="2.7566096637784678"/>
    <n v="2.4196962566700142"/>
    <n v="2.183233381798499"/>
    <n v="2.0165777501332705"/>
    <x v="2"/>
    <s v="spec10"/>
    <x v="1"/>
    <s v="N15G3f"/>
    <x v="6"/>
  </r>
  <r>
    <s v="r_FR_N15G3f_spec03"/>
    <n v="0.97606708099519413"/>
    <n v="1.0220933789622264"/>
    <n v="1.0454454553699741"/>
    <n v="1.0729278709309058"/>
    <n v="1.1015161042925199"/>
    <n v="1.1248478635956618"/>
    <n v="1.1418420203743245"/>
    <n v="1.152629735211274"/>
    <x v="2"/>
    <s v="spec03"/>
    <x v="1"/>
    <s v="N15G3f"/>
    <x v="7"/>
  </r>
  <r>
    <s v="r_FR_N15G3f_spec18"/>
    <n v="1.0212376087770074"/>
    <n v="1.0295004140070225"/>
    <n v="0.99834490801961784"/>
    <n v="0.9886771304482519"/>
    <n v="0.98141972047531434"/>
    <n v="0.9656395386556651"/>
    <n v="0.9572370924728929"/>
    <n v="0.94489711579928037"/>
    <x v="2"/>
    <s v="spec18"/>
    <x v="1"/>
    <s v="N15G3f"/>
    <x v="8"/>
  </r>
  <r>
    <s v="r_IT_N15G3f_spec02"/>
    <n v="1"/>
    <n v="1"/>
    <n v="1"/>
    <n v="1"/>
    <n v="1"/>
    <n v="1"/>
    <n v="1"/>
    <n v="1"/>
    <x v="2"/>
    <s v="spec02"/>
    <x v="2"/>
    <s v="N15G3f"/>
    <x v="0"/>
  </r>
  <r>
    <s v="r_IT_N15G3f_spec01"/>
    <n v="0.95654270544654474"/>
    <n v="0.94459167789189868"/>
    <n v="0.93161594434373451"/>
    <n v="0.92173726163595193"/>
    <n v="0.9159367965977967"/>
    <n v="0.91546853926013827"/>
    <n v="0.91413568715304749"/>
    <n v="0.91543634769424131"/>
    <x v="2"/>
    <s v="spec01"/>
    <x v="2"/>
    <s v="N15G3f"/>
    <x v="1"/>
  </r>
  <r>
    <s v="r_IT_N15G3f_spec04"/>
    <n v="1.0039361537945553"/>
    <n v="1.0185230189097894"/>
    <n v="1.0082473956743543"/>
    <n v="1.0063119939317291"/>
    <n v="1.004184609840084"/>
    <n v="1.0026465895796268"/>
    <n v="1.0013657170847425"/>
    <n v="1.0002505982341161"/>
    <x v="2"/>
    <s v="spec04"/>
    <x v="2"/>
    <s v="N15G3f"/>
    <x v="2"/>
  </r>
  <r>
    <s v="r_IT_N15G3f_spec07"/>
    <n v="4.8437516438821477"/>
    <n v="4.425906606181937"/>
    <n v="3.3670091118714751"/>
    <n v="2.6712533033331405"/>
    <n v="2.2341281909690145"/>
    <n v="1.9735248974062642"/>
    <n v="1.7657456355768759"/>
    <n v="1.6172695463114348"/>
    <x v="2"/>
    <s v="spec07"/>
    <x v="2"/>
    <s v="N15G3f"/>
    <x v="3"/>
  </r>
  <r>
    <s v="r_IT_N15G3f_spec08"/>
    <n v="1.809943349422553"/>
    <n v="2.6879331981498757"/>
    <n v="2.0879185135199791"/>
    <n v="1.7300149187689031"/>
    <n v="1.4878306882985166"/>
    <n v="1.3307733391350685"/>
    <n v="1.2118638394688481"/>
    <n v="1.1237825668610828"/>
    <x v="2"/>
    <s v="spec08"/>
    <x v="2"/>
    <s v="N15G3f"/>
    <x v="4"/>
  </r>
  <r>
    <s v="r_IT_N15G3f_spec09"/>
    <n v="2.7856863924477397"/>
    <n v="2.7498244088627537"/>
    <n v="2.0910822014641086"/>
    <n v="1.7612939720261263"/>
    <n v="1.5055682782789164"/>
    <n v="1.3466773784496715"/>
    <n v="1.2008334806841421"/>
    <n v="1.1109597062727841"/>
    <x v="2"/>
    <s v="spec09"/>
    <x v="2"/>
    <s v="N15G3f"/>
    <x v="5"/>
  </r>
  <r>
    <s v="r_IT_N15G3f_spec10"/>
    <n v="3.7359174036339784"/>
    <n v="3.5402167589344278"/>
    <n v="2.6745907899622523"/>
    <n v="2.1692789419754801"/>
    <n v="1.8355266229214391"/>
    <n v="1.6220687542736061"/>
    <n v="1.4738063741642877"/>
    <n v="1.3682716979020249"/>
    <x v="2"/>
    <s v="spec10"/>
    <x v="2"/>
    <s v="N15G3f"/>
    <x v="6"/>
  </r>
  <r>
    <s v="r_IT_N15G3f_spec03"/>
    <n v="1.0127247093094143"/>
    <n v="1.0027994229894626"/>
    <n v="1.0063251487143825"/>
    <n v="1.0028526379401617"/>
    <n v="1.003610611884344"/>
    <n v="1.0085509527022858"/>
    <n v="1.0126996825489294"/>
    <n v="1.0181829099803728"/>
    <x v="2"/>
    <s v="spec03"/>
    <x v="2"/>
    <s v="N15G3f"/>
    <x v="7"/>
  </r>
  <r>
    <s v="r_IT_N15G3f_spec18"/>
    <n v="0.97601640639043119"/>
    <n v="0.9540470879365931"/>
    <n v="0.91553654155955366"/>
    <n v="0.89046767678449434"/>
    <n v="0.87091383484830609"/>
    <n v="0.85296161180634966"/>
    <n v="0.83580718247088348"/>
    <n v="0.82003302685431223"/>
    <x v="2"/>
    <s v="spec18"/>
    <x v="2"/>
    <s v="N15G3f"/>
    <x v="8"/>
  </r>
  <r>
    <s v="r_GB_N15G3f_spec02"/>
    <n v="1"/>
    <n v="1"/>
    <n v="1"/>
    <n v="1"/>
    <n v="1"/>
    <n v="1"/>
    <n v="1"/>
    <n v="1"/>
    <x v="2"/>
    <s v="spec02"/>
    <x v="3"/>
    <s v="N15G3f"/>
    <x v="0"/>
  </r>
  <r>
    <s v="r_GB_N15G3f_spec01"/>
    <n v="0.91918354206411146"/>
    <n v="0.94106097777953668"/>
    <n v="0.95185485136696657"/>
    <n v="0.96608576377378019"/>
    <n v="0.97025467373229191"/>
    <n v="0.97454207485971134"/>
    <n v="0.97807160637799506"/>
    <n v="0.98146613877793887"/>
    <x v="2"/>
    <s v="spec01"/>
    <x v="3"/>
    <s v="N15G3f"/>
    <x v="1"/>
  </r>
  <r>
    <s v="r_GB_N15G3f_spec04"/>
    <n v="0.998956074876307"/>
    <n v="0.99660398027032604"/>
    <n v="0.98070712532351678"/>
    <n v="0.96706677659607088"/>
    <n v="0.95759053808814798"/>
    <n v="0.94957991741494774"/>
    <n v="0.94244745540035657"/>
    <n v="0.93665414147408588"/>
    <x v="2"/>
    <s v="spec04"/>
    <x v="3"/>
    <s v="N15G3f"/>
    <x v="2"/>
  </r>
  <r>
    <s v="r_GB_N15G3f_spec07"/>
    <n v="8.9150243642771709"/>
    <n v="5.2459920358566556"/>
    <n v="3.8270807472520327"/>
    <n v="3.0450671544743328"/>
    <n v="2.5614128545055714"/>
    <n v="2.2525301538011577"/>
    <n v="2.0319902651526589"/>
    <n v="1.8696981665457406"/>
    <x v="2"/>
    <s v="spec07"/>
    <x v="3"/>
    <s v="N15G3f"/>
    <x v="3"/>
  </r>
  <r>
    <s v="r_GB_N15G3f_spec08"/>
    <n v="1.8449145967296192"/>
    <n v="1.7560292035773934"/>
    <n v="1.3553383066119076"/>
    <n v="1.1478664329998756"/>
    <n v="1.009193324262992"/>
    <n v="0.9241066816600495"/>
    <n v="0.86040271604967378"/>
    <n v="0.81601495928607759"/>
    <x v="2"/>
    <s v="spec08"/>
    <x v="3"/>
    <s v="N15G3f"/>
    <x v="4"/>
  </r>
  <r>
    <s v="r_GB_N15G3f_spec09"/>
    <n v="3.9345268159291389"/>
    <n v="2.7953636445764918"/>
    <n v="2.0829624692887498"/>
    <n v="1.7058766002650834"/>
    <n v="1.466069036039682"/>
    <n v="1.3128928492280629"/>
    <n v="1.1959793169657758"/>
    <n v="1.1146873463356306"/>
    <x v="2"/>
    <s v="spec09"/>
    <x v="3"/>
    <s v="N15G3f"/>
    <x v="5"/>
  </r>
  <r>
    <s v="r_GB_N15G3f_spec10"/>
    <n v="5.4951116348507467"/>
    <n v="3.9385179828305006"/>
    <n v="2.8834535963086507"/>
    <n v="2.3135901242628982"/>
    <n v="1.9608254790816977"/>
    <n v="1.7306027432200481"/>
    <n v="1.5704993748917624"/>
    <n v="1.4524471767451597"/>
    <x v="2"/>
    <s v="spec10"/>
    <x v="3"/>
    <s v="N15G3f"/>
    <x v="6"/>
  </r>
  <r>
    <s v="r_GB_N15G3f_spec03"/>
    <n v="0.85577555576536113"/>
    <n v="0.90232446975912795"/>
    <n v="0.90489615668807799"/>
    <n v="0.91178064800778302"/>
    <n v="0.91908972181754589"/>
    <n v="0.9233813028658685"/>
    <n v="0.9257704435802252"/>
    <n v="0.92444026401605084"/>
    <x v="2"/>
    <s v="spec03"/>
    <x v="3"/>
    <s v="N15G3f"/>
    <x v="7"/>
  </r>
  <r>
    <s v="r_GB_N15G3f_spec18"/>
    <n v="0.75985555111607883"/>
    <n v="0.78197829565615229"/>
    <n v="0.77298511906467982"/>
    <n v="0.77015154250097329"/>
    <n v="0.75896325155869704"/>
    <n v="0.74936579057586206"/>
    <n v="0.74027924890878982"/>
    <n v="0.72914704781182338"/>
    <x v="2"/>
    <s v="spec18"/>
    <x v="3"/>
    <s v="N15G3f"/>
    <x v="8"/>
  </r>
  <r>
    <s v="r_US_N15G3f_spec02"/>
    <n v="1"/>
    <n v="1"/>
    <n v="1"/>
    <n v="1"/>
    <n v="1"/>
    <n v="1"/>
    <n v="1"/>
    <n v="1"/>
    <x v="2"/>
    <s v="spec02"/>
    <x v="4"/>
    <s v="N15G3f"/>
    <x v="0"/>
  </r>
  <r>
    <s v="r_US_N15G3f_spec01"/>
    <n v="0.93238272812302092"/>
    <n v="0.93542683423574347"/>
    <n v="0.94839305433318077"/>
    <n v="0.95187411072501638"/>
    <n v="0.94859345612989665"/>
    <n v="0.95127546928908824"/>
    <n v="0.95482366593391343"/>
    <n v="0.95669447305591693"/>
    <x v="2"/>
    <s v="spec01"/>
    <x v="4"/>
    <s v="N15G3f"/>
    <x v="1"/>
  </r>
  <r>
    <s v="r_US_N15G3f_spec04"/>
    <n v="1.0210570684460865"/>
    <n v="1.0049249903922739"/>
    <n v="1.0072488490852443"/>
    <n v="1.0003727148430104"/>
    <n v="0.99602034997050382"/>
    <n v="0.9916790173028639"/>
    <n v="0.9905708560180484"/>
    <n v="0.98963524437686756"/>
    <x v="2"/>
    <s v="spec04"/>
    <x v="4"/>
    <s v="N15G3f"/>
    <x v="2"/>
  </r>
  <r>
    <s v="r_US_N15G3f_spec07"/>
    <n v="5.8990833738834931"/>
    <n v="3.4674775185010174"/>
    <n v="2.5795257545355756"/>
    <n v="2.0786147854510126"/>
    <n v="1.7693083582586404"/>
    <n v="1.5716828631145565"/>
    <n v="1.4435524382629432"/>
    <n v="1.3518074335703119"/>
    <x v="2"/>
    <s v="spec07"/>
    <x v="4"/>
    <s v="N15G3f"/>
    <x v="3"/>
  </r>
  <r>
    <s v="r_US_N15G3f_spec08"/>
    <n v="1.7766688109834472"/>
    <n v="1.6200638513475223"/>
    <n v="1.3032951873475827"/>
    <n v="1.1332688481995696"/>
    <n v="1.0242642604143333"/>
    <n v="0.96103372079340832"/>
    <n v="0.91757770487395118"/>
    <n v="0.88612219202764075"/>
    <x v="2"/>
    <s v="spec08"/>
    <x v="4"/>
    <s v="N15G3f"/>
    <x v="4"/>
  </r>
  <r>
    <s v="r_US_N15G3f_spec09"/>
    <n v="3.0685941570230861"/>
    <n v="1.9734581061078134"/>
    <n v="1.5144349044955825"/>
    <n v="1.2608077043256407"/>
    <n v="1.1072378443362099"/>
    <n v="1.0107216065736178"/>
    <n v="0.94547693197707294"/>
    <n v="0.89776782504114838"/>
    <x v="2"/>
    <s v="spec09"/>
    <x v="4"/>
    <s v="N15G3f"/>
    <x v="5"/>
  </r>
  <r>
    <s v="r_US_N15G3f_spec10"/>
    <n v="3.8178104206252295"/>
    <n v="2.9845797908744069"/>
    <n v="2.2250872800011989"/>
    <n v="1.8038483042673636"/>
    <n v="1.5462344751858019"/>
    <n v="1.3845851058042147"/>
    <n v="1.2766668257657887"/>
    <n v="1.198240878851704"/>
    <x v="2"/>
    <s v="spec10"/>
    <x v="4"/>
    <s v="N15G3f"/>
    <x v="6"/>
  </r>
  <r>
    <s v="r_US_N15G3f_spec03"/>
    <n v="0.93786326230092221"/>
    <n v="0.9806100191059639"/>
    <n v="0.97914146249906286"/>
    <n v="0.97210535102920637"/>
    <n v="0.96941431690413027"/>
    <n v="0.96905789332113623"/>
    <n v="0.97000654214351145"/>
    <n v="0.97073840990729687"/>
    <x v="2"/>
    <s v="spec03"/>
    <x v="4"/>
    <s v="N15G3f"/>
    <x v="7"/>
  </r>
  <r>
    <s v="r_US_N15G3f_spec18"/>
    <n v="0.80889028704040622"/>
    <n v="0.80626501894089375"/>
    <n v="0.80762281192889374"/>
    <n v="0.80754702283401558"/>
    <n v="0.80187909089706144"/>
    <n v="0.80452609889494431"/>
    <n v="0.80067785867561447"/>
    <n v="0.79305943459437744"/>
    <x v="2"/>
    <s v="spec18"/>
    <x v="4"/>
    <s v="N15G3f"/>
    <x v="8"/>
  </r>
  <r>
    <s v="r_CA_N15G3f_spec02"/>
    <n v="1"/>
    <n v="1"/>
    <n v="1"/>
    <n v="1"/>
    <n v="1"/>
    <n v="1"/>
    <n v="1"/>
    <n v="1"/>
    <x v="2"/>
    <s v="spec02"/>
    <x v="5"/>
    <s v="N15G3f"/>
    <x v="0"/>
  </r>
  <r>
    <s v="r_CA_N15G3f_spec01"/>
    <n v="0.92112627650598233"/>
    <n v="0.95914536407990747"/>
    <n v="0.99166520270353098"/>
    <n v="0.99125837957353224"/>
    <n v="0.98792323956750017"/>
    <n v="0.98660307300991534"/>
    <n v="0.98840343031471167"/>
    <n v="0.99140485621558672"/>
    <x v="2"/>
    <s v="spec01"/>
    <x v="5"/>
    <s v="N15G3f"/>
    <x v="1"/>
  </r>
  <r>
    <s v="r_CA_N15G3f_spec04"/>
    <n v="0.93562796999307329"/>
    <n v="0.94006144875718622"/>
    <n v="0.95921132411641241"/>
    <n v="0.95651982162299787"/>
    <n v="0.95767482925358116"/>
    <n v="0.95977042665636969"/>
    <n v="0.96024662156629936"/>
    <n v="0.96010999749392756"/>
    <x v="2"/>
    <s v="spec04"/>
    <x v="5"/>
    <s v="N15G3f"/>
    <x v="2"/>
  </r>
  <r>
    <s v="r_CA_N15G3f_spec07"/>
    <n v="8.2143947956167622"/>
    <n v="4.8798416115161114"/>
    <n v="3.5359478045913169"/>
    <n v="2.7549949647525853"/>
    <n v="2.272746705694459"/>
    <n v="1.9871839151577455"/>
    <n v="1.8156749448887124"/>
    <n v="1.6989404873543736"/>
    <x v="2"/>
    <s v="spec07"/>
    <x v="5"/>
    <s v="N15G3f"/>
    <x v="3"/>
  </r>
  <r>
    <s v="r_CA_N15G3f_spec08"/>
    <n v="2.0445680270566777"/>
    <n v="1.9613738987439759"/>
    <n v="1.4919301339294555"/>
    <n v="1.2292012274878652"/>
    <n v="1.067730129831812"/>
    <n v="0.97527887240014166"/>
    <n v="0.91281618031989131"/>
    <n v="0.87239820006359847"/>
    <x v="2"/>
    <s v="spec08"/>
    <x v="5"/>
    <s v="N15G3f"/>
    <x v="4"/>
  </r>
  <r>
    <s v="r_CA_N15G3f_spec09"/>
    <n v="3.6174379984845353"/>
    <n v="2.6046441669693281"/>
    <n v="1.9361078586921983"/>
    <n v="1.5520672434929341"/>
    <n v="1.3139948373126267"/>
    <n v="1.1755116432095851"/>
    <n v="1.0806150162651595"/>
    <n v="1.0171912673396828"/>
    <x v="2"/>
    <s v="spec09"/>
    <x v="5"/>
    <s v="N15G3f"/>
    <x v="5"/>
  </r>
  <r>
    <s v="r_CA_N15G3f_spec10"/>
    <n v="5.4065889298741086"/>
    <n v="4.0451183785156459"/>
    <n v="2.9334570326526834"/>
    <n v="2.3111592037064548"/>
    <n v="1.9308991352427218"/>
    <n v="1.705504188727168"/>
    <n v="1.567297238758224"/>
    <n v="1.4701297087470653"/>
    <x v="2"/>
    <s v="spec10"/>
    <x v="5"/>
    <s v="N15G3f"/>
    <x v="6"/>
  </r>
  <r>
    <s v="r_CA_N15G3f_spec03"/>
    <n v="0.96783506317718815"/>
    <n v="1.0359873657457932"/>
    <n v="1.0674097455527956"/>
    <n v="1.0659785569209874"/>
    <n v="1.0605962507849718"/>
    <n v="1.0547418758161433"/>
    <n v="1.0481372059543981"/>
    <n v="1.0426674838563375"/>
    <x v="2"/>
    <s v="spec03"/>
    <x v="5"/>
    <s v="N15G3f"/>
    <x v="7"/>
  </r>
  <r>
    <s v="r_CA_N15G3f_spec18"/>
    <n v="0.83440251329553594"/>
    <n v="0.87884049497720651"/>
    <n v="0.89195873927287572"/>
    <n v="0.87878497052890536"/>
    <n v="0.86188869409452162"/>
    <n v="0.85087256789433863"/>
    <n v="0.84042919382684744"/>
    <n v="0.82892827940143532"/>
    <x v="2"/>
    <s v="spec18"/>
    <x v="5"/>
    <s v="N15G3f"/>
    <x v="8"/>
  </r>
  <r>
    <s v="r_AG_N15G3f_spec02"/>
    <n v="1"/>
    <n v="1"/>
    <n v="1"/>
    <n v="1"/>
    <n v="1"/>
    <n v="1"/>
    <n v="1"/>
    <n v="1"/>
    <x v="2"/>
    <s v="spec02"/>
    <x v="6"/>
    <s v="N15G3f"/>
    <x v="0"/>
  </r>
  <r>
    <s v="r_AG_N15G3f_spec01"/>
    <n v="0.74409766797466936"/>
    <n v="0.97485267041198476"/>
    <n v="1.1452659719917049"/>
    <n v="1.1026629846502112"/>
    <n v="1.1162957070629329"/>
    <n v="1.1179468965366559"/>
    <n v="1.1195886136871676"/>
    <n v="1.1202015763596647"/>
    <x v="2"/>
    <s v="spec01"/>
    <x v="6"/>
    <s v="N15G3f"/>
    <x v="1"/>
  </r>
  <r>
    <s v="r_AG_N15G3f_spec04"/>
    <n v="0.77578200416395859"/>
    <n v="0.89524084063551446"/>
    <n v="0.93067662417598807"/>
    <n v="0.97453887581016063"/>
    <n v="0.98039092808937045"/>
    <n v="0.98661969342540889"/>
    <n v="0.9926922368720561"/>
    <n v="0.9894893265499094"/>
    <x v="2"/>
    <s v="spec04"/>
    <x v="6"/>
    <s v="N15G3f"/>
    <x v="2"/>
  </r>
  <r>
    <s v="r_AG_N15G3f_spec07"/>
    <n v="2.5298930083925462"/>
    <n v="2.165942960491261"/>
    <n v="2.1390469759221888"/>
    <n v="1.7520501563559967"/>
    <n v="1.6004107277079218"/>
    <n v="1.4802487601448138"/>
    <n v="1.3806992239320581"/>
    <n v="1.3010556218631333"/>
    <x v="2"/>
    <s v="spec07"/>
    <x v="6"/>
    <s v="N15G3f"/>
    <x v="3"/>
  </r>
  <r>
    <s v="r_AG_N15G3f_spec08"/>
    <n v="1.9115017702869617"/>
    <n v="1.4570353426063898"/>
    <n v="1.5038359495965405"/>
    <n v="1.2825821330943339"/>
    <n v="1.1514034695660751"/>
    <n v="1.008800762127511"/>
    <n v="0.94479428042615887"/>
    <n v="0.89800710434193587"/>
    <x v="2"/>
    <s v="spec08"/>
    <x v="6"/>
    <s v="N15G3f"/>
    <x v="4"/>
  </r>
  <r>
    <s v="r_AG_N15G3f_spec09"/>
    <n v="1.2871682997427885"/>
    <n v="1.6806355193753086"/>
    <n v="1.6506826986212613"/>
    <n v="1.3460488774494241"/>
    <n v="1.2253966733553943"/>
    <n v="1.138101997624422"/>
    <n v="1.0628111610147541"/>
    <n v="1.0098517165448546"/>
    <x v="2"/>
    <s v="spec09"/>
    <x v="6"/>
    <s v="N15G3f"/>
    <x v="5"/>
  </r>
  <r>
    <s v="r_AG_N15G3f_spec10"/>
    <n v="2.2195226574628717"/>
    <n v="2.3050484992024125"/>
    <n v="2.2601629428068382"/>
    <n v="1.8518543985509242"/>
    <n v="1.6937865109602224"/>
    <n v="1.5577080824680385"/>
    <n v="1.4539029596242683"/>
    <n v="1.3812906912453982"/>
    <x v="2"/>
    <s v="spec10"/>
    <x v="6"/>
    <s v="N15G3f"/>
    <x v="6"/>
  </r>
  <r>
    <s v="r_AG_N15G3f_spec03"/>
    <n v="0.61160014346699698"/>
    <n v="0.77657058354528752"/>
    <n v="0.85324246510239177"/>
    <n v="0.8773320775111898"/>
    <n v="0.91211565970994024"/>
    <n v="0.91909884950413312"/>
    <n v="0.93961818616936443"/>
    <n v="0.94125201234078881"/>
    <x v="2"/>
    <s v="spec03"/>
    <x v="6"/>
    <s v="N15G3f"/>
    <x v="7"/>
  </r>
  <r>
    <s v="r_AG_N15G3f_spec18"/>
    <n v="0.35073195040395827"/>
    <n v="0.53555626127161815"/>
    <n v="0.54867253122009652"/>
    <n v="0.47538659735622552"/>
    <n v="0.5053569624363986"/>
    <n v="0.49724926582594364"/>
    <n v="0.45620218718882283"/>
    <n v="0.41437382033802139"/>
    <x v="2"/>
    <s v="spec18"/>
    <x v="6"/>
    <s v="N15G3f"/>
    <x v="8"/>
  </r>
  <r>
    <s v="r_BR_N15G3f_spec02"/>
    <n v="1"/>
    <n v="1"/>
    <n v="1"/>
    <n v="1"/>
    <n v="1"/>
    <n v="1"/>
    <n v="1"/>
    <n v="1"/>
    <x v="2"/>
    <s v="spec02"/>
    <x v="7"/>
    <s v="N15G3f"/>
    <x v="0"/>
  </r>
  <r>
    <s v="r_BR_N15G3f_spec01"/>
    <n v="0.89179243128919494"/>
    <n v="0.9390979407124258"/>
    <n v="0.98262513712443711"/>
    <n v="1.0169792418525316"/>
    <n v="1.0337112291664945"/>
    <n v="1.0357413469418009"/>
    <n v="1.0324263861383027"/>
    <n v="1.0354988012989605"/>
    <x v="2"/>
    <s v="spec01"/>
    <x v="7"/>
    <s v="N15G3f"/>
    <x v="1"/>
  </r>
  <r>
    <s v="r_BR_N15G3f_spec04"/>
    <n v="0.95373234701956666"/>
    <n v="1.0047621294797033"/>
    <n v="1.0310144605221543"/>
    <n v="1.0484376392268444"/>
    <n v="1.057721746609656"/>
    <n v="1.0541828077124999"/>
    <n v="1.052171060711568"/>
    <n v="1.0528780921796925"/>
    <x v="2"/>
    <s v="spec04"/>
    <x v="7"/>
    <s v="N15G3f"/>
    <x v="2"/>
  </r>
  <r>
    <s v="r_BR_N15G3f_spec07"/>
    <n v="5.9666496308026131"/>
    <n v="3.2625622384843807"/>
    <n v="2.6521646605887561"/>
    <n v="2.2796489183105746"/>
    <n v="2.0155487924238602"/>
    <n v="1.8151292204958096"/>
    <n v="1.6641153748132593"/>
    <n v="1.5592305087367084"/>
    <x v="2"/>
    <s v="spec07"/>
    <x v="7"/>
    <s v="N15G3f"/>
    <x v="3"/>
  </r>
  <r>
    <s v="r_BR_N15G3f_spec08"/>
    <n v="2.2912537908860924"/>
    <n v="2.9208021708171712"/>
    <n v="2.3564272895609202"/>
    <n v="2.0154486883066598"/>
    <n v="1.7698262847196071"/>
    <n v="1.575455381585797"/>
    <n v="1.4415986764536646"/>
    <n v="1.3384033852667574"/>
    <x v="2"/>
    <s v="spec08"/>
    <x v="7"/>
    <s v="N15G3f"/>
    <x v="4"/>
  </r>
  <r>
    <s v="r_BR_N15G3f_spec09"/>
    <n v="4.97564266470786"/>
    <n v="2.916700854977496"/>
    <n v="2.3677432674935437"/>
    <n v="2.0441157185033654"/>
    <n v="1.8021928373817842"/>
    <n v="1.6238869424358948"/>
    <n v="1.4917937871933806"/>
    <n v="1.3961558960841818"/>
    <x v="2"/>
    <s v="spec09"/>
    <x v="7"/>
    <s v="N15G3f"/>
    <x v="5"/>
  </r>
  <r>
    <s v="r_BR_N15G3f_spec10"/>
    <n v="5.0770315845870808"/>
    <n v="3.3402693389446272"/>
    <n v="2.7130299855061404"/>
    <n v="2.3417618292331581"/>
    <n v="2.0558274986875165"/>
    <n v="1.8549541573063817"/>
    <n v="1.7027559489244697"/>
    <n v="1.5904165802833734"/>
    <x v="2"/>
    <s v="spec10"/>
    <x v="7"/>
    <s v="N15G3f"/>
    <x v="6"/>
  </r>
  <r>
    <s v="r_BR_N15G3f_spec03"/>
    <n v="0.78498145956951804"/>
    <n v="0.88253781924012886"/>
    <n v="0.88727244502917502"/>
    <n v="0.88360479381277546"/>
    <n v="0.88585094930588182"/>
    <n v="0.88784900900507002"/>
    <n v="0.89678356048885832"/>
    <n v="0.89658693179122184"/>
    <x v="2"/>
    <s v="spec03"/>
    <x v="7"/>
    <s v="N15G3f"/>
    <x v="7"/>
  </r>
  <r>
    <s v="r_BR_N15G3f_spec18"/>
    <n v="0.19772092725138052"/>
    <n v="0.17007600340603202"/>
    <n v="0.16090134916277279"/>
    <n v="0.16462727754002865"/>
    <n v="0.15003585596825195"/>
    <n v="0.14483087536964573"/>
    <n v="0.14317506265432933"/>
    <n v="0.14802812441151317"/>
    <x v="2"/>
    <s v="spec18"/>
    <x v="7"/>
    <s v="N15G3f"/>
    <x v="8"/>
  </r>
  <r>
    <s v="r_MX_N15G3f_spec02"/>
    <n v="1"/>
    <n v="1"/>
    <n v="1"/>
    <n v="1"/>
    <n v="1"/>
    <n v="1"/>
    <n v="1"/>
    <n v="1"/>
    <x v="2"/>
    <s v="spec02"/>
    <x v="8"/>
    <s v="N15G3f"/>
    <x v="0"/>
  </r>
  <r>
    <s v="r_MX_N15G3f_spec01"/>
    <n v="0.85145030570323244"/>
    <n v="0.91127756024651629"/>
    <n v="0.96447848519003554"/>
    <n v="0.99324026270247023"/>
    <n v="1.0079259181023017"/>
    <n v="1.0153796145628307"/>
    <n v="1.024999696185521"/>
    <n v="1.0309576941409297"/>
    <x v="2"/>
    <s v="spec01"/>
    <x v="8"/>
    <s v="N15G3f"/>
    <x v="1"/>
  </r>
  <r>
    <s v="r_MX_N15G3f_spec04"/>
    <n v="0.81267769019798941"/>
    <n v="0.82615340953259253"/>
    <n v="0.84429982395533165"/>
    <n v="0.85356763203544128"/>
    <n v="0.8509444355831246"/>
    <n v="0.85346536353093572"/>
    <n v="0.85627004285324759"/>
    <n v="0.85286063212151175"/>
    <x v="2"/>
    <s v="spec04"/>
    <x v="8"/>
    <s v="N15G3f"/>
    <x v="2"/>
  </r>
  <r>
    <s v="r_MX_N15G3f_spec07"/>
    <n v="8.270417464468542"/>
    <n v="5.1050685799462272"/>
    <n v="4.0189574053812036"/>
    <n v="3.3270381567341789"/>
    <n v="2.8248849469732806"/>
    <n v="2.4900201203719909"/>
    <n v="2.2629090561506935"/>
    <n v="2.0921693892416413"/>
    <x v="2"/>
    <s v="spec07"/>
    <x v="8"/>
    <s v="N15G3f"/>
    <x v="3"/>
  </r>
  <r>
    <s v="r_MX_N15G3f_spec08"/>
    <n v="1.9117812212399345"/>
    <n v="1.4007415395647853"/>
    <n v="1.0791688577527327"/>
    <n v="0.8443468905184156"/>
    <n v="0.70772725088839128"/>
    <n v="0.62975930119531509"/>
    <n v="0.57309876160985862"/>
    <n v="0.54042258651575648"/>
    <x v="2"/>
    <s v="spec08"/>
    <x v="8"/>
    <s v="N15G3f"/>
    <x v="4"/>
  </r>
  <r>
    <s v="r_MX_N15G3f_spec09"/>
    <n v="3.0299689439832114"/>
    <n v="2.4381610947113139"/>
    <n v="1.9530249078704833"/>
    <n v="1.6440506735409912"/>
    <n v="1.4215690086984292"/>
    <n v="1.276558543741821"/>
    <n v="1.1734117719202675"/>
    <n v="1.0915727660740564"/>
    <x v="2"/>
    <s v="spec09"/>
    <x v="8"/>
    <s v="N15G3f"/>
    <x v="5"/>
  </r>
  <r>
    <s v="r_MX_N15G3f_spec10"/>
    <n v="5.4760169611292255"/>
    <n v="3.6497508959790204"/>
    <n v="2.8883359175940893"/>
    <n v="2.399324268010627"/>
    <n v="2.051444780969343"/>
    <n v="1.8157719547710562"/>
    <n v="1.6549924140431154"/>
    <n v="1.5325546941796055"/>
    <x v="2"/>
    <s v="spec10"/>
    <x v="8"/>
    <s v="N15G3f"/>
    <x v="6"/>
  </r>
  <r>
    <s v="r_MX_N15G3f_spec03"/>
    <n v="0.58506175355573209"/>
    <n v="0.67048971938370605"/>
    <n v="0.70564904701800368"/>
    <n v="0.73759682383808045"/>
    <n v="0.76177539074944844"/>
    <n v="0.77259820645837385"/>
    <n v="0.77967472126274007"/>
    <n v="0.7817672297164675"/>
    <x v="2"/>
    <s v="spec03"/>
    <x v="8"/>
    <s v="N15G3f"/>
    <x v="7"/>
  </r>
  <r>
    <s v="r_MX_N15G3f_spec18"/>
    <n v="0.39075030477260575"/>
    <n v="0.39918037910525245"/>
    <n v="0.42219238046886498"/>
    <n v="0.442031636243021"/>
    <n v="0.44686268045844274"/>
    <n v="0.45258788057932303"/>
    <n v="0.46059618147558112"/>
    <n v="0.46111857590504907"/>
    <x v="2"/>
    <s v="spec18"/>
    <x v="8"/>
    <s v="N15G3f"/>
    <x v="8"/>
  </r>
  <r>
    <s v="r_CN_N15G3f_spec02"/>
    <n v="1"/>
    <n v="1"/>
    <n v="1"/>
    <n v="1"/>
    <n v="1"/>
    <n v="1"/>
    <n v="1"/>
    <n v="1"/>
    <x v="2"/>
    <s v="spec02"/>
    <x v="9"/>
    <s v="N15G3f"/>
    <x v="0"/>
  </r>
  <r>
    <s v="r_CN_N15G3f_spec01"/>
    <n v="0.9394013219640398"/>
    <n v="0.93272818151084724"/>
    <n v="0.91943090589318277"/>
    <n v="0.91398345349017818"/>
    <n v="0.90737160554182283"/>
    <n v="0.90385901899092413"/>
    <n v="0.89952675621653477"/>
    <n v="0.89824093526852133"/>
    <x v="2"/>
    <s v="spec01"/>
    <x v="9"/>
    <s v="N15G3f"/>
    <x v="1"/>
  </r>
  <r>
    <s v="r_CN_N15G3f_spec04"/>
    <n v="0.98992678585726157"/>
    <n v="0.98779113286193443"/>
    <n v="0.98141531188286069"/>
    <n v="0.97342518451578652"/>
    <n v="0.97262890561896287"/>
    <n v="0.96981244705577252"/>
    <n v="0.96463085318926467"/>
    <n v="0.96144716189763091"/>
    <x v="2"/>
    <s v="spec04"/>
    <x v="9"/>
    <s v="N15G3f"/>
    <x v="2"/>
  </r>
  <r>
    <s v="r_CN_N15G3f_spec07"/>
    <n v="8.2803611231390413"/>
    <n v="5.1110322131793948"/>
    <n v="3.6435232972931715"/>
    <n v="2.8683526116000451"/>
    <n v="2.3957053764265668"/>
    <n v="2.1054519344124505"/>
    <n v="1.8580069016057401"/>
    <n v="1.7003472128862758"/>
    <x v="2"/>
    <s v="spec07"/>
    <x v="9"/>
    <s v="N15G3f"/>
    <x v="3"/>
  </r>
  <r>
    <s v="r_CN_N15G3f_spec08"/>
    <n v="1.9808072808100397"/>
    <n v="1.4875526181814547"/>
    <n v="1.1265888804401183"/>
    <n v="0.95041986052800664"/>
    <n v="0.84451108818664766"/>
    <n v="0.76392013716549856"/>
    <n v="0.70772049490661548"/>
    <n v="0.66601590036467873"/>
    <x v="2"/>
    <s v="spec08"/>
    <x v="9"/>
    <s v="N15G3f"/>
    <x v="4"/>
  </r>
  <r>
    <s v="r_CN_N15G3f_spec09"/>
    <n v="3.8518543973973793"/>
    <n v="2.9226631911319743"/>
    <n v="2.10410418843145"/>
    <n v="1.6744737513903065"/>
    <n v="1.4206407747609644"/>
    <n v="1.2513463989976834"/>
    <n v="1.1134097926220181"/>
    <n v="1.0203649514000783"/>
    <x v="2"/>
    <s v="spec09"/>
    <x v="9"/>
    <s v="N15G3f"/>
    <x v="5"/>
  </r>
  <r>
    <s v="r_CN_N15G3f_spec10"/>
    <n v="5.7240925598400008"/>
    <n v="4.7014557083298962"/>
    <n v="3.3285772899150294"/>
    <n v="2.6148878893141103"/>
    <n v="2.1878444795738097"/>
    <n v="1.9162052474828553"/>
    <n v="1.725900339691619"/>
    <n v="1.5894903177137845"/>
    <x v="2"/>
    <s v="spec10"/>
    <x v="9"/>
    <s v="N15G3f"/>
    <x v="6"/>
  </r>
  <r>
    <s v="r_CN_N15G3f_spec03"/>
    <n v="0.99644466390911768"/>
    <n v="1.0210759484381511"/>
    <n v="0.99920692177859338"/>
    <n v="0.98564657360449659"/>
    <n v="0.97848469975957819"/>
    <n v="0.97680412447426979"/>
    <n v="0.97518872320992345"/>
    <n v="0.9721635834503134"/>
    <x v="2"/>
    <s v="spec03"/>
    <x v="9"/>
    <s v="N15G3f"/>
    <x v="7"/>
  </r>
  <r>
    <s v="r_CN_N15G3f_spec18"/>
    <n v="1.0614569079692049"/>
    <n v="1.0583810715389264"/>
    <n v="0.98790086203293292"/>
    <n v="0.93024689786673709"/>
    <n v="0.88398695974378727"/>
    <n v="0.85658959311891536"/>
    <n v="0.83412289351580382"/>
    <n v="0.80924776118773123"/>
    <x v="2"/>
    <s v="spec18"/>
    <x v="9"/>
    <s v="N15G3f"/>
    <x v="8"/>
  </r>
  <r>
    <s v="r_JP_N15G3f_spec02"/>
    <n v="1"/>
    <n v="1"/>
    <n v="1"/>
    <n v="1"/>
    <n v="1"/>
    <n v="1"/>
    <n v="1"/>
    <n v="1"/>
    <x v="2"/>
    <s v="spec02"/>
    <x v="10"/>
    <s v="N15G3f"/>
    <x v="0"/>
  </r>
  <r>
    <s v="r_JP_N15G3f_spec01"/>
    <n v="1.2068250711393993"/>
    <n v="1.1497677478712163"/>
    <n v="1.1305141860529369"/>
    <n v="1.1461089269458318"/>
    <n v="1.1677349046168874"/>
    <n v="1.1825479362946543"/>
    <n v="1.1927823382063294"/>
    <n v="1.197388575421747"/>
    <x v="2"/>
    <s v="spec01"/>
    <x v="10"/>
    <s v="N15G3f"/>
    <x v="1"/>
  </r>
  <r>
    <s v="r_JP_N15G3f_spec04"/>
    <n v="0.90361880800426231"/>
    <n v="0.90774771795689357"/>
    <n v="0.91592354667509257"/>
    <n v="0.92121440653356723"/>
    <n v="0.92599602204272702"/>
    <n v="0.92959645553019365"/>
    <n v="0.93098763467406176"/>
    <n v="0.93222314416501373"/>
    <x v="2"/>
    <s v="spec04"/>
    <x v="10"/>
    <s v="N15G3f"/>
    <x v="2"/>
  </r>
  <r>
    <s v="r_JP_N15G3f_spec07"/>
    <n v="3.4530722776907208"/>
    <n v="1.8649940892749157"/>
    <n v="1.2667473140186303"/>
    <n v="0.99357568984253031"/>
    <n v="0.83823719954379539"/>
    <n v="0.74152637362702212"/>
    <n v="0.6681959572179752"/>
    <n v="0.61376901911208925"/>
    <x v="2"/>
    <s v="spec07"/>
    <x v="10"/>
    <s v="N15G3f"/>
    <x v="3"/>
  </r>
  <r>
    <s v="r_JP_N15G3f_spec08"/>
    <n v="2.4435262243336564"/>
    <n v="3.0347414821370506"/>
    <n v="2.039376186418536"/>
    <n v="1.5945642820742156"/>
    <n v="1.3421129299544705"/>
    <n v="1.1726166579215931"/>
    <n v="1.0518314885344529"/>
    <n v="0.95532372440240643"/>
    <x v="2"/>
    <s v="spec08"/>
    <x v="10"/>
    <s v="N15G3f"/>
    <x v="4"/>
  </r>
  <r>
    <s v="r_JP_N15G3f_spec09"/>
    <n v="3.8770339034247741"/>
    <n v="2.1894790810119837"/>
    <n v="1.4682570645866642"/>
    <n v="1.1494044447048697"/>
    <n v="0.97204417224443851"/>
    <n v="0.8496665668219503"/>
    <n v="0.75183739571239572"/>
    <n v="0.68681583646775402"/>
    <x v="2"/>
    <s v="spec09"/>
    <x v="10"/>
    <s v="N15G3f"/>
    <x v="5"/>
  </r>
  <r>
    <s v="r_JP_N15G3f_spec10"/>
    <n v="9.1709138699012573"/>
    <n v="6.7338481261822993"/>
    <n v="4.5144490783427083"/>
    <n v="3.5379766425969037"/>
    <n v="2.9791187238795396"/>
    <n v="2.6053950400319774"/>
    <n v="2.3379682970821793"/>
    <n v="2.135750557308723"/>
    <x v="2"/>
    <s v="spec10"/>
    <x v="10"/>
    <s v="N15G3f"/>
    <x v="6"/>
  </r>
  <r>
    <s v="r_JP_N15G3f_spec03"/>
    <n v="1.1466806960330269"/>
    <n v="1.1092960857443426"/>
    <n v="1.0505061935713456"/>
    <n v="1.0130356163188001"/>
    <n v="0.99061027201711183"/>
    <n v="0.97488601049844936"/>
    <n v="0.96071335449435025"/>
    <n v="0.94954922663727959"/>
    <x v="2"/>
    <s v="spec03"/>
    <x v="10"/>
    <s v="N15G3f"/>
    <x v="7"/>
  </r>
  <r>
    <s v="r_JP_N15G3f_spec18"/>
    <n v="0.97343564104549507"/>
    <n v="0.88298546787081345"/>
    <n v="0.78281145574883326"/>
    <n v="0.71767351924818179"/>
    <n v="0.66789743603659768"/>
    <n v="0.62281521694486808"/>
    <n v="0.58394229792577179"/>
    <n v="0.55062513761426646"/>
    <x v="2"/>
    <s v="spec18"/>
    <x v="10"/>
    <s v="N15G3f"/>
    <x v="8"/>
  </r>
  <r>
    <s v="r_AU_N15G3f_spec02"/>
    <n v="1"/>
    <n v="1"/>
    <n v="1"/>
    <n v="1"/>
    <n v="1"/>
    <n v="1"/>
    <n v="1"/>
    <n v="1"/>
    <x v="2"/>
    <s v="spec02"/>
    <x v="11"/>
    <s v="N15G3f"/>
    <x v="0"/>
  </r>
  <r>
    <s v="r_AU_N15G3f_spec01"/>
    <n v="0.96069195142662578"/>
    <n v="0.99520431972316903"/>
    <n v="1.0217732049819892"/>
    <n v="1.0292551424822649"/>
    <n v="1.0229541983740382"/>
    <n v="1.0164880867173858"/>
    <n v="1.01615751935149"/>
    <n v="1.0203724266867991"/>
    <x v="2"/>
    <s v="spec01"/>
    <x v="11"/>
    <s v="N15G3f"/>
    <x v="1"/>
  </r>
  <r>
    <s v="r_AU_N15G3f_spec04"/>
    <n v="1.0211557967930791"/>
    <n v="0.98572718684055793"/>
    <n v="0.98502303933543633"/>
    <n v="0.98774995903419383"/>
    <n v="0.98255030934539112"/>
    <n v="0.97832738454594237"/>
    <n v="0.97643118252480154"/>
    <n v="0.97630316455531185"/>
    <x v="2"/>
    <s v="spec04"/>
    <x v="11"/>
    <s v="N15G3f"/>
    <x v="2"/>
  </r>
  <r>
    <s v="r_AU_N15G3f_spec07"/>
    <n v="3.89103809831852"/>
    <n v="2.4992849660894554"/>
    <n v="1.9539240557172464"/>
    <n v="1.6613536567272849"/>
    <n v="1.4697391430859683"/>
    <n v="1.3523470505090376"/>
    <n v="1.2586384378303392"/>
    <n v="1.179270840301627"/>
    <x v="2"/>
    <s v="spec07"/>
    <x v="11"/>
    <s v="N15G3f"/>
    <x v="3"/>
  </r>
  <r>
    <s v="r_AU_N15G3f_spec08"/>
    <n v="2.0458415650996389"/>
    <n v="2.6290368400867123"/>
    <n v="2.0499569447249493"/>
    <n v="1.7633725884285154"/>
    <n v="1.5710941315364526"/>
    <n v="1.4436572168441966"/>
    <n v="1.3549705071956233"/>
    <n v="1.2845512359751343"/>
    <x v="2"/>
    <s v="spec08"/>
    <x v="11"/>
    <s v="N15G3f"/>
    <x v="4"/>
  </r>
  <r>
    <s v="r_AU_N15G3f_spec09"/>
    <n v="2.717630053759974"/>
    <n v="1.9214737016339634"/>
    <n v="1.5071018691058324"/>
    <n v="1.2913847726130587"/>
    <n v="1.1533175726992386"/>
    <n v="1.0549863212792439"/>
    <n v="0.96909712155351091"/>
    <n v="0.92050754390692668"/>
    <x v="2"/>
    <s v="spec09"/>
    <x v="11"/>
    <s v="N15G3f"/>
    <x v="5"/>
  </r>
  <r>
    <s v="r_AU_N15G3f_spec10"/>
    <n v="3.6028883175362614"/>
    <n v="2.8367522697670715"/>
    <n v="2.1928471372354981"/>
    <n v="1.8858996049368666"/>
    <n v="1.6783796540209719"/>
    <n v="1.5453479036697744"/>
    <n v="1.4447914553581762"/>
    <n v="1.3622477998193732"/>
    <x v="2"/>
    <s v="spec10"/>
    <x v="11"/>
    <s v="N15G3f"/>
    <x v="6"/>
  </r>
  <r>
    <s v="r_AU_N15G3f_spec03"/>
    <n v="0.97551276015156441"/>
    <n v="1.0294141058313737"/>
    <n v="1.0498147435593477"/>
    <n v="1.0706026347113808"/>
    <n v="1.085242394921567"/>
    <n v="1.0952697758414671"/>
    <n v="1.1007173046859386"/>
    <n v="1.1079201946498569"/>
    <x v="2"/>
    <s v="spec03"/>
    <x v="11"/>
    <s v="N15G3f"/>
    <x v="7"/>
  </r>
  <r>
    <s v="r_AU_N15G3f_spec18"/>
    <n v="0.94486427639863046"/>
    <n v="0.9762831010257802"/>
    <n v="0.96236818780947797"/>
    <n v="0.95920341027670619"/>
    <n v="0.9361756085811781"/>
    <n v="0.91142657036008845"/>
    <n v="0.89354284122660432"/>
    <n v="0.87796796100387842"/>
    <x v="2"/>
    <s v="spec18"/>
    <x v="11"/>
    <s v="N15G3f"/>
    <x v="8"/>
  </r>
  <r>
    <s v="r_AT_N15G3f_spec02"/>
    <n v="1"/>
    <n v="1"/>
    <n v="1"/>
    <n v="1"/>
    <n v="1"/>
    <n v="1"/>
    <n v="1"/>
    <n v="1"/>
    <x v="2"/>
    <s v="spec02"/>
    <x v="12"/>
    <s v="N15G3f"/>
    <x v="0"/>
  </r>
  <r>
    <s v="r_AT_N15G3f_spec01"/>
    <n v="1.0269022528163581"/>
    <n v="1.0429091581370846"/>
    <n v="1.0475588389253943"/>
    <n v="1.0435116864676914"/>
    <n v="1.0346711891324123"/>
    <n v="1.0264432065693592"/>
    <n v="1.0190573704324837"/>
    <n v="1.0137548083483845"/>
    <x v="2"/>
    <s v="spec01"/>
    <x v="12"/>
    <s v="N15G3f"/>
    <x v="1"/>
  </r>
  <r>
    <s v="r_AT_N15G3f_spec04"/>
    <n v="0.9687671840312555"/>
    <n v="0.94742097582725981"/>
    <n v="0.93820584005052976"/>
    <n v="0.93137190124469793"/>
    <n v="0.92742548335610753"/>
    <n v="0.9273292401825014"/>
    <n v="0.92923115586788263"/>
    <n v="0.93372063848413023"/>
    <x v="2"/>
    <s v="spec04"/>
    <x v="12"/>
    <s v="N15G3f"/>
    <x v="2"/>
  </r>
  <r>
    <s v="r_AT_N15G3f_spec07"/>
    <n v="6.0631333950439803"/>
    <n v="3.5541620671387966"/>
    <n v="2.4597620383950831"/>
    <n v="1.9085690634572223"/>
    <n v="1.6020160450217333"/>
    <n v="1.4205534220211453"/>
    <n v="1.2866890297902935"/>
    <n v="1.1941410315616419"/>
    <x v="2"/>
    <s v="spec07"/>
    <x v="12"/>
    <s v="N15G3f"/>
    <x v="3"/>
  </r>
  <r>
    <s v="r_AT_N15G3f_spec08"/>
    <n v="1.9473489741762768"/>
    <n v="1.9124102481670859"/>
    <n v="1.403911849156984"/>
    <n v="1.15547321712186"/>
    <n v="1.0114965048408124"/>
    <n v="0.92051388255756084"/>
    <n v="0.85558045934632698"/>
    <n v="0.81028504756364284"/>
    <x v="2"/>
    <s v="spec08"/>
    <x v="12"/>
    <s v="N15G3f"/>
    <x v="4"/>
  </r>
  <r>
    <s v="r_AT_N15G3f_spec09"/>
    <n v="3.7947724661742073"/>
    <n v="2.4370940468286131"/>
    <n v="1.7234877326818083"/>
    <n v="1.3751769590154017"/>
    <n v="1.1708382022609474"/>
    <n v="1.044900643437165"/>
    <n v="0.9458374904301442"/>
    <n v="0.88223592537114948"/>
    <x v="2"/>
    <s v="spec09"/>
    <x v="12"/>
    <s v="N15G3f"/>
    <x v="5"/>
  </r>
  <r>
    <s v="r_AT_N15G3f_spec10"/>
    <n v="5.3504470945183691"/>
    <n v="4.1397966962609205"/>
    <n v="2.8326107130330378"/>
    <n v="2.1896108036152149"/>
    <n v="1.8253775917519024"/>
    <n v="1.599105371005713"/>
    <n v="1.4443331247466316"/>
    <n v="1.3288014713721457"/>
    <x v="2"/>
    <s v="spec10"/>
    <x v="12"/>
    <s v="N15G3f"/>
    <x v="6"/>
  </r>
  <r>
    <s v="r_AT_N15G3f_spec03"/>
    <n v="0.93087654290375521"/>
    <n v="0.93274478300327535"/>
    <n v="0.92354954142290924"/>
    <n v="0.91189659395335809"/>
    <n v="0.90453936653585676"/>
    <n v="0.89714069009871356"/>
    <n v="0.89641770781457619"/>
    <n v="0.9002037119415135"/>
    <x v="2"/>
    <s v="spec03"/>
    <x v="12"/>
    <s v="N15G3f"/>
    <x v="7"/>
  </r>
  <r>
    <s v="r_AT_N15G3f_spec18"/>
    <n v="0.88639114351192838"/>
    <n v="0.87889581214284895"/>
    <n v="0.86151850938845498"/>
    <n v="0.8325631720165152"/>
    <n v="0.80693255173909384"/>
    <n v="0.78110088122891796"/>
    <n v="0.7622445016208601"/>
    <n v="0.74960853040567899"/>
    <x v="2"/>
    <s v="spec18"/>
    <x v="12"/>
    <s v="N15G3f"/>
    <x v="8"/>
  </r>
  <r>
    <s v="r_IN_N15G3f_spec02"/>
    <n v="1"/>
    <n v="1"/>
    <n v="1"/>
    <n v="1"/>
    <n v="1"/>
    <n v="1"/>
    <n v="1"/>
    <n v="1"/>
    <x v="2"/>
    <s v="spec02"/>
    <x v="13"/>
    <s v="N15G3f"/>
    <x v="0"/>
  </r>
  <r>
    <s v="r_IN_N15G3f_spec01"/>
    <n v="0.97592434258649541"/>
    <n v="0.95367130579591952"/>
    <n v="0.95629041727170039"/>
    <n v="0.95241428700966413"/>
    <n v="0.95237259353167447"/>
    <n v="0.95306725840477513"/>
    <n v="0.95758122968811743"/>
    <n v="0.9612697178630214"/>
    <x v="2"/>
    <s v="spec01"/>
    <x v="13"/>
    <s v="N15G3f"/>
    <x v="1"/>
  </r>
  <r>
    <s v="r_IN_N15G3f_spec04"/>
    <n v="0.98785124191718354"/>
    <n v="0.98093764656244709"/>
    <n v="0.97601150580097484"/>
    <n v="0.96506394081135582"/>
    <n v="0.96549926202040737"/>
    <n v="0.96465943492904593"/>
    <n v="0.96871263676444064"/>
    <n v="0.97192840092090083"/>
    <x v="2"/>
    <s v="spec04"/>
    <x v="13"/>
    <s v="N15G3f"/>
    <x v="2"/>
  </r>
  <r>
    <s v="r_IN_N15G3f_spec07"/>
    <n v="1.8967556371743439"/>
    <n v="1.4187241150958207"/>
    <n v="1.2406492992727165"/>
    <n v="1.148756019245708"/>
    <n v="1.0580152116532457"/>
    <n v="1.0310859860289054"/>
    <n v="1.0017196487770603"/>
    <n v="0.98184876307537083"/>
    <x v="2"/>
    <s v="spec07"/>
    <x v="13"/>
    <s v="N15G3f"/>
    <x v="3"/>
  </r>
  <r>
    <s v="r_IN_N15G3f_spec08"/>
    <n v="0.9981324464106559"/>
    <n v="0.96877881760095197"/>
    <n v="0.91476193514268878"/>
    <n v="0.92466869656850825"/>
    <n v="0.91897554947879012"/>
    <n v="0.9437285036862445"/>
    <n v="0.96280585625433157"/>
    <n v="0.97921537798450053"/>
    <x v="2"/>
    <s v="spec08"/>
    <x v="13"/>
    <s v="N15G3f"/>
    <x v="4"/>
  </r>
  <r>
    <s v="r_IN_N15G3f_spec09"/>
    <n v="1.5208947912421245"/>
    <n v="1.2715593356423667"/>
    <n v="1.1467165535038715"/>
    <n v="1.0864967032142576"/>
    <n v="1.0280264892336908"/>
    <n v="1.0082141378667606"/>
    <n v="0.99649040028282043"/>
    <n v="0.99575042864027141"/>
    <x v="2"/>
    <s v="spec09"/>
    <x v="13"/>
    <s v="N15G3f"/>
    <x v="5"/>
  </r>
  <r>
    <s v="r_IN_N15G3f_spec10"/>
    <n v="1.8644737919944518"/>
    <n v="1.4556162371298997"/>
    <n v="1.2201229938972882"/>
    <n v="1.1245182095344926"/>
    <n v="1.0096750793832876"/>
    <n v="0.95431447924993151"/>
    <n v="0.92277361543329317"/>
    <n v="0.91976998267322552"/>
    <x v="2"/>
    <s v="spec10"/>
    <x v="13"/>
    <s v="N15G3f"/>
    <x v="6"/>
  </r>
  <r>
    <s v="r_IN_N15G3f_spec03"/>
    <n v="1.0009544526952381"/>
    <n v="0.96586733555797144"/>
    <n v="0.96785803040896579"/>
    <n v="0.9491618155388688"/>
    <n v="0.9557872034624586"/>
    <n v="0.96449699418557988"/>
    <n v="0.98036980309820865"/>
    <n v="0.99103314354230088"/>
    <x v="2"/>
    <s v="spec03"/>
    <x v="13"/>
    <s v="N15G3f"/>
    <x v="7"/>
  </r>
  <r>
    <s v="r_IN_N15G3f_spec18"/>
    <n v="0.98665246999163037"/>
    <n v="0.82253805461621599"/>
    <n v="0.82607574182695431"/>
    <n v="0.7844030248137539"/>
    <n v="0.77504923406902149"/>
    <n v="0.7540581308978197"/>
    <n v="0.77303924300836069"/>
    <n v="0.77630825216791055"/>
    <x v="2"/>
    <s v="spec18"/>
    <x v="13"/>
    <s v="N15G3f"/>
    <x v="8"/>
  </r>
  <r>
    <s v="r_CH_N15G3f_spec02"/>
    <n v="1"/>
    <n v="1"/>
    <n v="1"/>
    <n v="1"/>
    <n v="1"/>
    <n v="1"/>
    <n v="1"/>
    <n v="1"/>
    <x v="2"/>
    <s v="spec02"/>
    <x v="14"/>
    <s v="N15G3f"/>
    <x v="0"/>
  </r>
  <r>
    <s v="r_CH_N15G3f_spec01"/>
    <n v="0.96020163607193276"/>
    <n v="0.9778356954961549"/>
    <n v="0.98644586418508262"/>
    <n v="0.99050104523809879"/>
    <n v="0.98609602392080264"/>
    <n v="0.98444268840530191"/>
    <n v="0.98266456804374047"/>
    <n v="0.98382160621712134"/>
    <x v="2"/>
    <s v="spec01"/>
    <x v="14"/>
    <s v="N15G3f"/>
    <x v="1"/>
  </r>
  <r>
    <s v="r_CH_N15G3f_spec04"/>
    <n v="0.98401973939383314"/>
    <n v="0.99912065627696933"/>
    <n v="1.0183055459908668"/>
    <n v="1.0319629260552063"/>
    <n v="1.0405597875673125"/>
    <n v="1.0452923201201443"/>
    <n v="1.0501364463795679"/>
    <n v="1.0592489237197344"/>
    <x v="2"/>
    <s v="spec04"/>
    <x v="14"/>
    <s v="N15G3f"/>
    <x v="2"/>
  </r>
  <r>
    <s v="r_CH_N15G3f_spec07"/>
    <n v="5.420243464974881"/>
    <n v="3.5526652652827724"/>
    <n v="2.8133333168419217"/>
    <n v="2.3841217002681248"/>
    <n v="2.0668595799279874"/>
    <n v="1.8678848723112527"/>
    <n v="1.7260149419630622"/>
    <n v="1.6305185612839248"/>
    <x v="2"/>
    <s v="spec07"/>
    <x v="14"/>
    <s v="N15G3f"/>
    <x v="3"/>
  </r>
  <r>
    <s v="r_CH_N15G3f_spec08"/>
    <n v="1.1270877544512412"/>
    <n v="1.3218497700587561"/>
    <n v="1.1869325097984729"/>
    <n v="1.1194977509623707"/>
    <n v="1.062626295878216"/>
    <n v="1.0224869556282927"/>
    <n v="0.99630897301922672"/>
    <n v="0.9782416660309865"/>
    <x v="2"/>
    <s v="spec08"/>
    <x v="14"/>
    <s v="N15G3f"/>
    <x v="4"/>
  </r>
  <r>
    <s v="r_CH_N15G3f_spec09"/>
    <n v="2.264984137926088"/>
    <n v="2.082243836841347"/>
    <n v="1.6799461857249334"/>
    <n v="1.4615423703783517"/>
    <n v="1.2965066657059001"/>
    <n v="1.1933199622496458"/>
    <n v="1.1093660827499279"/>
    <n v="1.0752707215395425"/>
    <x v="2"/>
    <s v="spec09"/>
    <x v="14"/>
    <s v="N15G3f"/>
    <x v="5"/>
  </r>
  <r>
    <s v="r_CH_N15G3f_spec10"/>
    <n v="2.1768079037357215"/>
    <n v="2.4580016757500953"/>
    <n v="1.9608082387196311"/>
    <n v="1.6776758679214987"/>
    <n v="1.4822487566671503"/>
    <n v="1.3636633126939788"/>
    <n v="1.2953563031258257"/>
    <n v="1.2317361440526946"/>
    <x v="2"/>
    <s v="spec10"/>
    <x v="14"/>
    <s v="N15G3f"/>
    <x v="6"/>
  </r>
  <r>
    <s v="r_CH_N15G3f_spec03"/>
    <n v="0.99687397904252895"/>
    <n v="1.0209860966531541"/>
    <n v="1.0455467740640283"/>
    <n v="1.0673374166437914"/>
    <n v="1.0863003920565582"/>
    <n v="1.1067300232940309"/>
    <n v="1.1242049495528161"/>
    <n v="1.1398743975084491"/>
    <x v="2"/>
    <s v="spec03"/>
    <x v="14"/>
    <s v="N15G3f"/>
    <x v="7"/>
  </r>
  <r>
    <s v="r_CH_N15G3f_spec18"/>
    <n v="0.97976231931164992"/>
    <n v="1.016849062419612"/>
    <n v="1.0243142896780766"/>
    <n v="1.0182499545847852"/>
    <n v="1.0073755095665002"/>
    <n v="0.99677267377798384"/>
    <n v="0.98358005063868892"/>
    <n v="0.97477590748727483"/>
    <x v="2"/>
    <s v="spec18"/>
    <x v="14"/>
    <s v="N15G3f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s v="y_DE_N15G3f_spec02"/>
    <n v="0"/>
    <n v="0"/>
    <n v="0"/>
    <n v="0"/>
    <n v="0"/>
    <n v="0"/>
    <n v="0"/>
    <n v="0"/>
    <x v="0"/>
    <s v="spec02"/>
    <x v="0"/>
    <s v="N15G3f"/>
    <x v="0"/>
  </r>
  <r>
    <s v="y_DE_N15G3f_spec01"/>
    <n v="1"/>
    <n v="0"/>
    <n v="0"/>
    <n v="1"/>
    <n v="1"/>
    <n v="1"/>
    <n v="1"/>
    <n v="1"/>
    <x v="0"/>
    <s v="spec01"/>
    <x v="0"/>
    <s v="N15G3f"/>
    <x v="1"/>
  </r>
  <r>
    <s v="y_DE_N15G3f_spec04"/>
    <n v="0"/>
    <n v="0"/>
    <n v="0"/>
    <n v="0"/>
    <n v="0"/>
    <n v="0"/>
    <n v="0"/>
    <n v="0"/>
    <x v="0"/>
    <s v="spec04"/>
    <x v="0"/>
    <s v="N15G3f"/>
    <x v="2"/>
  </r>
  <r>
    <s v="y_DE_N15G3f_spec07"/>
    <n v="1"/>
    <n v="0"/>
    <n v="0"/>
    <n v="1"/>
    <n v="1"/>
    <n v="0"/>
    <n v="0"/>
    <n v="0"/>
    <x v="0"/>
    <s v="spec07"/>
    <x v="0"/>
    <s v="N15G3f"/>
    <x v="3"/>
  </r>
  <r>
    <s v="y_DE_N15G3f_spec08"/>
    <n v="0"/>
    <n v="0"/>
    <n v="0"/>
    <n v="0"/>
    <n v="0"/>
    <n v="0"/>
    <n v="0"/>
    <n v="0"/>
    <x v="0"/>
    <s v="spec08"/>
    <x v="0"/>
    <s v="N15G3f"/>
    <x v="4"/>
  </r>
  <r>
    <s v="y_DE_N15G3f_spec09"/>
    <n v="1"/>
    <n v="0"/>
    <n v="0"/>
    <n v="1"/>
    <n v="1"/>
    <n v="0"/>
    <n v="0"/>
    <n v="0"/>
    <x v="0"/>
    <s v="spec09"/>
    <x v="0"/>
    <s v="N15G3f"/>
    <x v="5"/>
  </r>
  <r>
    <s v="y_DE_N15G3f_spec10"/>
    <n v="0"/>
    <n v="0"/>
    <n v="0"/>
    <n v="0"/>
    <n v="0"/>
    <n v="0"/>
    <n v="0"/>
    <n v="0"/>
    <x v="0"/>
    <s v="spec10"/>
    <x v="0"/>
    <s v="N15G3f"/>
    <x v="6"/>
  </r>
  <r>
    <s v="y_DE_N15G3f_spec03"/>
    <n v="0"/>
    <n v="0"/>
    <n v="0"/>
    <n v="0"/>
    <n v="0"/>
    <n v="0"/>
    <n v="0"/>
    <n v="0"/>
    <x v="0"/>
    <s v="spec03"/>
    <x v="0"/>
    <s v="N15G3f"/>
    <x v="7"/>
  </r>
  <r>
    <s v="y_DE_N15G3f_spec18"/>
    <n v="0"/>
    <n v="1"/>
    <n v="0"/>
    <n v="1"/>
    <n v="0"/>
    <n v="0"/>
    <n v="0"/>
    <n v="0"/>
    <x v="0"/>
    <s v="spec18"/>
    <x v="0"/>
    <s v="N15G3f"/>
    <x v="8"/>
  </r>
  <r>
    <s v="y_FR_N15G3f_spec02"/>
    <n v="0"/>
    <n v="0"/>
    <n v="0"/>
    <n v="0"/>
    <n v="0"/>
    <n v="0"/>
    <n v="0"/>
    <n v="0"/>
    <x v="0"/>
    <s v="spec02"/>
    <x v="1"/>
    <s v="N15G3f"/>
    <x v="0"/>
  </r>
  <r>
    <s v="y_FR_N15G3f_spec01"/>
    <n v="0"/>
    <n v="0"/>
    <n v="0"/>
    <n v="0"/>
    <n v="0"/>
    <n v="0"/>
    <n v="0"/>
    <n v="0"/>
    <x v="0"/>
    <s v="spec01"/>
    <x v="1"/>
    <s v="N15G3f"/>
    <x v="1"/>
  </r>
  <r>
    <s v="y_FR_N15G3f_spec04"/>
    <n v="0"/>
    <n v="0"/>
    <n v="0"/>
    <n v="0"/>
    <n v="0"/>
    <n v="0"/>
    <n v="0"/>
    <n v="0"/>
    <x v="0"/>
    <s v="spec04"/>
    <x v="1"/>
    <s v="N15G3f"/>
    <x v="2"/>
  </r>
  <r>
    <s v="y_FR_N15G3f_spec07"/>
    <n v="0"/>
    <n v="0"/>
    <n v="0"/>
    <n v="1"/>
    <n v="1"/>
    <n v="1"/>
    <n v="0"/>
    <n v="0"/>
    <x v="0"/>
    <s v="spec07"/>
    <x v="1"/>
    <s v="N15G3f"/>
    <x v="3"/>
  </r>
  <r>
    <s v="y_FR_N15G3f_spec08"/>
    <n v="0"/>
    <n v="0"/>
    <n v="0"/>
    <n v="0"/>
    <n v="0"/>
    <n v="0"/>
    <n v="0"/>
    <n v="0"/>
    <x v="0"/>
    <s v="spec08"/>
    <x v="1"/>
    <s v="N15G3f"/>
    <x v="4"/>
  </r>
  <r>
    <s v="y_FR_N15G3f_spec09"/>
    <n v="0"/>
    <n v="0"/>
    <n v="0"/>
    <n v="0"/>
    <n v="0"/>
    <n v="0"/>
    <n v="0"/>
    <n v="0"/>
    <x v="0"/>
    <s v="spec09"/>
    <x v="1"/>
    <s v="N15G3f"/>
    <x v="5"/>
  </r>
  <r>
    <s v="y_FR_N15G3f_spec10"/>
    <n v="0"/>
    <n v="0"/>
    <n v="0"/>
    <n v="0"/>
    <n v="0"/>
    <n v="0"/>
    <n v="0"/>
    <n v="0"/>
    <x v="0"/>
    <s v="spec10"/>
    <x v="1"/>
    <s v="N15G3f"/>
    <x v="6"/>
  </r>
  <r>
    <s v="y_FR_N15G3f_spec03"/>
    <n v="0"/>
    <n v="0"/>
    <n v="0"/>
    <n v="0"/>
    <n v="0"/>
    <n v="0"/>
    <n v="0"/>
    <n v="0"/>
    <x v="0"/>
    <s v="spec03"/>
    <x v="1"/>
    <s v="N15G3f"/>
    <x v="7"/>
  </r>
  <r>
    <s v="y_FR_N15G3f_spec18"/>
    <n v="0"/>
    <n v="0"/>
    <n v="0"/>
    <n v="0"/>
    <n v="0"/>
    <n v="0"/>
    <n v="1"/>
    <n v="0"/>
    <x v="0"/>
    <s v="spec18"/>
    <x v="1"/>
    <s v="N15G3f"/>
    <x v="8"/>
  </r>
  <r>
    <s v="y_IT_N15G3f_spec02"/>
    <n v="0"/>
    <n v="0"/>
    <n v="0"/>
    <n v="0"/>
    <n v="0"/>
    <n v="0"/>
    <n v="0"/>
    <n v="0"/>
    <x v="0"/>
    <s v="spec02"/>
    <x v="2"/>
    <s v="N15G3f"/>
    <x v="0"/>
  </r>
  <r>
    <s v="y_IT_N15G3f_spec01"/>
    <n v="0"/>
    <n v="0"/>
    <n v="0"/>
    <n v="0"/>
    <n v="0"/>
    <n v="0"/>
    <n v="0"/>
    <n v="0"/>
    <x v="0"/>
    <s v="spec01"/>
    <x v="2"/>
    <s v="N15G3f"/>
    <x v="1"/>
  </r>
  <r>
    <s v="y_IT_N15G3f_spec04"/>
    <n v="0"/>
    <n v="0"/>
    <n v="0"/>
    <n v="0"/>
    <n v="0"/>
    <n v="0"/>
    <n v="0"/>
    <n v="0"/>
    <x v="0"/>
    <s v="spec04"/>
    <x v="2"/>
    <s v="N15G3f"/>
    <x v="2"/>
  </r>
  <r>
    <s v="y_IT_N15G3f_spec07"/>
    <n v="0"/>
    <n v="0"/>
    <n v="0"/>
    <n v="1"/>
    <n v="0"/>
    <n v="0"/>
    <n v="0"/>
    <n v="0"/>
    <x v="0"/>
    <s v="spec07"/>
    <x v="2"/>
    <s v="N15G3f"/>
    <x v="3"/>
  </r>
  <r>
    <s v="y_IT_N15G3f_spec08"/>
    <n v="0"/>
    <n v="0"/>
    <n v="0"/>
    <n v="0"/>
    <n v="0"/>
    <n v="0"/>
    <n v="0"/>
    <n v="0"/>
    <x v="0"/>
    <s v="spec08"/>
    <x v="2"/>
    <s v="N15G3f"/>
    <x v="4"/>
  </r>
  <r>
    <s v="y_IT_N15G3f_spec09"/>
    <n v="0"/>
    <n v="0"/>
    <n v="0"/>
    <n v="0"/>
    <n v="0"/>
    <n v="0"/>
    <n v="0"/>
    <n v="0"/>
    <x v="0"/>
    <s v="spec09"/>
    <x v="2"/>
    <s v="N15G3f"/>
    <x v="5"/>
  </r>
  <r>
    <s v="y_IT_N15G3f_spec10"/>
    <n v="0"/>
    <n v="0"/>
    <n v="0"/>
    <n v="0"/>
    <n v="0"/>
    <n v="0"/>
    <n v="0"/>
    <n v="0"/>
    <x v="0"/>
    <s v="spec10"/>
    <x v="2"/>
    <s v="N15G3f"/>
    <x v="6"/>
  </r>
  <r>
    <s v="y_IT_N15G3f_spec03"/>
    <n v="1"/>
    <n v="1"/>
    <n v="1"/>
    <n v="1"/>
    <n v="0"/>
    <n v="0"/>
    <n v="0"/>
    <n v="0"/>
    <x v="0"/>
    <s v="spec03"/>
    <x v="2"/>
    <s v="N15G3f"/>
    <x v="7"/>
  </r>
  <r>
    <s v="y_IT_N15G3f_spec18"/>
    <n v="1"/>
    <n v="0"/>
    <n v="1"/>
    <n v="1"/>
    <n v="1"/>
    <n v="0"/>
    <n v="1"/>
    <n v="0"/>
    <x v="0"/>
    <s v="spec18"/>
    <x v="2"/>
    <s v="N15G3f"/>
    <x v="8"/>
  </r>
  <r>
    <s v="y_GB_N15G3f_spec02"/>
    <n v="0"/>
    <n v="0"/>
    <n v="0"/>
    <n v="0"/>
    <n v="0"/>
    <n v="0"/>
    <n v="0"/>
    <n v="0"/>
    <x v="0"/>
    <s v="spec02"/>
    <x v="3"/>
    <s v="N15G3f"/>
    <x v="0"/>
  </r>
  <r>
    <s v="y_GB_N15G3f_spec01"/>
    <n v="0"/>
    <n v="0"/>
    <n v="1"/>
    <n v="0"/>
    <n v="1"/>
    <n v="0"/>
    <n v="0"/>
    <n v="0"/>
    <x v="0"/>
    <s v="spec01"/>
    <x v="3"/>
    <s v="N15G3f"/>
    <x v="1"/>
  </r>
  <r>
    <s v="y_GB_N15G3f_spec04"/>
    <n v="0"/>
    <n v="0"/>
    <n v="1"/>
    <n v="0"/>
    <n v="1"/>
    <n v="0"/>
    <n v="0"/>
    <n v="1"/>
    <x v="0"/>
    <s v="spec04"/>
    <x v="3"/>
    <s v="N15G3f"/>
    <x v="2"/>
  </r>
  <r>
    <s v="y_GB_N15G3f_spec07"/>
    <n v="0"/>
    <n v="0"/>
    <n v="0"/>
    <n v="0"/>
    <n v="0"/>
    <n v="0"/>
    <n v="0"/>
    <n v="1"/>
    <x v="0"/>
    <s v="spec07"/>
    <x v="3"/>
    <s v="N15G3f"/>
    <x v="3"/>
  </r>
  <r>
    <s v="y_GB_N15G3f_spec08"/>
    <n v="0"/>
    <n v="0"/>
    <n v="0"/>
    <n v="0"/>
    <n v="0"/>
    <n v="0"/>
    <n v="0"/>
    <n v="0"/>
    <x v="0"/>
    <s v="spec08"/>
    <x v="3"/>
    <s v="N15G3f"/>
    <x v="4"/>
  </r>
  <r>
    <s v="y_GB_N15G3f_spec09"/>
    <n v="0"/>
    <n v="0"/>
    <n v="0"/>
    <n v="0"/>
    <n v="0"/>
    <n v="0"/>
    <n v="0"/>
    <n v="0"/>
    <x v="0"/>
    <s v="spec09"/>
    <x v="3"/>
    <s v="N15G3f"/>
    <x v="5"/>
  </r>
  <r>
    <s v="y_GB_N15G3f_spec10"/>
    <n v="0"/>
    <n v="0"/>
    <n v="0"/>
    <n v="0"/>
    <n v="0"/>
    <n v="0"/>
    <n v="0"/>
    <n v="0"/>
    <x v="0"/>
    <s v="spec10"/>
    <x v="3"/>
    <s v="N15G3f"/>
    <x v="6"/>
  </r>
  <r>
    <s v="y_GB_N15G3f_spec03"/>
    <n v="0"/>
    <n v="0"/>
    <n v="1"/>
    <n v="0"/>
    <n v="0"/>
    <n v="0"/>
    <n v="0"/>
    <n v="0"/>
    <x v="0"/>
    <s v="spec03"/>
    <x v="3"/>
    <s v="N15G3f"/>
    <x v="7"/>
  </r>
  <r>
    <s v="y_GB_N15G3f_spec18"/>
    <n v="0"/>
    <n v="0"/>
    <n v="0"/>
    <n v="0"/>
    <n v="1"/>
    <n v="0"/>
    <n v="0"/>
    <n v="0"/>
    <x v="0"/>
    <s v="spec18"/>
    <x v="3"/>
    <s v="N15G3f"/>
    <x v="8"/>
  </r>
  <r>
    <s v="y_US_N15G3f_spec02"/>
    <n v="0"/>
    <n v="0"/>
    <n v="0"/>
    <n v="0"/>
    <n v="0"/>
    <n v="0"/>
    <n v="0"/>
    <n v="0"/>
    <x v="0"/>
    <s v="spec02"/>
    <x v="4"/>
    <s v="N15G3f"/>
    <x v="0"/>
  </r>
  <r>
    <s v="y_US_N15G3f_spec01"/>
    <n v="1"/>
    <n v="0"/>
    <n v="1"/>
    <n v="0"/>
    <n v="0"/>
    <n v="0"/>
    <n v="0"/>
    <n v="0"/>
    <x v="0"/>
    <s v="spec01"/>
    <x v="4"/>
    <s v="N15G3f"/>
    <x v="1"/>
  </r>
  <r>
    <s v="y_US_N15G3f_spec04"/>
    <n v="0"/>
    <n v="0"/>
    <n v="0"/>
    <n v="1"/>
    <n v="0"/>
    <n v="0"/>
    <n v="0"/>
    <n v="0"/>
    <x v="0"/>
    <s v="spec04"/>
    <x v="4"/>
    <s v="N15G3f"/>
    <x v="2"/>
  </r>
  <r>
    <s v="y_US_N15G3f_spec07"/>
    <n v="0"/>
    <n v="0"/>
    <n v="1"/>
    <n v="0"/>
    <n v="1"/>
    <n v="0"/>
    <n v="0"/>
    <n v="0"/>
    <x v="0"/>
    <s v="spec07"/>
    <x v="4"/>
    <s v="N15G3f"/>
    <x v="3"/>
  </r>
  <r>
    <s v="y_US_N15G3f_spec08"/>
    <n v="0"/>
    <n v="0"/>
    <n v="0"/>
    <n v="0"/>
    <n v="0"/>
    <n v="0"/>
    <n v="0"/>
    <n v="0"/>
    <x v="0"/>
    <s v="spec08"/>
    <x v="4"/>
    <s v="N15G3f"/>
    <x v="4"/>
  </r>
  <r>
    <s v="y_US_N15G3f_spec09"/>
    <n v="0"/>
    <n v="0"/>
    <n v="0"/>
    <n v="0"/>
    <n v="0"/>
    <n v="0"/>
    <n v="0"/>
    <n v="0"/>
    <x v="0"/>
    <s v="spec09"/>
    <x v="4"/>
    <s v="N15G3f"/>
    <x v="5"/>
  </r>
  <r>
    <s v="y_US_N15G3f_spec10"/>
    <n v="0"/>
    <n v="0"/>
    <n v="0"/>
    <n v="0"/>
    <n v="0"/>
    <n v="0"/>
    <n v="0"/>
    <n v="0"/>
    <x v="0"/>
    <s v="spec10"/>
    <x v="4"/>
    <s v="N15G3f"/>
    <x v="6"/>
  </r>
  <r>
    <s v="y_US_N15G3f_spec03"/>
    <n v="0"/>
    <n v="0"/>
    <n v="0"/>
    <n v="0"/>
    <n v="0"/>
    <n v="0"/>
    <n v="0"/>
    <n v="0"/>
    <x v="0"/>
    <s v="spec03"/>
    <x v="4"/>
    <s v="N15G3f"/>
    <x v="7"/>
  </r>
  <r>
    <s v="y_US_N15G3f_spec18"/>
    <n v="0"/>
    <n v="0"/>
    <n v="0"/>
    <n v="0"/>
    <n v="0"/>
    <n v="0"/>
    <n v="0"/>
    <n v="0"/>
    <x v="0"/>
    <s v="spec18"/>
    <x v="4"/>
    <s v="N15G3f"/>
    <x v="8"/>
  </r>
  <r>
    <s v="y_CA_N15G3f_spec02"/>
    <n v="0"/>
    <n v="0"/>
    <n v="0"/>
    <n v="0"/>
    <n v="0"/>
    <n v="0"/>
    <n v="0"/>
    <n v="0"/>
    <x v="0"/>
    <s v="spec02"/>
    <x v="5"/>
    <s v="N15G3f"/>
    <x v="0"/>
  </r>
  <r>
    <s v="y_CA_N15G3f_spec01"/>
    <n v="1"/>
    <n v="1"/>
    <n v="1"/>
    <n v="1"/>
    <n v="1"/>
    <n v="1"/>
    <n v="1"/>
    <n v="1"/>
    <x v="0"/>
    <s v="spec01"/>
    <x v="5"/>
    <s v="N15G3f"/>
    <x v="1"/>
  </r>
  <r>
    <s v="y_CA_N15G3f_spec04"/>
    <n v="0"/>
    <n v="0"/>
    <n v="0"/>
    <n v="0"/>
    <n v="0"/>
    <n v="0"/>
    <n v="0"/>
    <n v="0"/>
    <x v="0"/>
    <s v="spec04"/>
    <x v="5"/>
    <s v="N15G3f"/>
    <x v="2"/>
  </r>
  <r>
    <s v="y_CA_N15G3f_spec07"/>
    <n v="0"/>
    <n v="1"/>
    <n v="1"/>
    <n v="1"/>
    <n v="1"/>
    <n v="1"/>
    <n v="1"/>
    <n v="1"/>
    <x v="0"/>
    <s v="spec07"/>
    <x v="5"/>
    <s v="N15G3f"/>
    <x v="3"/>
  </r>
  <r>
    <s v="y_CA_N15G3f_spec08"/>
    <n v="0"/>
    <n v="0"/>
    <n v="0"/>
    <n v="0"/>
    <n v="0"/>
    <n v="0"/>
    <n v="0"/>
    <n v="0"/>
    <x v="0"/>
    <s v="spec08"/>
    <x v="5"/>
    <s v="N15G3f"/>
    <x v="4"/>
  </r>
  <r>
    <s v="y_CA_N15G3f_spec09"/>
    <n v="0"/>
    <n v="0"/>
    <n v="0"/>
    <n v="0"/>
    <n v="0"/>
    <n v="0"/>
    <n v="0"/>
    <n v="0"/>
    <x v="0"/>
    <s v="spec09"/>
    <x v="5"/>
    <s v="N15G3f"/>
    <x v="5"/>
  </r>
  <r>
    <s v="y_CA_N15G3f_spec10"/>
    <n v="0"/>
    <n v="0"/>
    <n v="0"/>
    <n v="0"/>
    <n v="0"/>
    <n v="0"/>
    <n v="0"/>
    <n v="0"/>
    <x v="0"/>
    <s v="spec10"/>
    <x v="5"/>
    <s v="N15G3f"/>
    <x v="6"/>
  </r>
  <r>
    <s v="y_CA_N15G3f_spec03"/>
    <n v="0"/>
    <n v="0"/>
    <n v="0"/>
    <n v="0"/>
    <n v="0"/>
    <n v="0"/>
    <n v="0"/>
    <n v="0"/>
    <x v="0"/>
    <s v="spec03"/>
    <x v="5"/>
    <s v="N15G3f"/>
    <x v="7"/>
  </r>
  <r>
    <s v="y_CA_N15G3f_spec18"/>
    <n v="0"/>
    <n v="1"/>
    <n v="1"/>
    <n v="1"/>
    <n v="1"/>
    <n v="1"/>
    <n v="1"/>
    <n v="1"/>
    <x v="0"/>
    <s v="spec18"/>
    <x v="5"/>
    <s v="N15G3f"/>
    <x v="8"/>
  </r>
  <r>
    <s v="y_AG_N15G3f_spec02"/>
    <n v="0"/>
    <n v="0"/>
    <n v="0"/>
    <n v="0"/>
    <n v="0"/>
    <n v="0"/>
    <n v="0"/>
    <n v="0"/>
    <x v="0"/>
    <s v="spec02"/>
    <x v="6"/>
    <s v="N15G3f"/>
    <x v="0"/>
  </r>
  <r>
    <s v="y_AG_N15G3f_spec01"/>
    <n v="0"/>
    <n v="0"/>
    <n v="1"/>
    <n v="1"/>
    <n v="1"/>
    <n v="0"/>
    <n v="0"/>
    <n v="0"/>
    <x v="0"/>
    <s v="spec01"/>
    <x v="6"/>
    <s v="N15G3f"/>
    <x v="1"/>
  </r>
  <r>
    <s v="y_AG_N15G3f_spec04"/>
    <n v="0"/>
    <n v="0"/>
    <n v="0"/>
    <n v="0"/>
    <n v="0"/>
    <n v="0"/>
    <n v="0"/>
    <n v="0"/>
    <x v="0"/>
    <s v="spec04"/>
    <x v="6"/>
    <s v="N15G3f"/>
    <x v="2"/>
  </r>
  <r>
    <s v="y_AG_N15G3f_spec07"/>
    <n v="0"/>
    <n v="0"/>
    <n v="0"/>
    <n v="0"/>
    <n v="0"/>
    <n v="0"/>
    <n v="0"/>
    <n v="0"/>
    <x v="0"/>
    <s v="spec07"/>
    <x v="6"/>
    <s v="N15G3f"/>
    <x v="3"/>
  </r>
  <r>
    <s v="y_AG_N15G3f_spec08"/>
    <n v="0"/>
    <n v="0"/>
    <n v="0"/>
    <n v="0"/>
    <n v="0"/>
    <n v="0"/>
    <n v="0"/>
    <n v="0"/>
    <x v="0"/>
    <s v="spec08"/>
    <x v="6"/>
    <s v="N15G3f"/>
    <x v="4"/>
  </r>
  <r>
    <s v="y_AG_N15G3f_spec09"/>
    <n v="0"/>
    <n v="0"/>
    <n v="0"/>
    <n v="0"/>
    <n v="0"/>
    <n v="0"/>
    <n v="0"/>
    <n v="0"/>
    <x v="0"/>
    <s v="spec09"/>
    <x v="6"/>
    <s v="N15G3f"/>
    <x v="5"/>
  </r>
  <r>
    <s v="y_AG_N15G3f_spec10"/>
    <n v="0"/>
    <n v="0"/>
    <n v="0"/>
    <n v="0"/>
    <n v="0"/>
    <n v="0"/>
    <n v="0"/>
    <n v="0"/>
    <x v="0"/>
    <s v="spec10"/>
    <x v="6"/>
    <s v="N15G3f"/>
    <x v="6"/>
  </r>
  <r>
    <s v="y_AG_N15G3f_spec03"/>
    <n v="0"/>
    <n v="0"/>
    <n v="1"/>
    <n v="1"/>
    <n v="0"/>
    <n v="0"/>
    <n v="0"/>
    <n v="0"/>
    <x v="0"/>
    <s v="spec03"/>
    <x v="6"/>
    <s v="N15G3f"/>
    <x v="7"/>
  </r>
  <r>
    <s v="y_AG_N15G3f_spec18"/>
    <n v="0"/>
    <n v="0"/>
    <n v="0"/>
    <n v="0"/>
    <n v="0"/>
    <n v="0"/>
    <n v="0"/>
    <n v="0"/>
    <x v="0"/>
    <s v="spec18"/>
    <x v="6"/>
    <s v="N15G3f"/>
    <x v="8"/>
  </r>
  <r>
    <s v="y_BR_N15G3f_spec02"/>
    <n v="0"/>
    <n v="0"/>
    <n v="0"/>
    <n v="0"/>
    <n v="0"/>
    <n v="0"/>
    <n v="0"/>
    <n v="0"/>
    <x v="0"/>
    <s v="spec02"/>
    <x v="7"/>
    <s v="N15G3f"/>
    <x v="0"/>
  </r>
  <r>
    <s v="y_BR_N15G3f_spec01"/>
    <n v="0"/>
    <n v="0"/>
    <n v="0"/>
    <n v="0"/>
    <n v="1"/>
    <n v="0"/>
    <n v="0"/>
    <n v="0"/>
    <x v="0"/>
    <s v="spec01"/>
    <x v="7"/>
    <s v="N15G3f"/>
    <x v="1"/>
  </r>
  <r>
    <s v="y_BR_N15G3f_spec04"/>
    <n v="0"/>
    <n v="0"/>
    <n v="0"/>
    <n v="0"/>
    <n v="0"/>
    <n v="0"/>
    <n v="0"/>
    <n v="0"/>
    <x v="0"/>
    <s v="spec04"/>
    <x v="7"/>
    <s v="N15G3f"/>
    <x v="2"/>
  </r>
  <r>
    <s v="y_BR_N15G3f_spec07"/>
    <n v="0"/>
    <n v="0"/>
    <n v="0"/>
    <n v="0"/>
    <n v="1"/>
    <n v="0"/>
    <n v="0"/>
    <n v="0"/>
    <x v="0"/>
    <s v="spec07"/>
    <x v="7"/>
    <s v="N15G3f"/>
    <x v="3"/>
  </r>
  <r>
    <s v="y_BR_N15G3f_spec08"/>
    <n v="0"/>
    <n v="0"/>
    <n v="0"/>
    <n v="0"/>
    <n v="0"/>
    <n v="0"/>
    <n v="0"/>
    <n v="0"/>
    <x v="0"/>
    <s v="spec08"/>
    <x v="7"/>
    <s v="N15G3f"/>
    <x v="4"/>
  </r>
  <r>
    <s v="y_BR_N15G3f_spec09"/>
    <n v="0"/>
    <n v="0"/>
    <n v="0"/>
    <n v="0"/>
    <n v="0"/>
    <n v="0"/>
    <n v="0"/>
    <n v="0"/>
    <x v="0"/>
    <s v="spec09"/>
    <x v="7"/>
    <s v="N15G3f"/>
    <x v="5"/>
  </r>
  <r>
    <s v="y_BR_N15G3f_spec10"/>
    <n v="0"/>
    <n v="0"/>
    <n v="0"/>
    <n v="0"/>
    <n v="0"/>
    <n v="0"/>
    <n v="0"/>
    <n v="0"/>
    <x v="0"/>
    <s v="spec10"/>
    <x v="7"/>
    <s v="N15G3f"/>
    <x v="6"/>
  </r>
  <r>
    <s v="y_BR_N15G3f_spec03"/>
    <n v="0"/>
    <n v="0"/>
    <n v="1"/>
    <n v="1"/>
    <n v="0"/>
    <n v="0"/>
    <n v="0"/>
    <n v="0"/>
    <x v="0"/>
    <s v="spec03"/>
    <x v="7"/>
    <s v="N15G3f"/>
    <x v="7"/>
  </r>
  <r>
    <s v="y_BR_N15G3f_spec18"/>
    <n v="0"/>
    <n v="0"/>
    <n v="0"/>
    <n v="0"/>
    <n v="0"/>
    <n v="0"/>
    <n v="0"/>
    <n v="0"/>
    <x v="0"/>
    <s v="spec18"/>
    <x v="7"/>
    <s v="N15G3f"/>
    <x v="8"/>
  </r>
  <r>
    <s v="y_MX_N15G3f_spec02"/>
    <n v="0"/>
    <n v="0"/>
    <n v="0"/>
    <n v="0"/>
    <n v="0"/>
    <n v="0"/>
    <n v="0"/>
    <n v="0"/>
    <x v="0"/>
    <s v="spec02"/>
    <x v="8"/>
    <s v="N15G3f"/>
    <x v="0"/>
  </r>
  <r>
    <s v="y_MX_N15G3f_spec01"/>
    <n v="0"/>
    <n v="0"/>
    <n v="0"/>
    <n v="0"/>
    <n v="0"/>
    <n v="0"/>
    <n v="0"/>
    <n v="0"/>
    <x v="0"/>
    <s v="spec01"/>
    <x v="8"/>
    <s v="N15G3f"/>
    <x v="1"/>
  </r>
  <r>
    <s v="y_MX_N15G3f_spec04"/>
    <n v="0"/>
    <n v="0"/>
    <n v="0"/>
    <n v="0"/>
    <n v="0"/>
    <n v="0"/>
    <n v="0"/>
    <n v="0"/>
    <x v="0"/>
    <s v="spec04"/>
    <x v="8"/>
    <s v="N15G3f"/>
    <x v="2"/>
  </r>
  <r>
    <s v="y_MX_N15G3f_spec07"/>
    <n v="0"/>
    <n v="0"/>
    <n v="0"/>
    <n v="0"/>
    <n v="0"/>
    <n v="0"/>
    <n v="0"/>
    <n v="0"/>
    <x v="0"/>
    <s v="spec07"/>
    <x v="8"/>
    <s v="N15G3f"/>
    <x v="3"/>
  </r>
  <r>
    <s v="y_MX_N15G3f_spec08"/>
    <n v="0"/>
    <n v="0"/>
    <n v="0"/>
    <n v="0"/>
    <n v="0"/>
    <n v="0"/>
    <n v="0"/>
    <n v="0"/>
    <x v="0"/>
    <s v="spec08"/>
    <x v="8"/>
    <s v="N15G3f"/>
    <x v="4"/>
  </r>
  <r>
    <s v="y_MX_N15G3f_spec09"/>
    <n v="0"/>
    <n v="0"/>
    <n v="0"/>
    <n v="0"/>
    <n v="0"/>
    <n v="0"/>
    <n v="0"/>
    <n v="0"/>
    <x v="0"/>
    <s v="spec09"/>
    <x v="8"/>
    <s v="N15G3f"/>
    <x v="5"/>
  </r>
  <r>
    <s v="y_MX_N15G3f_spec10"/>
    <n v="0"/>
    <n v="0"/>
    <n v="0"/>
    <n v="0"/>
    <n v="0"/>
    <n v="0"/>
    <n v="0"/>
    <n v="0"/>
    <x v="0"/>
    <s v="spec10"/>
    <x v="8"/>
    <s v="N15G3f"/>
    <x v="6"/>
  </r>
  <r>
    <s v="y_MX_N15G3f_spec03"/>
    <n v="0"/>
    <n v="0"/>
    <n v="0"/>
    <n v="0"/>
    <n v="0"/>
    <n v="0"/>
    <n v="0"/>
    <n v="0"/>
    <x v="0"/>
    <s v="spec03"/>
    <x v="8"/>
    <s v="N15G3f"/>
    <x v="7"/>
  </r>
  <r>
    <s v="y_MX_N15G3f_spec18"/>
    <n v="0"/>
    <n v="0"/>
    <n v="0"/>
    <n v="0"/>
    <n v="0"/>
    <n v="0"/>
    <n v="0"/>
    <n v="0"/>
    <x v="0"/>
    <s v="spec18"/>
    <x v="8"/>
    <s v="N15G3f"/>
    <x v="8"/>
  </r>
  <r>
    <s v="y_CN_N15G3f_spec02"/>
    <n v="0"/>
    <n v="0"/>
    <n v="0"/>
    <n v="0"/>
    <n v="0"/>
    <n v="0"/>
    <n v="0"/>
    <n v="0"/>
    <x v="0"/>
    <s v="spec02"/>
    <x v="9"/>
    <s v="N15G3f"/>
    <x v="0"/>
  </r>
  <r>
    <s v="y_CN_N15G3f_spec01"/>
    <n v="0"/>
    <n v="0"/>
    <n v="0"/>
    <n v="0"/>
    <n v="0"/>
    <n v="0"/>
    <n v="0"/>
    <n v="0"/>
    <x v="0"/>
    <s v="spec01"/>
    <x v="9"/>
    <s v="N15G3f"/>
    <x v="1"/>
  </r>
  <r>
    <s v="y_CN_N15G3f_spec04"/>
    <n v="0"/>
    <n v="0"/>
    <n v="0"/>
    <n v="0"/>
    <n v="0"/>
    <n v="0"/>
    <n v="0"/>
    <n v="0"/>
    <x v="0"/>
    <s v="spec04"/>
    <x v="9"/>
    <s v="N15G3f"/>
    <x v="2"/>
  </r>
  <r>
    <s v="y_CN_N15G3f_spec07"/>
    <n v="0"/>
    <n v="0"/>
    <n v="0"/>
    <n v="0"/>
    <n v="0"/>
    <n v="0"/>
    <n v="0"/>
    <n v="0"/>
    <x v="0"/>
    <s v="spec07"/>
    <x v="9"/>
    <s v="N15G3f"/>
    <x v="3"/>
  </r>
  <r>
    <s v="y_CN_N15G3f_spec08"/>
    <n v="0"/>
    <n v="0"/>
    <n v="0"/>
    <n v="0"/>
    <n v="0"/>
    <n v="0"/>
    <n v="0"/>
    <n v="0"/>
    <x v="0"/>
    <s v="spec08"/>
    <x v="9"/>
    <s v="N15G3f"/>
    <x v="4"/>
  </r>
  <r>
    <s v="y_CN_N15G3f_spec09"/>
    <n v="0"/>
    <n v="0"/>
    <n v="0"/>
    <n v="0"/>
    <n v="0"/>
    <n v="0"/>
    <n v="0"/>
    <n v="0"/>
    <x v="0"/>
    <s v="spec09"/>
    <x v="9"/>
    <s v="N15G3f"/>
    <x v="5"/>
  </r>
  <r>
    <s v="y_CN_N15G3f_spec10"/>
    <n v="0"/>
    <n v="0"/>
    <n v="0"/>
    <n v="0"/>
    <n v="0"/>
    <n v="0"/>
    <n v="0"/>
    <n v="0"/>
    <x v="0"/>
    <s v="spec10"/>
    <x v="9"/>
    <s v="N15G3f"/>
    <x v="6"/>
  </r>
  <r>
    <s v="y_CN_N15G3f_spec03"/>
    <n v="0"/>
    <n v="0"/>
    <n v="0"/>
    <n v="0"/>
    <n v="0"/>
    <n v="0"/>
    <n v="0"/>
    <n v="0"/>
    <x v="0"/>
    <s v="spec03"/>
    <x v="9"/>
    <s v="N15G3f"/>
    <x v="7"/>
  </r>
  <r>
    <s v="y_CN_N15G3f_spec18"/>
    <n v="0"/>
    <n v="0"/>
    <n v="0"/>
    <n v="0"/>
    <n v="0"/>
    <n v="0"/>
    <n v="0"/>
    <n v="0"/>
    <x v="0"/>
    <s v="spec18"/>
    <x v="9"/>
    <s v="N15G3f"/>
    <x v="8"/>
  </r>
  <r>
    <s v="y_JP_N15G3f_spec02"/>
    <n v="0"/>
    <n v="0"/>
    <n v="0"/>
    <n v="0"/>
    <n v="0"/>
    <n v="0"/>
    <n v="0"/>
    <n v="0"/>
    <x v="0"/>
    <s v="spec02"/>
    <x v="10"/>
    <s v="N15G3f"/>
    <x v="0"/>
  </r>
  <r>
    <s v="y_JP_N15G3f_spec01"/>
    <n v="1"/>
    <n v="0"/>
    <n v="0"/>
    <n v="0"/>
    <n v="0"/>
    <n v="0"/>
    <n v="0"/>
    <n v="0"/>
    <x v="0"/>
    <s v="spec01"/>
    <x v="10"/>
    <s v="N15G3f"/>
    <x v="1"/>
  </r>
  <r>
    <s v="y_JP_N15G3f_spec04"/>
    <n v="0"/>
    <n v="1"/>
    <n v="1"/>
    <n v="1"/>
    <n v="1"/>
    <n v="1"/>
    <n v="1"/>
    <n v="0"/>
    <x v="0"/>
    <s v="spec04"/>
    <x v="10"/>
    <s v="N15G3f"/>
    <x v="2"/>
  </r>
  <r>
    <s v="y_JP_N15G3f_spec07"/>
    <n v="0"/>
    <n v="1"/>
    <n v="0"/>
    <n v="0"/>
    <n v="0"/>
    <n v="1"/>
    <n v="0"/>
    <n v="0"/>
    <x v="0"/>
    <s v="spec07"/>
    <x v="10"/>
    <s v="N15G3f"/>
    <x v="3"/>
  </r>
  <r>
    <s v="y_JP_N15G3f_spec08"/>
    <n v="0"/>
    <n v="0"/>
    <n v="0"/>
    <n v="0"/>
    <n v="0"/>
    <n v="0"/>
    <n v="0"/>
    <n v="0"/>
    <x v="0"/>
    <s v="spec08"/>
    <x v="10"/>
    <s v="N15G3f"/>
    <x v="4"/>
  </r>
  <r>
    <s v="y_JP_N15G3f_spec09"/>
    <n v="0"/>
    <n v="0"/>
    <n v="1"/>
    <n v="0"/>
    <n v="0"/>
    <n v="0"/>
    <n v="0"/>
    <n v="0"/>
    <x v="0"/>
    <s v="spec09"/>
    <x v="10"/>
    <s v="N15G3f"/>
    <x v="5"/>
  </r>
  <r>
    <s v="y_JP_N15G3f_spec10"/>
    <n v="0"/>
    <n v="0"/>
    <n v="0"/>
    <n v="0"/>
    <n v="0"/>
    <n v="0"/>
    <n v="0"/>
    <n v="0"/>
    <x v="0"/>
    <s v="spec10"/>
    <x v="10"/>
    <s v="N15G3f"/>
    <x v="6"/>
  </r>
  <r>
    <s v="y_JP_N15G3f_spec03"/>
    <n v="1"/>
    <n v="1"/>
    <n v="1"/>
    <n v="1"/>
    <n v="1"/>
    <n v="1"/>
    <n v="1"/>
    <n v="0"/>
    <x v="0"/>
    <s v="spec03"/>
    <x v="10"/>
    <s v="N15G3f"/>
    <x v="7"/>
  </r>
  <r>
    <s v="y_JP_N15G3f_spec18"/>
    <n v="1"/>
    <n v="0"/>
    <n v="0"/>
    <n v="0"/>
    <n v="0"/>
    <n v="0"/>
    <n v="0"/>
    <n v="0"/>
    <x v="0"/>
    <s v="spec18"/>
    <x v="10"/>
    <s v="N15G3f"/>
    <x v="8"/>
  </r>
  <r>
    <s v="y_AU_N15G3f_spec02"/>
    <n v="0"/>
    <n v="0"/>
    <n v="0"/>
    <n v="0"/>
    <n v="0"/>
    <n v="0"/>
    <n v="0"/>
    <n v="0"/>
    <x v="0"/>
    <s v="spec02"/>
    <x v="11"/>
    <s v="N15G3f"/>
    <x v="0"/>
  </r>
  <r>
    <s v="y_AU_N15G3f_spec01"/>
    <n v="1"/>
    <n v="1"/>
    <n v="1"/>
    <n v="1"/>
    <n v="1"/>
    <n v="1"/>
    <n v="1"/>
    <n v="1"/>
    <x v="0"/>
    <s v="spec01"/>
    <x v="11"/>
    <s v="N15G3f"/>
    <x v="1"/>
  </r>
  <r>
    <s v="y_AU_N15G3f_spec04"/>
    <n v="0"/>
    <n v="0"/>
    <n v="0"/>
    <n v="0"/>
    <n v="0"/>
    <n v="0"/>
    <n v="0"/>
    <n v="0"/>
    <x v="0"/>
    <s v="spec04"/>
    <x v="11"/>
    <s v="N15G3f"/>
    <x v="2"/>
  </r>
  <r>
    <s v="y_AU_N15G3f_spec07"/>
    <n v="0"/>
    <n v="1"/>
    <n v="1"/>
    <n v="1"/>
    <n v="1"/>
    <n v="1"/>
    <n v="0"/>
    <n v="0"/>
    <x v="0"/>
    <s v="spec07"/>
    <x v="11"/>
    <s v="N15G3f"/>
    <x v="3"/>
  </r>
  <r>
    <s v="y_AU_N15G3f_spec08"/>
    <n v="0"/>
    <n v="0"/>
    <n v="0"/>
    <n v="0"/>
    <n v="0"/>
    <n v="0"/>
    <n v="0"/>
    <n v="0"/>
    <x v="0"/>
    <s v="spec08"/>
    <x v="11"/>
    <s v="N15G3f"/>
    <x v="4"/>
  </r>
  <r>
    <s v="y_AU_N15G3f_spec09"/>
    <n v="0"/>
    <n v="0"/>
    <n v="0"/>
    <n v="0"/>
    <n v="0"/>
    <n v="0"/>
    <n v="0"/>
    <n v="0"/>
    <x v="0"/>
    <s v="spec09"/>
    <x v="11"/>
    <s v="N15G3f"/>
    <x v="5"/>
  </r>
  <r>
    <s v="y_AU_N15G3f_spec10"/>
    <n v="0"/>
    <n v="0"/>
    <n v="0"/>
    <n v="0"/>
    <n v="0"/>
    <n v="0"/>
    <n v="0"/>
    <n v="0"/>
    <x v="0"/>
    <s v="spec10"/>
    <x v="11"/>
    <s v="N15G3f"/>
    <x v="6"/>
  </r>
  <r>
    <s v="y_AU_N15G3f_spec03"/>
    <n v="0"/>
    <n v="0"/>
    <n v="0"/>
    <n v="0"/>
    <n v="0"/>
    <n v="0"/>
    <n v="0"/>
    <n v="0"/>
    <x v="0"/>
    <s v="spec03"/>
    <x v="11"/>
    <s v="N15G3f"/>
    <x v="7"/>
  </r>
  <r>
    <s v="y_AU_N15G3f_spec18"/>
    <n v="0"/>
    <n v="1"/>
    <n v="1"/>
    <n v="1"/>
    <n v="1"/>
    <n v="1"/>
    <n v="1"/>
    <n v="1"/>
    <x v="0"/>
    <s v="spec18"/>
    <x v="11"/>
    <s v="N15G3f"/>
    <x v="8"/>
  </r>
  <r>
    <s v="y_AT_N15G3f_spec02"/>
    <n v="0"/>
    <n v="0"/>
    <n v="0"/>
    <n v="0"/>
    <n v="0"/>
    <n v="0"/>
    <n v="0"/>
    <n v="0"/>
    <x v="0"/>
    <s v="spec02"/>
    <x v="12"/>
    <s v="N15G3f"/>
    <x v="0"/>
  </r>
  <r>
    <s v="y_AT_N15G3f_spec01"/>
    <n v="0"/>
    <n v="0"/>
    <n v="0"/>
    <n v="0"/>
    <n v="0"/>
    <n v="0"/>
    <n v="0"/>
    <n v="1"/>
    <x v="0"/>
    <s v="spec01"/>
    <x v="12"/>
    <s v="N15G3f"/>
    <x v="1"/>
  </r>
  <r>
    <s v="y_AT_N15G3f_spec04"/>
    <n v="1"/>
    <n v="0"/>
    <n v="0"/>
    <n v="0"/>
    <n v="0"/>
    <n v="0"/>
    <n v="0"/>
    <n v="0"/>
    <x v="0"/>
    <s v="spec04"/>
    <x v="12"/>
    <s v="N15G3f"/>
    <x v="2"/>
  </r>
  <r>
    <s v="y_AT_N15G3f_spec07"/>
    <n v="0"/>
    <n v="0"/>
    <n v="0"/>
    <n v="0"/>
    <n v="0"/>
    <n v="0"/>
    <n v="0"/>
    <n v="0"/>
    <x v="0"/>
    <s v="spec07"/>
    <x v="12"/>
    <s v="N15G3f"/>
    <x v="3"/>
  </r>
  <r>
    <s v="y_AT_N15G3f_spec08"/>
    <n v="0"/>
    <n v="0"/>
    <n v="0"/>
    <n v="0"/>
    <n v="0"/>
    <n v="0"/>
    <n v="0"/>
    <n v="0"/>
    <x v="0"/>
    <s v="spec08"/>
    <x v="12"/>
    <s v="N15G3f"/>
    <x v="4"/>
  </r>
  <r>
    <s v="y_AT_N15G3f_spec09"/>
    <n v="0"/>
    <n v="0"/>
    <n v="0"/>
    <n v="0"/>
    <n v="0"/>
    <n v="0"/>
    <n v="0"/>
    <n v="0"/>
    <x v="0"/>
    <s v="spec09"/>
    <x v="12"/>
    <s v="N15G3f"/>
    <x v="5"/>
  </r>
  <r>
    <s v="y_AT_N15G3f_spec10"/>
    <n v="0"/>
    <n v="0"/>
    <n v="0"/>
    <n v="0"/>
    <n v="0"/>
    <n v="0"/>
    <n v="0"/>
    <n v="0"/>
    <x v="0"/>
    <s v="spec10"/>
    <x v="12"/>
    <s v="N15G3f"/>
    <x v="6"/>
  </r>
  <r>
    <s v="y_AT_N15G3f_spec03"/>
    <n v="0"/>
    <n v="0"/>
    <n v="0"/>
    <n v="0"/>
    <n v="0"/>
    <n v="0"/>
    <n v="0"/>
    <n v="0"/>
    <x v="0"/>
    <s v="spec03"/>
    <x v="12"/>
    <s v="N15G3f"/>
    <x v="7"/>
  </r>
  <r>
    <s v="y_AT_N15G3f_spec18"/>
    <n v="0"/>
    <n v="0"/>
    <n v="0"/>
    <n v="0"/>
    <n v="0"/>
    <n v="0"/>
    <n v="0"/>
    <n v="0"/>
    <x v="0"/>
    <s v="spec18"/>
    <x v="12"/>
    <s v="N15G3f"/>
    <x v="8"/>
  </r>
  <r>
    <s v="y_IN_N15G3f_spec02"/>
    <n v="0"/>
    <n v="0"/>
    <n v="0"/>
    <n v="0"/>
    <n v="0"/>
    <n v="0"/>
    <n v="0"/>
    <n v="0"/>
    <x v="0"/>
    <s v="spec02"/>
    <x v="13"/>
    <s v="N15G3f"/>
    <x v="0"/>
  </r>
  <r>
    <s v="y_IN_N15G3f_spec01"/>
    <n v="0"/>
    <n v="1"/>
    <n v="0"/>
    <n v="0"/>
    <n v="1"/>
    <n v="0"/>
    <n v="0"/>
    <n v="0"/>
    <x v="0"/>
    <s v="spec01"/>
    <x v="13"/>
    <s v="N15G3f"/>
    <x v="1"/>
  </r>
  <r>
    <s v="y_IN_N15G3f_spec04"/>
    <n v="0"/>
    <n v="1"/>
    <n v="0"/>
    <n v="0"/>
    <n v="0"/>
    <n v="0"/>
    <n v="0"/>
    <n v="0"/>
    <x v="0"/>
    <s v="spec04"/>
    <x v="13"/>
    <s v="N15G3f"/>
    <x v="2"/>
  </r>
  <r>
    <s v="y_IN_N15G3f_spec07"/>
    <n v="0"/>
    <n v="0"/>
    <n v="0"/>
    <n v="0"/>
    <n v="0"/>
    <n v="0"/>
    <n v="0"/>
    <n v="0"/>
    <x v="0"/>
    <s v="spec07"/>
    <x v="13"/>
    <s v="N15G3f"/>
    <x v="3"/>
  </r>
  <r>
    <s v="y_IN_N15G3f_spec08"/>
    <n v="0"/>
    <n v="0"/>
    <n v="0"/>
    <n v="0"/>
    <n v="0"/>
    <n v="0"/>
    <n v="0"/>
    <n v="0"/>
    <x v="0"/>
    <s v="spec08"/>
    <x v="13"/>
    <s v="N15G3f"/>
    <x v="4"/>
  </r>
  <r>
    <s v="y_IN_N15G3f_spec09"/>
    <n v="0"/>
    <n v="0"/>
    <n v="0"/>
    <n v="0"/>
    <n v="0"/>
    <n v="0"/>
    <n v="0"/>
    <n v="0"/>
    <x v="0"/>
    <s v="spec09"/>
    <x v="13"/>
    <s v="N15G3f"/>
    <x v="5"/>
  </r>
  <r>
    <s v="y_IN_N15G3f_spec10"/>
    <n v="0"/>
    <n v="0"/>
    <n v="0"/>
    <n v="0"/>
    <n v="0"/>
    <n v="0"/>
    <n v="0"/>
    <n v="0"/>
    <x v="0"/>
    <s v="spec10"/>
    <x v="13"/>
    <s v="N15G3f"/>
    <x v="6"/>
  </r>
  <r>
    <s v="y_IN_N15G3f_spec03"/>
    <n v="0"/>
    <n v="0"/>
    <n v="0"/>
    <n v="0"/>
    <n v="0"/>
    <n v="0"/>
    <n v="0"/>
    <n v="0"/>
    <x v="0"/>
    <s v="spec03"/>
    <x v="13"/>
    <s v="N15G3f"/>
    <x v="7"/>
  </r>
  <r>
    <s v="y_IN_N15G3f_spec18"/>
    <n v="0"/>
    <n v="0"/>
    <n v="0"/>
    <n v="0"/>
    <n v="0"/>
    <n v="0"/>
    <n v="0"/>
    <n v="0"/>
    <x v="0"/>
    <s v="spec18"/>
    <x v="13"/>
    <s v="N15G3f"/>
    <x v="8"/>
  </r>
  <r>
    <s v="y_CH_N15G3f_spec02"/>
    <n v="0"/>
    <n v="0"/>
    <n v="0"/>
    <n v="0"/>
    <n v="0"/>
    <n v="0"/>
    <n v="0"/>
    <n v="0"/>
    <x v="0"/>
    <s v="spec02"/>
    <x v="14"/>
    <s v="N15G3f"/>
    <x v="0"/>
  </r>
  <r>
    <s v="y_CH_N15G3f_spec01"/>
    <n v="0"/>
    <n v="0"/>
    <n v="0"/>
    <n v="0"/>
    <n v="0"/>
    <n v="0"/>
    <n v="0"/>
    <n v="0"/>
    <x v="0"/>
    <s v="spec01"/>
    <x v="14"/>
    <s v="N15G3f"/>
    <x v="1"/>
  </r>
  <r>
    <s v="y_CH_N15G3f_spec04"/>
    <n v="0"/>
    <n v="0"/>
    <n v="0"/>
    <n v="0"/>
    <n v="0"/>
    <n v="0"/>
    <n v="0"/>
    <n v="0"/>
    <x v="0"/>
    <s v="spec04"/>
    <x v="14"/>
    <s v="N15G3f"/>
    <x v="2"/>
  </r>
  <r>
    <s v="y_CH_N15G3f_spec07"/>
    <n v="0"/>
    <n v="0"/>
    <n v="0"/>
    <n v="0"/>
    <n v="0"/>
    <n v="0"/>
    <n v="0"/>
    <n v="1"/>
    <x v="0"/>
    <s v="spec07"/>
    <x v="14"/>
    <s v="N15G3f"/>
    <x v="3"/>
  </r>
  <r>
    <s v="y_CH_N15G3f_spec08"/>
    <n v="0"/>
    <n v="0"/>
    <n v="0"/>
    <n v="0"/>
    <n v="0"/>
    <n v="0"/>
    <n v="0"/>
    <n v="0"/>
    <x v="0"/>
    <s v="spec08"/>
    <x v="14"/>
    <s v="N15G3f"/>
    <x v="4"/>
  </r>
  <r>
    <s v="y_CH_N15G3f_spec09"/>
    <n v="0"/>
    <n v="0"/>
    <n v="0"/>
    <n v="0"/>
    <n v="0"/>
    <n v="0"/>
    <n v="0"/>
    <n v="0"/>
    <x v="0"/>
    <s v="spec09"/>
    <x v="14"/>
    <s v="N15G3f"/>
    <x v="5"/>
  </r>
  <r>
    <s v="y_CH_N15G3f_spec10"/>
    <n v="0"/>
    <n v="0"/>
    <n v="0"/>
    <n v="0"/>
    <n v="0"/>
    <n v="0"/>
    <n v="0"/>
    <n v="0"/>
    <x v="0"/>
    <s v="spec10"/>
    <x v="14"/>
    <s v="N15G3f"/>
    <x v="6"/>
  </r>
  <r>
    <s v="y_CH_N15G3f_spec03"/>
    <n v="0"/>
    <n v="0"/>
    <n v="0"/>
    <n v="0"/>
    <n v="0"/>
    <n v="0"/>
    <n v="0"/>
    <n v="0"/>
    <x v="0"/>
    <s v="spec03"/>
    <x v="14"/>
    <s v="N15G3f"/>
    <x v="7"/>
  </r>
  <r>
    <s v="y_CH_N15G3f_spec18"/>
    <n v="0"/>
    <n v="0"/>
    <n v="0"/>
    <n v="0"/>
    <n v="0"/>
    <n v="0"/>
    <n v="0"/>
    <n v="0"/>
    <x v="0"/>
    <s v="spec18"/>
    <x v="14"/>
    <s v="N15G3f"/>
    <x v="8"/>
  </r>
  <r>
    <s v="Dp_DE_N15G3f_spec02"/>
    <n v="0"/>
    <n v="0"/>
    <n v="0"/>
    <n v="0"/>
    <n v="0"/>
    <n v="0"/>
    <n v="0"/>
    <n v="0"/>
    <x v="1"/>
    <s v="spec02"/>
    <x v="0"/>
    <s v="N15G3f"/>
    <x v="0"/>
  </r>
  <r>
    <s v="Dp_DE_N15G3f_spec01"/>
    <n v="0"/>
    <n v="0"/>
    <n v="1"/>
    <n v="0"/>
    <n v="0"/>
    <n v="0"/>
    <n v="0"/>
    <n v="0"/>
    <x v="1"/>
    <s v="spec01"/>
    <x v="0"/>
    <s v="N15G3f"/>
    <x v="1"/>
  </r>
  <r>
    <s v="Dp_DE_N15G3f_spec04"/>
    <n v="0"/>
    <n v="0"/>
    <n v="0"/>
    <n v="0"/>
    <n v="0"/>
    <n v="0"/>
    <n v="0"/>
    <n v="0"/>
    <x v="1"/>
    <s v="spec04"/>
    <x v="0"/>
    <s v="N15G3f"/>
    <x v="2"/>
  </r>
  <r>
    <s v="Dp_DE_N15G3f_spec07"/>
    <n v="0"/>
    <n v="0"/>
    <n v="0"/>
    <n v="0"/>
    <n v="0"/>
    <n v="0"/>
    <n v="0"/>
    <n v="0"/>
    <x v="1"/>
    <s v="spec07"/>
    <x v="0"/>
    <s v="N15G3f"/>
    <x v="3"/>
  </r>
  <r>
    <s v="Dp_DE_N15G3f_spec08"/>
    <n v="0"/>
    <n v="0"/>
    <n v="0"/>
    <n v="0"/>
    <n v="0"/>
    <n v="0"/>
    <n v="0"/>
    <n v="0"/>
    <x v="1"/>
    <s v="spec08"/>
    <x v="0"/>
    <s v="N15G3f"/>
    <x v="4"/>
  </r>
  <r>
    <s v="Dp_DE_N15G3f_spec09"/>
    <n v="1"/>
    <n v="0"/>
    <n v="0"/>
    <n v="0"/>
    <n v="0"/>
    <n v="1"/>
    <n v="1"/>
    <n v="0"/>
    <x v="1"/>
    <s v="spec09"/>
    <x v="0"/>
    <s v="N15G3f"/>
    <x v="5"/>
  </r>
  <r>
    <s v="Dp_DE_N15G3f_spec10"/>
    <n v="0"/>
    <n v="0"/>
    <n v="0"/>
    <n v="0"/>
    <n v="0"/>
    <n v="0"/>
    <n v="0"/>
    <n v="0"/>
    <x v="1"/>
    <s v="spec10"/>
    <x v="0"/>
    <s v="N15G3f"/>
    <x v="6"/>
  </r>
  <r>
    <s v="Dp_DE_N15G3f_spec03"/>
    <n v="0"/>
    <n v="0"/>
    <n v="0"/>
    <n v="0"/>
    <n v="0"/>
    <n v="0"/>
    <n v="0"/>
    <n v="0"/>
    <x v="1"/>
    <s v="spec03"/>
    <x v="0"/>
    <s v="N15G3f"/>
    <x v="7"/>
  </r>
  <r>
    <s v="Dp_DE_N15G3f_spec18"/>
    <n v="0"/>
    <n v="0"/>
    <n v="0"/>
    <n v="0"/>
    <n v="0"/>
    <n v="0"/>
    <n v="0"/>
    <n v="0"/>
    <x v="1"/>
    <s v="spec18"/>
    <x v="0"/>
    <s v="N15G3f"/>
    <x v="8"/>
  </r>
  <r>
    <s v="Dp_FR_N15G3f_spec02"/>
    <n v="0"/>
    <n v="0"/>
    <n v="0"/>
    <n v="0"/>
    <n v="0"/>
    <n v="0"/>
    <n v="0"/>
    <n v="0"/>
    <x v="1"/>
    <s v="spec02"/>
    <x v="1"/>
    <s v="N15G3f"/>
    <x v="0"/>
  </r>
  <r>
    <s v="Dp_FR_N15G3f_spec01"/>
    <n v="1"/>
    <n v="1"/>
    <n v="1"/>
    <n v="1"/>
    <n v="1"/>
    <n v="1"/>
    <n v="1"/>
    <n v="1"/>
    <x v="1"/>
    <s v="spec01"/>
    <x v="1"/>
    <s v="N15G3f"/>
    <x v="1"/>
  </r>
  <r>
    <s v="Dp_FR_N15G3f_spec04"/>
    <n v="0"/>
    <n v="0"/>
    <n v="0"/>
    <n v="0"/>
    <n v="0"/>
    <n v="0"/>
    <n v="0"/>
    <n v="0"/>
    <x v="1"/>
    <s v="spec04"/>
    <x v="1"/>
    <s v="N15G3f"/>
    <x v="2"/>
  </r>
  <r>
    <s v="Dp_FR_N15G3f_spec07"/>
    <n v="0"/>
    <n v="0"/>
    <n v="0"/>
    <n v="0"/>
    <n v="0"/>
    <n v="0"/>
    <n v="0"/>
    <n v="0"/>
    <x v="1"/>
    <s v="spec07"/>
    <x v="1"/>
    <s v="N15G3f"/>
    <x v="3"/>
  </r>
  <r>
    <s v="Dp_FR_N15G3f_spec08"/>
    <n v="0"/>
    <n v="0"/>
    <n v="0"/>
    <n v="0"/>
    <n v="0"/>
    <n v="0"/>
    <n v="0"/>
    <n v="0"/>
    <x v="1"/>
    <s v="spec08"/>
    <x v="1"/>
    <s v="N15G3f"/>
    <x v="4"/>
  </r>
  <r>
    <s v="Dp_FR_N15G3f_spec09"/>
    <n v="0"/>
    <n v="0"/>
    <n v="0"/>
    <n v="0"/>
    <n v="0"/>
    <n v="1"/>
    <n v="1"/>
    <n v="0"/>
    <x v="1"/>
    <s v="spec09"/>
    <x v="1"/>
    <s v="N15G3f"/>
    <x v="5"/>
  </r>
  <r>
    <s v="Dp_FR_N15G3f_spec10"/>
    <n v="0"/>
    <n v="0"/>
    <n v="0"/>
    <n v="0"/>
    <n v="0"/>
    <n v="0"/>
    <n v="0"/>
    <n v="0"/>
    <x v="1"/>
    <s v="spec10"/>
    <x v="1"/>
    <s v="N15G3f"/>
    <x v="6"/>
  </r>
  <r>
    <s v="Dp_FR_N15G3f_spec03"/>
    <n v="0"/>
    <n v="0"/>
    <n v="0"/>
    <n v="0"/>
    <n v="0"/>
    <n v="0"/>
    <n v="0"/>
    <n v="0"/>
    <x v="1"/>
    <s v="spec03"/>
    <x v="1"/>
    <s v="N15G3f"/>
    <x v="7"/>
  </r>
  <r>
    <s v="Dp_FR_N15G3f_spec18"/>
    <n v="0"/>
    <n v="0"/>
    <n v="0"/>
    <n v="0"/>
    <n v="0"/>
    <n v="0"/>
    <n v="0"/>
    <n v="0"/>
    <x v="1"/>
    <s v="spec18"/>
    <x v="1"/>
    <s v="N15G3f"/>
    <x v="8"/>
  </r>
  <r>
    <s v="Dp_IT_N15G3f_spec02"/>
    <n v="0"/>
    <n v="0"/>
    <n v="0"/>
    <n v="0"/>
    <n v="0"/>
    <n v="0"/>
    <n v="0"/>
    <n v="0"/>
    <x v="1"/>
    <s v="spec02"/>
    <x v="2"/>
    <s v="N15G3f"/>
    <x v="0"/>
  </r>
  <r>
    <s v="Dp_IT_N15G3f_spec01"/>
    <n v="1"/>
    <n v="1"/>
    <n v="1"/>
    <n v="1"/>
    <n v="1"/>
    <n v="1"/>
    <n v="1"/>
    <n v="1"/>
    <x v="1"/>
    <s v="spec01"/>
    <x v="2"/>
    <s v="N15G3f"/>
    <x v="1"/>
  </r>
  <r>
    <s v="Dp_IT_N15G3f_spec04"/>
    <n v="0"/>
    <n v="0"/>
    <n v="0"/>
    <n v="0"/>
    <n v="0"/>
    <n v="0"/>
    <n v="0"/>
    <n v="0"/>
    <x v="1"/>
    <s v="spec04"/>
    <x v="2"/>
    <s v="N15G3f"/>
    <x v="2"/>
  </r>
  <r>
    <s v="Dp_IT_N15G3f_spec07"/>
    <n v="0"/>
    <n v="0"/>
    <n v="0"/>
    <n v="0"/>
    <n v="0"/>
    <n v="0"/>
    <n v="0"/>
    <n v="0"/>
    <x v="1"/>
    <s v="spec07"/>
    <x v="2"/>
    <s v="N15G3f"/>
    <x v="3"/>
  </r>
  <r>
    <s v="Dp_IT_N15G3f_spec08"/>
    <n v="0"/>
    <n v="0"/>
    <n v="0"/>
    <n v="0"/>
    <n v="0"/>
    <n v="0"/>
    <n v="0"/>
    <n v="0"/>
    <x v="1"/>
    <s v="spec08"/>
    <x v="2"/>
    <s v="N15G3f"/>
    <x v="4"/>
  </r>
  <r>
    <s v="Dp_IT_N15G3f_spec09"/>
    <n v="0"/>
    <n v="0"/>
    <n v="0"/>
    <n v="0"/>
    <n v="0"/>
    <n v="0"/>
    <n v="0"/>
    <n v="0"/>
    <x v="1"/>
    <s v="spec09"/>
    <x v="2"/>
    <s v="N15G3f"/>
    <x v="5"/>
  </r>
  <r>
    <s v="Dp_IT_N15G3f_spec10"/>
    <n v="0"/>
    <n v="0"/>
    <n v="0"/>
    <n v="0"/>
    <n v="0"/>
    <n v="0"/>
    <n v="0"/>
    <n v="0"/>
    <x v="1"/>
    <s v="spec10"/>
    <x v="2"/>
    <s v="N15G3f"/>
    <x v="6"/>
  </r>
  <r>
    <s v="Dp_IT_N15G3f_spec03"/>
    <n v="0"/>
    <n v="0"/>
    <n v="0"/>
    <n v="0"/>
    <n v="0"/>
    <n v="0"/>
    <n v="0"/>
    <n v="0"/>
    <x v="1"/>
    <s v="spec03"/>
    <x v="2"/>
    <s v="N15G3f"/>
    <x v="7"/>
  </r>
  <r>
    <s v="Dp_IT_N15G3f_spec18"/>
    <n v="0"/>
    <n v="0"/>
    <n v="0"/>
    <n v="0"/>
    <n v="0"/>
    <n v="0"/>
    <n v="0"/>
    <n v="0"/>
    <x v="1"/>
    <s v="spec18"/>
    <x v="2"/>
    <s v="N15G3f"/>
    <x v="8"/>
  </r>
  <r>
    <s v="Dp_GB_N15G3f_spec02"/>
    <n v="0"/>
    <n v="0"/>
    <n v="0"/>
    <n v="0"/>
    <n v="0"/>
    <n v="0"/>
    <n v="0"/>
    <n v="0"/>
    <x v="1"/>
    <s v="spec02"/>
    <x v="3"/>
    <s v="N15G3f"/>
    <x v="0"/>
  </r>
  <r>
    <s v="Dp_GB_N15G3f_spec01"/>
    <n v="0"/>
    <n v="0"/>
    <n v="1"/>
    <n v="1"/>
    <n v="1"/>
    <n v="1"/>
    <n v="0"/>
    <n v="0"/>
    <x v="1"/>
    <s v="spec01"/>
    <x v="3"/>
    <s v="N15G3f"/>
    <x v="1"/>
  </r>
  <r>
    <s v="Dp_GB_N15G3f_spec04"/>
    <n v="0"/>
    <n v="0"/>
    <n v="0"/>
    <n v="0"/>
    <n v="0"/>
    <n v="0"/>
    <n v="1"/>
    <n v="1"/>
    <x v="1"/>
    <s v="spec04"/>
    <x v="3"/>
    <s v="N15G3f"/>
    <x v="2"/>
  </r>
  <r>
    <s v="Dp_GB_N15G3f_spec07"/>
    <n v="0"/>
    <n v="0"/>
    <n v="0"/>
    <n v="0"/>
    <n v="0"/>
    <n v="0"/>
    <n v="0"/>
    <n v="0"/>
    <x v="1"/>
    <s v="spec07"/>
    <x v="3"/>
    <s v="N15G3f"/>
    <x v="3"/>
  </r>
  <r>
    <s v="Dp_GB_N15G3f_spec08"/>
    <n v="0"/>
    <n v="0"/>
    <n v="0"/>
    <n v="0"/>
    <n v="0"/>
    <n v="0"/>
    <n v="0"/>
    <n v="0"/>
    <x v="1"/>
    <s v="spec08"/>
    <x v="3"/>
    <s v="N15G3f"/>
    <x v="4"/>
  </r>
  <r>
    <s v="Dp_GB_N15G3f_spec09"/>
    <n v="0"/>
    <n v="0"/>
    <n v="0"/>
    <n v="0"/>
    <n v="0"/>
    <n v="0"/>
    <n v="0"/>
    <n v="0"/>
    <x v="1"/>
    <s v="spec09"/>
    <x v="3"/>
    <s v="N15G3f"/>
    <x v="5"/>
  </r>
  <r>
    <s v="Dp_GB_N15G3f_spec10"/>
    <n v="0"/>
    <n v="0"/>
    <n v="0"/>
    <n v="0"/>
    <n v="0"/>
    <n v="0"/>
    <n v="0"/>
    <n v="0"/>
    <x v="1"/>
    <s v="spec10"/>
    <x v="3"/>
    <s v="N15G3f"/>
    <x v="6"/>
  </r>
  <r>
    <s v="Dp_GB_N15G3f_spec03"/>
    <n v="0"/>
    <n v="0"/>
    <n v="0"/>
    <n v="0"/>
    <n v="0"/>
    <n v="0"/>
    <n v="0"/>
    <n v="0"/>
    <x v="1"/>
    <s v="spec03"/>
    <x v="3"/>
    <s v="N15G3f"/>
    <x v="7"/>
  </r>
  <r>
    <s v="Dp_GB_N15G3f_spec18"/>
    <n v="0"/>
    <n v="0"/>
    <n v="0"/>
    <n v="0"/>
    <n v="0"/>
    <n v="0"/>
    <n v="0"/>
    <n v="0"/>
    <x v="1"/>
    <s v="spec18"/>
    <x v="3"/>
    <s v="N15G3f"/>
    <x v="8"/>
  </r>
  <r>
    <s v="Dp_US_N15G3f_spec02"/>
    <n v="0"/>
    <n v="0"/>
    <n v="0"/>
    <n v="0"/>
    <n v="0"/>
    <n v="0"/>
    <n v="0"/>
    <n v="0"/>
    <x v="1"/>
    <s v="spec02"/>
    <x v="4"/>
    <s v="N15G3f"/>
    <x v="0"/>
  </r>
  <r>
    <s v="Dp_US_N15G3f_spec01"/>
    <n v="0"/>
    <n v="0"/>
    <n v="0"/>
    <n v="0"/>
    <n v="0"/>
    <n v="0"/>
    <n v="0"/>
    <n v="0"/>
    <x v="1"/>
    <s v="spec01"/>
    <x v="4"/>
    <s v="N15G3f"/>
    <x v="1"/>
  </r>
  <r>
    <s v="Dp_US_N15G3f_spec04"/>
    <n v="0"/>
    <n v="0"/>
    <n v="0"/>
    <n v="0"/>
    <n v="0"/>
    <n v="0"/>
    <n v="0"/>
    <n v="0"/>
    <x v="1"/>
    <s v="spec04"/>
    <x v="4"/>
    <s v="N15G3f"/>
    <x v="2"/>
  </r>
  <r>
    <s v="Dp_US_N15G3f_spec07"/>
    <n v="0"/>
    <n v="0"/>
    <n v="0"/>
    <n v="0"/>
    <n v="0"/>
    <n v="0"/>
    <n v="0"/>
    <n v="0"/>
    <x v="1"/>
    <s v="spec07"/>
    <x v="4"/>
    <s v="N15G3f"/>
    <x v="3"/>
  </r>
  <r>
    <s v="Dp_US_N15G3f_spec08"/>
    <n v="0"/>
    <n v="0"/>
    <n v="0"/>
    <n v="0"/>
    <n v="0"/>
    <n v="0"/>
    <n v="0"/>
    <n v="0"/>
    <x v="1"/>
    <s v="spec08"/>
    <x v="4"/>
    <s v="N15G3f"/>
    <x v="4"/>
  </r>
  <r>
    <s v="Dp_US_N15G3f_spec09"/>
    <n v="0"/>
    <n v="0"/>
    <n v="0"/>
    <n v="0"/>
    <n v="0"/>
    <n v="0"/>
    <n v="0"/>
    <n v="0"/>
    <x v="1"/>
    <s v="spec09"/>
    <x v="4"/>
    <s v="N15G3f"/>
    <x v="5"/>
  </r>
  <r>
    <s v="Dp_US_N15G3f_spec10"/>
    <n v="0"/>
    <n v="0"/>
    <n v="0"/>
    <n v="0"/>
    <n v="0"/>
    <n v="0"/>
    <n v="0"/>
    <n v="0"/>
    <x v="1"/>
    <s v="spec10"/>
    <x v="4"/>
    <s v="N15G3f"/>
    <x v="6"/>
  </r>
  <r>
    <s v="Dp_US_N15G3f_spec03"/>
    <n v="0"/>
    <n v="0"/>
    <n v="0"/>
    <n v="0"/>
    <n v="0"/>
    <n v="0"/>
    <n v="0"/>
    <n v="0"/>
    <x v="1"/>
    <s v="spec03"/>
    <x v="4"/>
    <s v="N15G3f"/>
    <x v="7"/>
  </r>
  <r>
    <s v="Dp_US_N15G3f_spec18"/>
    <n v="0"/>
    <n v="0"/>
    <n v="0"/>
    <n v="0"/>
    <n v="0"/>
    <n v="0"/>
    <n v="0"/>
    <n v="0"/>
    <x v="1"/>
    <s v="spec18"/>
    <x v="4"/>
    <s v="N15G3f"/>
    <x v="8"/>
  </r>
  <r>
    <s v="Dp_CA_N15G3f_spec02"/>
    <n v="0"/>
    <n v="0"/>
    <n v="0"/>
    <n v="0"/>
    <n v="0"/>
    <n v="0"/>
    <n v="0"/>
    <n v="0"/>
    <x v="1"/>
    <s v="spec02"/>
    <x v="5"/>
    <s v="N15G3f"/>
    <x v="0"/>
  </r>
  <r>
    <s v="Dp_CA_N15G3f_spec01"/>
    <n v="0"/>
    <n v="0"/>
    <n v="0"/>
    <n v="0"/>
    <n v="0"/>
    <n v="0"/>
    <n v="0"/>
    <n v="0"/>
    <x v="1"/>
    <s v="spec01"/>
    <x v="5"/>
    <s v="N15G3f"/>
    <x v="1"/>
  </r>
  <r>
    <s v="Dp_CA_N15G3f_spec04"/>
    <n v="0"/>
    <n v="0"/>
    <n v="0"/>
    <n v="0"/>
    <n v="0"/>
    <n v="0"/>
    <n v="0"/>
    <n v="0"/>
    <x v="1"/>
    <s v="spec04"/>
    <x v="5"/>
    <s v="N15G3f"/>
    <x v="2"/>
  </r>
  <r>
    <s v="Dp_CA_N15G3f_spec07"/>
    <n v="0"/>
    <n v="0"/>
    <n v="0"/>
    <n v="0"/>
    <n v="0"/>
    <n v="0"/>
    <n v="0"/>
    <n v="0"/>
    <x v="1"/>
    <s v="spec07"/>
    <x v="5"/>
    <s v="N15G3f"/>
    <x v="3"/>
  </r>
  <r>
    <s v="Dp_CA_N15G3f_spec08"/>
    <n v="0"/>
    <n v="1"/>
    <n v="0"/>
    <n v="0"/>
    <n v="0"/>
    <n v="0"/>
    <n v="0"/>
    <n v="0"/>
    <x v="1"/>
    <s v="spec08"/>
    <x v="5"/>
    <s v="N15G3f"/>
    <x v="4"/>
  </r>
  <r>
    <s v="Dp_CA_N15G3f_spec09"/>
    <n v="0"/>
    <n v="1"/>
    <n v="1"/>
    <n v="0"/>
    <n v="0"/>
    <n v="1"/>
    <n v="1"/>
    <n v="1"/>
    <x v="1"/>
    <s v="spec09"/>
    <x v="5"/>
    <s v="N15G3f"/>
    <x v="5"/>
  </r>
  <r>
    <s v="Dp_CA_N15G3f_spec10"/>
    <n v="0"/>
    <n v="0"/>
    <n v="0"/>
    <n v="0"/>
    <n v="0"/>
    <n v="0"/>
    <n v="0"/>
    <n v="0"/>
    <x v="1"/>
    <s v="spec10"/>
    <x v="5"/>
    <s v="N15G3f"/>
    <x v="6"/>
  </r>
  <r>
    <s v="Dp_CA_N15G3f_spec03"/>
    <n v="0"/>
    <n v="0"/>
    <n v="0"/>
    <n v="0"/>
    <n v="0"/>
    <n v="0"/>
    <n v="0"/>
    <n v="0"/>
    <x v="1"/>
    <s v="spec03"/>
    <x v="5"/>
    <s v="N15G3f"/>
    <x v="7"/>
  </r>
  <r>
    <s v="Dp_CA_N15G3f_spec18"/>
    <n v="0"/>
    <n v="0"/>
    <n v="0"/>
    <n v="0"/>
    <n v="0"/>
    <n v="0"/>
    <n v="0"/>
    <n v="0"/>
    <x v="1"/>
    <s v="spec18"/>
    <x v="5"/>
    <s v="N15G3f"/>
    <x v="8"/>
  </r>
  <r>
    <s v="Dp_AG_N15G3f_spec02"/>
    <n v="0"/>
    <n v="0"/>
    <n v="0"/>
    <n v="0"/>
    <n v="0"/>
    <n v="0"/>
    <n v="0"/>
    <n v="0"/>
    <x v="1"/>
    <s v="spec02"/>
    <x v="6"/>
    <s v="N15G3f"/>
    <x v="0"/>
  </r>
  <r>
    <s v="Dp_AG_N15G3f_spec01"/>
    <n v="1"/>
    <n v="0"/>
    <n v="0"/>
    <n v="0"/>
    <n v="0"/>
    <n v="0"/>
    <n v="0"/>
    <n v="0"/>
    <x v="1"/>
    <s v="spec01"/>
    <x v="6"/>
    <s v="N15G3f"/>
    <x v="1"/>
  </r>
  <r>
    <s v="Dp_AG_N15G3f_spec04"/>
    <n v="1"/>
    <n v="1"/>
    <n v="1"/>
    <n v="1"/>
    <n v="1"/>
    <n v="0"/>
    <n v="0"/>
    <n v="0"/>
    <x v="1"/>
    <s v="spec04"/>
    <x v="6"/>
    <s v="N15G3f"/>
    <x v="2"/>
  </r>
  <r>
    <s v="Dp_AG_N15G3f_spec07"/>
    <n v="0"/>
    <n v="0"/>
    <n v="0"/>
    <n v="0"/>
    <n v="0"/>
    <n v="0"/>
    <n v="0"/>
    <n v="0"/>
    <x v="1"/>
    <s v="spec07"/>
    <x v="6"/>
    <s v="N15G3f"/>
    <x v="3"/>
  </r>
  <r>
    <s v="Dp_AG_N15G3f_spec08"/>
    <n v="0"/>
    <n v="0"/>
    <n v="0"/>
    <n v="0"/>
    <n v="0"/>
    <n v="0"/>
    <n v="0"/>
    <n v="0"/>
    <x v="1"/>
    <s v="spec08"/>
    <x v="6"/>
    <s v="N15G3f"/>
    <x v="4"/>
  </r>
  <r>
    <s v="Dp_AG_N15G3f_spec09"/>
    <n v="0"/>
    <n v="0"/>
    <n v="0"/>
    <n v="0"/>
    <n v="0"/>
    <n v="0"/>
    <n v="0"/>
    <n v="0"/>
    <x v="1"/>
    <s v="spec09"/>
    <x v="6"/>
    <s v="N15G3f"/>
    <x v="5"/>
  </r>
  <r>
    <s v="Dp_AG_N15G3f_spec10"/>
    <n v="0"/>
    <n v="0"/>
    <n v="0"/>
    <n v="0"/>
    <n v="0"/>
    <n v="0"/>
    <n v="0"/>
    <n v="0"/>
    <x v="1"/>
    <s v="spec10"/>
    <x v="6"/>
    <s v="N15G3f"/>
    <x v="6"/>
  </r>
  <r>
    <s v="Dp_AG_N15G3f_spec03"/>
    <n v="0"/>
    <n v="1"/>
    <n v="1"/>
    <n v="1"/>
    <n v="0"/>
    <n v="0"/>
    <n v="0"/>
    <n v="0"/>
    <x v="1"/>
    <s v="spec03"/>
    <x v="6"/>
    <s v="N15G3f"/>
    <x v="7"/>
  </r>
  <r>
    <s v="Dp_AG_N15G3f_spec18"/>
    <n v="1"/>
    <n v="1"/>
    <n v="1"/>
    <n v="1"/>
    <n v="1"/>
    <n v="1"/>
    <n v="1"/>
    <n v="1"/>
    <x v="1"/>
    <s v="spec18"/>
    <x v="6"/>
    <s v="N15G3f"/>
    <x v="8"/>
  </r>
  <r>
    <s v="Dp_BR_N15G3f_spec02"/>
    <n v="0"/>
    <n v="0"/>
    <n v="0"/>
    <n v="0"/>
    <n v="0"/>
    <n v="0"/>
    <n v="0"/>
    <n v="0"/>
    <x v="1"/>
    <s v="spec02"/>
    <x v="7"/>
    <s v="N15G3f"/>
    <x v="0"/>
  </r>
  <r>
    <s v="Dp_BR_N15G3f_spec01"/>
    <n v="1"/>
    <n v="1"/>
    <n v="0"/>
    <n v="0"/>
    <n v="0"/>
    <n v="0"/>
    <n v="0"/>
    <n v="0"/>
    <x v="1"/>
    <s v="spec01"/>
    <x v="7"/>
    <s v="N15G3f"/>
    <x v="1"/>
  </r>
  <r>
    <s v="Dp_BR_N15G3f_spec04"/>
    <n v="0"/>
    <n v="0"/>
    <n v="0"/>
    <n v="0"/>
    <n v="0"/>
    <n v="0"/>
    <n v="0"/>
    <n v="0"/>
    <x v="1"/>
    <s v="spec04"/>
    <x v="7"/>
    <s v="N15G3f"/>
    <x v="2"/>
  </r>
  <r>
    <s v="Dp_BR_N15G3f_spec07"/>
    <n v="0"/>
    <n v="0"/>
    <n v="0"/>
    <n v="0"/>
    <n v="0"/>
    <n v="0"/>
    <n v="0"/>
    <n v="0"/>
    <x v="1"/>
    <s v="spec07"/>
    <x v="7"/>
    <s v="N15G3f"/>
    <x v="3"/>
  </r>
  <r>
    <s v="Dp_BR_N15G3f_spec08"/>
    <n v="0"/>
    <n v="0"/>
    <n v="0"/>
    <n v="0"/>
    <n v="0"/>
    <n v="1"/>
    <n v="1"/>
    <n v="1"/>
    <x v="1"/>
    <s v="spec08"/>
    <x v="7"/>
    <s v="N15G3f"/>
    <x v="4"/>
  </r>
  <r>
    <s v="Dp_BR_N15G3f_spec09"/>
    <n v="0"/>
    <n v="0"/>
    <n v="0"/>
    <n v="0"/>
    <n v="0"/>
    <n v="0"/>
    <n v="0"/>
    <n v="0"/>
    <x v="1"/>
    <s v="spec09"/>
    <x v="7"/>
    <s v="N15G3f"/>
    <x v="5"/>
  </r>
  <r>
    <s v="Dp_BR_N15G3f_spec10"/>
    <n v="0"/>
    <n v="0"/>
    <n v="0"/>
    <n v="0"/>
    <n v="0"/>
    <n v="0"/>
    <n v="0"/>
    <n v="0"/>
    <x v="1"/>
    <s v="spec10"/>
    <x v="7"/>
    <s v="N15G3f"/>
    <x v="6"/>
  </r>
  <r>
    <s v="Dp_BR_N15G3f_spec03"/>
    <n v="1"/>
    <n v="1"/>
    <n v="1"/>
    <n v="1"/>
    <n v="1"/>
    <n v="1"/>
    <n v="1"/>
    <n v="1"/>
    <x v="1"/>
    <s v="spec03"/>
    <x v="7"/>
    <s v="N15G3f"/>
    <x v="7"/>
  </r>
  <r>
    <s v="Dp_BR_N15G3f_spec18"/>
    <n v="1"/>
    <n v="1"/>
    <n v="1"/>
    <n v="1"/>
    <n v="1"/>
    <n v="1"/>
    <n v="1"/>
    <n v="1"/>
    <x v="1"/>
    <s v="spec18"/>
    <x v="7"/>
    <s v="N15G3f"/>
    <x v="8"/>
  </r>
  <r>
    <s v="Dp_MX_N15G3f_spec02"/>
    <n v="0"/>
    <n v="0"/>
    <n v="0"/>
    <n v="0"/>
    <n v="0"/>
    <n v="0"/>
    <n v="0"/>
    <n v="0"/>
    <x v="1"/>
    <s v="spec02"/>
    <x v="8"/>
    <s v="N15G3f"/>
    <x v="0"/>
  </r>
  <r>
    <s v="Dp_MX_N15G3f_spec01"/>
    <n v="1"/>
    <n v="1"/>
    <n v="1"/>
    <n v="1"/>
    <n v="1"/>
    <n v="1"/>
    <n v="1"/>
    <n v="1"/>
    <x v="1"/>
    <s v="spec01"/>
    <x v="8"/>
    <s v="N15G3f"/>
    <x v="1"/>
  </r>
  <r>
    <s v="Dp_MX_N15G3f_spec04"/>
    <n v="1"/>
    <n v="1"/>
    <n v="1"/>
    <n v="1"/>
    <n v="1"/>
    <n v="1"/>
    <n v="1"/>
    <n v="1"/>
    <x v="1"/>
    <s v="spec04"/>
    <x v="8"/>
    <s v="N15G3f"/>
    <x v="2"/>
  </r>
  <r>
    <s v="Dp_MX_N15G3f_spec07"/>
    <n v="0"/>
    <n v="0"/>
    <n v="0"/>
    <n v="0"/>
    <n v="0"/>
    <n v="0"/>
    <n v="0"/>
    <n v="0"/>
    <x v="1"/>
    <s v="spec07"/>
    <x v="8"/>
    <s v="N15G3f"/>
    <x v="3"/>
  </r>
  <r>
    <s v="Dp_MX_N15G3f_spec08"/>
    <n v="0"/>
    <n v="0"/>
    <n v="0"/>
    <n v="0"/>
    <n v="0"/>
    <n v="0"/>
    <n v="0"/>
    <n v="0"/>
    <x v="1"/>
    <s v="spec08"/>
    <x v="8"/>
    <s v="N15G3f"/>
    <x v="4"/>
  </r>
  <r>
    <s v="Dp_MX_N15G3f_spec09"/>
    <n v="0"/>
    <n v="0"/>
    <n v="0"/>
    <n v="0"/>
    <n v="0"/>
    <n v="1"/>
    <n v="1"/>
    <n v="1"/>
    <x v="1"/>
    <s v="spec09"/>
    <x v="8"/>
    <s v="N15G3f"/>
    <x v="5"/>
  </r>
  <r>
    <s v="Dp_MX_N15G3f_spec10"/>
    <n v="0"/>
    <n v="0"/>
    <n v="0"/>
    <n v="0"/>
    <n v="0"/>
    <n v="0"/>
    <n v="0"/>
    <n v="0"/>
    <x v="1"/>
    <s v="spec10"/>
    <x v="8"/>
    <s v="N15G3f"/>
    <x v="6"/>
  </r>
  <r>
    <s v="Dp_MX_N15G3f_spec03"/>
    <n v="1"/>
    <n v="1"/>
    <n v="1"/>
    <n v="1"/>
    <n v="1"/>
    <n v="1"/>
    <n v="1"/>
    <n v="1"/>
    <x v="1"/>
    <s v="spec03"/>
    <x v="8"/>
    <s v="N15G3f"/>
    <x v="7"/>
  </r>
  <r>
    <s v="Dp_MX_N15G3f_spec18"/>
    <n v="1"/>
    <n v="1"/>
    <n v="1"/>
    <n v="1"/>
    <n v="1"/>
    <n v="1"/>
    <n v="1"/>
    <n v="1"/>
    <x v="1"/>
    <s v="spec18"/>
    <x v="8"/>
    <s v="N15G3f"/>
    <x v="8"/>
  </r>
  <r>
    <s v="Dp_CN_N15G3f_spec02"/>
    <n v="0"/>
    <n v="0"/>
    <n v="0"/>
    <n v="0"/>
    <n v="0"/>
    <n v="0"/>
    <n v="0"/>
    <n v="0"/>
    <x v="1"/>
    <s v="spec02"/>
    <x v="9"/>
    <s v="N15G3f"/>
    <x v="0"/>
  </r>
  <r>
    <s v="Dp_CN_N15G3f_spec01"/>
    <n v="0"/>
    <n v="0"/>
    <n v="0"/>
    <n v="0"/>
    <n v="0"/>
    <n v="0"/>
    <n v="0"/>
    <n v="0"/>
    <x v="1"/>
    <s v="spec01"/>
    <x v="9"/>
    <s v="N15G3f"/>
    <x v="1"/>
  </r>
  <r>
    <s v="Dp_CN_N15G3f_spec04"/>
    <n v="0"/>
    <n v="0"/>
    <n v="0"/>
    <n v="0"/>
    <n v="0"/>
    <n v="0"/>
    <n v="0"/>
    <n v="0"/>
    <x v="1"/>
    <s v="spec04"/>
    <x v="9"/>
    <s v="N15G3f"/>
    <x v="2"/>
  </r>
  <r>
    <s v="Dp_CN_N15G3f_spec07"/>
    <n v="0"/>
    <n v="0"/>
    <n v="0"/>
    <n v="0"/>
    <n v="0"/>
    <n v="0"/>
    <n v="0"/>
    <n v="0"/>
    <x v="1"/>
    <s v="spec07"/>
    <x v="9"/>
    <s v="N15G3f"/>
    <x v="3"/>
  </r>
  <r>
    <s v="Dp_CN_N15G3f_spec08"/>
    <n v="0"/>
    <n v="0"/>
    <n v="0"/>
    <n v="0"/>
    <n v="0"/>
    <n v="0"/>
    <n v="1"/>
    <n v="1"/>
    <x v="1"/>
    <s v="spec08"/>
    <x v="9"/>
    <s v="N15G3f"/>
    <x v="4"/>
  </r>
  <r>
    <s v="Dp_CN_N15G3f_spec09"/>
    <n v="0"/>
    <n v="0"/>
    <n v="0"/>
    <n v="0"/>
    <n v="0"/>
    <n v="0"/>
    <n v="0"/>
    <n v="0"/>
    <x v="1"/>
    <s v="spec09"/>
    <x v="9"/>
    <s v="N15G3f"/>
    <x v="5"/>
  </r>
  <r>
    <s v="Dp_CN_N15G3f_spec10"/>
    <n v="0"/>
    <n v="0"/>
    <n v="0"/>
    <n v="0"/>
    <n v="0"/>
    <n v="0"/>
    <n v="0"/>
    <n v="0"/>
    <x v="1"/>
    <s v="spec10"/>
    <x v="9"/>
    <s v="N15G3f"/>
    <x v="6"/>
  </r>
  <r>
    <s v="Dp_CN_N15G3f_spec03"/>
    <n v="0"/>
    <n v="0"/>
    <n v="0"/>
    <n v="0"/>
    <n v="0"/>
    <n v="0"/>
    <n v="0"/>
    <n v="0"/>
    <x v="1"/>
    <s v="spec03"/>
    <x v="9"/>
    <s v="N15G3f"/>
    <x v="7"/>
  </r>
  <r>
    <s v="Dp_CN_N15G3f_spec18"/>
    <n v="0"/>
    <n v="0"/>
    <n v="0"/>
    <n v="0"/>
    <n v="0"/>
    <n v="0"/>
    <n v="0"/>
    <n v="0"/>
    <x v="1"/>
    <s v="spec18"/>
    <x v="9"/>
    <s v="N15G3f"/>
    <x v="8"/>
  </r>
  <r>
    <s v="Dp_JP_N15G3f_spec02"/>
    <n v="0"/>
    <n v="0"/>
    <n v="0"/>
    <n v="0"/>
    <n v="0"/>
    <n v="0"/>
    <n v="0"/>
    <n v="0"/>
    <x v="1"/>
    <s v="spec02"/>
    <x v="10"/>
    <s v="N15G3f"/>
    <x v="0"/>
  </r>
  <r>
    <s v="Dp_JP_N15G3f_spec01"/>
    <n v="0"/>
    <n v="0"/>
    <n v="0"/>
    <n v="0"/>
    <n v="0"/>
    <n v="0"/>
    <n v="0"/>
    <n v="0"/>
    <x v="1"/>
    <s v="spec01"/>
    <x v="10"/>
    <s v="N15G3f"/>
    <x v="1"/>
  </r>
  <r>
    <s v="Dp_JP_N15G3f_spec04"/>
    <n v="0"/>
    <n v="0"/>
    <n v="0"/>
    <n v="0"/>
    <n v="1"/>
    <n v="1"/>
    <n v="1"/>
    <n v="1"/>
    <x v="1"/>
    <s v="spec04"/>
    <x v="10"/>
    <s v="N15G3f"/>
    <x v="2"/>
  </r>
  <r>
    <s v="Dp_JP_N15G3f_spec07"/>
    <n v="0"/>
    <n v="0"/>
    <n v="0"/>
    <n v="0"/>
    <n v="0"/>
    <n v="0"/>
    <n v="0"/>
    <n v="0"/>
    <x v="1"/>
    <s v="spec07"/>
    <x v="10"/>
    <s v="N15G3f"/>
    <x v="3"/>
  </r>
  <r>
    <s v="Dp_JP_N15G3f_spec08"/>
    <n v="0"/>
    <n v="0"/>
    <n v="0"/>
    <n v="0"/>
    <n v="0"/>
    <n v="0"/>
    <n v="1"/>
    <n v="0"/>
    <x v="1"/>
    <s v="spec08"/>
    <x v="10"/>
    <s v="N15G3f"/>
    <x v="4"/>
  </r>
  <r>
    <s v="Dp_JP_N15G3f_spec09"/>
    <n v="0"/>
    <n v="0"/>
    <n v="0"/>
    <n v="0"/>
    <n v="0"/>
    <n v="0"/>
    <n v="1"/>
    <n v="0"/>
    <x v="1"/>
    <s v="spec09"/>
    <x v="10"/>
    <s v="N15G3f"/>
    <x v="5"/>
  </r>
  <r>
    <s v="Dp_JP_N15G3f_spec10"/>
    <n v="0"/>
    <n v="0"/>
    <n v="0"/>
    <n v="0"/>
    <n v="0"/>
    <n v="0"/>
    <n v="0"/>
    <n v="0"/>
    <x v="1"/>
    <s v="spec10"/>
    <x v="10"/>
    <s v="N15G3f"/>
    <x v="6"/>
  </r>
  <r>
    <s v="Dp_JP_N15G3f_spec03"/>
    <n v="0"/>
    <n v="0"/>
    <n v="0"/>
    <n v="0"/>
    <n v="0"/>
    <n v="0"/>
    <n v="0"/>
    <n v="0"/>
    <x v="1"/>
    <s v="spec03"/>
    <x v="10"/>
    <s v="N15G3f"/>
    <x v="7"/>
  </r>
  <r>
    <s v="Dp_JP_N15G3f_spec18"/>
    <n v="0"/>
    <n v="0"/>
    <n v="0"/>
    <n v="0"/>
    <n v="0"/>
    <n v="0"/>
    <n v="0"/>
    <n v="0"/>
    <x v="1"/>
    <s v="spec18"/>
    <x v="10"/>
    <s v="N15G3f"/>
    <x v="8"/>
  </r>
  <r>
    <s v="Dp_AU_N15G3f_spec02"/>
    <n v="0"/>
    <n v="0"/>
    <n v="0"/>
    <n v="0"/>
    <n v="0"/>
    <n v="0"/>
    <n v="0"/>
    <n v="0"/>
    <x v="1"/>
    <s v="spec02"/>
    <x v="11"/>
    <s v="N15G3f"/>
    <x v="0"/>
  </r>
  <r>
    <s v="Dp_AU_N15G3f_spec01"/>
    <n v="0"/>
    <n v="0"/>
    <n v="0"/>
    <n v="0"/>
    <n v="0"/>
    <n v="0"/>
    <n v="0"/>
    <n v="0"/>
    <x v="1"/>
    <s v="spec01"/>
    <x v="11"/>
    <s v="N15G3f"/>
    <x v="1"/>
  </r>
  <r>
    <s v="Dp_AU_N15G3f_spec04"/>
    <n v="1"/>
    <n v="1"/>
    <n v="0"/>
    <n v="0"/>
    <n v="1"/>
    <n v="1"/>
    <n v="1"/>
    <n v="1"/>
    <x v="1"/>
    <s v="spec04"/>
    <x v="11"/>
    <s v="N15G3f"/>
    <x v="2"/>
  </r>
  <r>
    <s v="Dp_AU_N15G3f_spec07"/>
    <n v="0"/>
    <n v="0"/>
    <n v="0"/>
    <n v="0"/>
    <n v="0"/>
    <n v="0"/>
    <n v="0"/>
    <n v="0"/>
    <x v="1"/>
    <s v="spec07"/>
    <x v="11"/>
    <s v="N15G3f"/>
    <x v="3"/>
  </r>
  <r>
    <s v="Dp_AU_N15G3f_spec08"/>
    <n v="1"/>
    <n v="0"/>
    <n v="0"/>
    <n v="0"/>
    <n v="0"/>
    <n v="0"/>
    <n v="0"/>
    <n v="0"/>
    <x v="1"/>
    <s v="spec08"/>
    <x v="11"/>
    <s v="N15G3f"/>
    <x v="4"/>
  </r>
  <r>
    <s v="Dp_AU_N15G3f_spec09"/>
    <n v="0"/>
    <n v="0"/>
    <n v="0"/>
    <n v="0"/>
    <n v="0"/>
    <n v="0"/>
    <n v="0"/>
    <n v="0"/>
    <x v="1"/>
    <s v="spec09"/>
    <x v="11"/>
    <s v="N15G3f"/>
    <x v="5"/>
  </r>
  <r>
    <s v="Dp_AU_N15G3f_spec10"/>
    <n v="0"/>
    <n v="0"/>
    <n v="0"/>
    <n v="0"/>
    <n v="0"/>
    <n v="0"/>
    <n v="0"/>
    <n v="0"/>
    <x v="1"/>
    <s v="spec10"/>
    <x v="11"/>
    <s v="N15G3f"/>
    <x v="6"/>
  </r>
  <r>
    <s v="Dp_AU_N15G3f_spec03"/>
    <n v="0"/>
    <n v="0"/>
    <n v="0"/>
    <n v="0"/>
    <n v="0"/>
    <n v="0"/>
    <n v="0"/>
    <n v="0"/>
    <x v="1"/>
    <s v="spec03"/>
    <x v="11"/>
    <s v="N15G3f"/>
    <x v="7"/>
  </r>
  <r>
    <s v="Dp_AU_N15G3f_spec18"/>
    <n v="0"/>
    <n v="0"/>
    <n v="0"/>
    <n v="0"/>
    <n v="0"/>
    <n v="0"/>
    <n v="0"/>
    <n v="0"/>
    <x v="1"/>
    <s v="spec18"/>
    <x v="11"/>
    <s v="N15G3f"/>
    <x v="8"/>
  </r>
  <r>
    <s v="Dp_AT_N15G3f_spec02"/>
    <n v="0"/>
    <n v="0"/>
    <n v="0"/>
    <n v="0"/>
    <n v="0"/>
    <n v="0"/>
    <n v="0"/>
    <n v="0"/>
    <x v="1"/>
    <s v="spec02"/>
    <x v="12"/>
    <s v="N15G3f"/>
    <x v="0"/>
  </r>
  <r>
    <s v="Dp_AT_N15G3f_spec01"/>
    <n v="1"/>
    <n v="0"/>
    <n v="0"/>
    <n v="0"/>
    <n v="0"/>
    <n v="0"/>
    <n v="0"/>
    <n v="0"/>
    <x v="1"/>
    <s v="spec01"/>
    <x v="12"/>
    <s v="N15G3f"/>
    <x v="1"/>
  </r>
  <r>
    <s v="Dp_AT_N15G3f_spec04"/>
    <n v="0"/>
    <n v="0"/>
    <n v="0"/>
    <n v="0"/>
    <n v="0"/>
    <n v="0"/>
    <n v="0"/>
    <n v="0"/>
    <x v="1"/>
    <s v="spec04"/>
    <x v="12"/>
    <s v="N15G3f"/>
    <x v="2"/>
  </r>
  <r>
    <s v="Dp_AT_N15G3f_spec07"/>
    <n v="0"/>
    <n v="0"/>
    <n v="0"/>
    <n v="0"/>
    <n v="0"/>
    <n v="0"/>
    <n v="0"/>
    <n v="0"/>
    <x v="1"/>
    <s v="spec07"/>
    <x v="12"/>
    <s v="N15G3f"/>
    <x v="3"/>
  </r>
  <r>
    <s v="Dp_AT_N15G3f_spec08"/>
    <n v="0"/>
    <n v="0"/>
    <n v="0"/>
    <n v="0"/>
    <n v="0"/>
    <n v="0"/>
    <n v="0"/>
    <n v="0"/>
    <x v="1"/>
    <s v="spec08"/>
    <x v="12"/>
    <s v="N15G3f"/>
    <x v="4"/>
  </r>
  <r>
    <s v="Dp_AT_N15G3f_spec09"/>
    <n v="0"/>
    <n v="0"/>
    <n v="0"/>
    <n v="0"/>
    <n v="0"/>
    <n v="1"/>
    <n v="1"/>
    <n v="0"/>
    <x v="1"/>
    <s v="spec09"/>
    <x v="12"/>
    <s v="N15G3f"/>
    <x v="5"/>
  </r>
  <r>
    <s v="Dp_AT_N15G3f_spec10"/>
    <n v="0"/>
    <n v="0"/>
    <n v="0"/>
    <n v="0"/>
    <n v="0"/>
    <n v="0"/>
    <n v="0"/>
    <n v="0"/>
    <x v="1"/>
    <s v="spec10"/>
    <x v="12"/>
    <s v="N15G3f"/>
    <x v="6"/>
  </r>
  <r>
    <s v="Dp_AT_N15G3f_spec03"/>
    <n v="0"/>
    <n v="0"/>
    <n v="0"/>
    <n v="0"/>
    <n v="0"/>
    <n v="0"/>
    <n v="0"/>
    <n v="0"/>
    <x v="1"/>
    <s v="spec03"/>
    <x v="12"/>
    <s v="N15G3f"/>
    <x v="7"/>
  </r>
  <r>
    <s v="Dp_AT_N15G3f_spec18"/>
    <n v="0"/>
    <n v="0"/>
    <n v="0"/>
    <n v="0"/>
    <n v="0"/>
    <n v="0"/>
    <n v="0"/>
    <n v="0"/>
    <x v="1"/>
    <s v="spec18"/>
    <x v="12"/>
    <s v="N15G3f"/>
    <x v="8"/>
  </r>
  <r>
    <s v="Dp_IN_N15G3f_spec02"/>
    <n v="0"/>
    <n v="0"/>
    <n v="0"/>
    <n v="0"/>
    <n v="0"/>
    <n v="0"/>
    <n v="0"/>
    <n v="0"/>
    <x v="1"/>
    <s v="spec02"/>
    <x v="13"/>
    <s v="N15G3f"/>
    <x v="0"/>
  </r>
  <r>
    <s v="Dp_IN_N15G3f_spec01"/>
    <n v="1"/>
    <n v="1"/>
    <n v="1"/>
    <n v="1"/>
    <n v="1"/>
    <n v="1"/>
    <n v="0"/>
    <n v="0"/>
    <x v="1"/>
    <s v="spec01"/>
    <x v="13"/>
    <s v="N15G3f"/>
    <x v="1"/>
  </r>
  <r>
    <s v="Dp_IN_N15G3f_spec04"/>
    <n v="0"/>
    <n v="0"/>
    <n v="0"/>
    <n v="0"/>
    <n v="0"/>
    <n v="0"/>
    <n v="0"/>
    <n v="0"/>
    <x v="1"/>
    <s v="spec04"/>
    <x v="13"/>
    <s v="N15G3f"/>
    <x v="2"/>
  </r>
  <r>
    <s v="Dp_IN_N15G3f_spec07"/>
    <n v="0"/>
    <n v="0"/>
    <n v="1"/>
    <n v="1"/>
    <n v="1"/>
    <n v="1"/>
    <n v="0"/>
    <n v="0"/>
    <x v="1"/>
    <s v="spec07"/>
    <x v="13"/>
    <s v="N15G3f"/>
    <x v="3"/>
  </r>
  <r>
    <s v="Dp_IN_N15G3f_spec08"/>
    <n v="0"/>
    <n v="0"/>
    <n v="0"/>
    <n v="0"/>
    <n v="0"/>
    <n v="0"/>
    <n v="0"/>
    <n v="0"/>
    <x v="1"/>
    <s v="spec08"/>
    <x v="13"/>
    <s v="N15G3f"/>
    <x v="4"/>
  </r>
  <r>
    <s v="Dp_IN_N15G3f_spec09"/>
    <n v="0"/>
    <n v="0"/>
    <n v="0"/>
    <n v="0"/>
    <n v="0"/>
    <n v="0"/>
    <n v="0"/>
    <n v="0"/>
    <x v="1"/>
    <s v="spec09"/>
    <x v="13"/>
    <s v="N15G3f"/>
    <x v="5"/>
  </r>
  <r>
    <s v="Dp_IN_N15G3f_spec10"/>
    <n v="0"/>
    <n v="0"/>
    <n v="1"/>
    <n v="0"/>
    <n v="1"/>
    <n v="1"/>
    <n v="0"/>
    <n v="0"/>
    <x v="1"/>
    <s v="spec10"/>
    <x v="13"/>
    <s v="N15G3f"/>
    <x v="6"/>
  </r>
  <r>
    <s v="Dp_IN_N15G3f_spec03"/>
    <n v="0"/>
    <n v="0"/>
    <n v="0"/>
    <n v="0"/>
    <n v="0"/>
    <n v="0"/>
    <n v="0"/>
    <n v="0"/>
    <x v="1"/>
    <s v="spec03"/>
    <x v="13"/>
    <s v="N15G3f"/>
    <x v="7"/>
  </r>
  <r>
    <s v="Dp_IN_N15G3f_spec18"/>
    <n v="1"/>
    <n v="1"/>
    <n v="1"/>
    <n v="1"/>
    <n v="1"/>
    <n v="1"/>
    <n v="0"/>
    <n v="0"/>
    <x v="1"/>
    <s v="spec18"/>
    <x v="13"/>
    <s v="N15G3f"/>
    <x v="8"/>
  </r>
  <r>
    <s v="Dp_CH_N15G3f_spec02"/>
    <n v="0"/>
    <n v="0"/>
    <n v="0"/>
    <n v="0"/>
    <n v="0"/>
    <n v="0"/>
    <n v="0"/>
    <n v="0"/>
    <x v="1"/>
    <s v="spec02"/>
    <x v="14"/>
    <s v="N15G3f"/>
    <x v="0"/>
  </r>
  <r>
    <s v="Dp_CH_N15G3f_spec01"/>
    <n v="0"/>
    <n v="0"/>
    <n v="0"/>
    <n v="0"/>
    <n v="0"/>
    <n v="0"/>
    <n v="0"/>
    <n v="0"/>
    <x v="1"/>
    <s v="spec01"/>
    <x v="14"/>
    <s v="N15G3f"/>
    <x v="1"/>
  </r>
  <r>
    <s v="Dp_CH_N15G3f_spec04"/>
    <n v="0"/>
    <n v="0"/>
    <n v="0"/>
    <n v="0"/>
    <n v="0"/>
    <n v="0"/>
    <n v="0"/>
    <n v="0"/>
    <x v="1"/>
    <s v="spec04"/>
    <x v="14"/>
    <s v="N15G3f"/>
    <x v="2"/>
  </r>
  <r>
    <s v="Dp_CH_N15G3f_spec07"/>
    <n v="0"/>
    <n v="0"/>
    <n v="0"/>
    <n v="0"/>
    <n v="0"/>
    <n v="0"/>
    <n v="0"/>
    <n v="0"/>
    <x v="1"/>
    <s v="spec07"/>
    <x v="14"/>
    <s v="N15G3f"/>
    <x v="3"/>
  </r>
  <r>
    <s v="Dp_CH_N15G3f_spec08"/>
    <n v="0"/>
    <n v="0"/>
    <n v="0"/>
    <n v="0"/>
    <n v="0"/>
    <n v="0"/>
    <n v="0"/>
    <n v="1"/>
    <x v="1"/>
    <s v="spec08"/>
    <x v="14"/>
    <s v="N15G3f"/>
    <x v="4"/>
  </r>
  <r>
    <s v="Dp_CH_N15G3f_spec09"/>
    <n v="0"/>
    <n v="0"/>
    <n v="0"/>
    <n v="0"/>
    <n v="0"/>
    <n v="0"/>
    <n v="1"/>
    <n v="1"/>
    <x v="1"/>
    <s v="spec09"/>
    <x v="14"/>
    <s v="N15G3f"/>
    <x v="5"/>
  </r>
  <r>
    <s v="Dp_CH_N15G3f_spec10"/>
    <n v="0"/>
    <n v="0"/>
    <n v="0"/>
    <n v="0"/>
    <n v="0"/>
    <n v="0"/>
    <n v="0"/>
    <n v="0"/>
    <x v="1"/>
    <s v="spec10"/>
    <x v="14"/>
    <s v="N15G3f"/>
    <x v="6"/>
  </r>
  <r>
    <s v="Dp_CH_N15G3f_spec03"/>
    <n v="0"/>
    <n v="0"/>
    <n v="0"/>
    <n v="0"/>
    <n v="0"/>
    <n v="0"/>
    <n v="0"/>
    <n v="0"/>
    <x v="1"/>
    <s v="spec03"/>
    <x v="14"/>
    <s v="N15G3f"/>
    <x v="7"/>
  </r>
  <r>
    <s v="Dp_CH_N15G3f_spec18"/>
    <n v="0"/>
    <n v="0"/>
    <n v="0"/>
    <n v="0"/>
    <n v="0"/>
    <n v="0"/>
    <n v="0"/>
    <n v="0"/>
    <x v="1"/>
    <s v="spec18"/>
    <x v="14"/>
    <s v="N15G3f"/>
    <x v="8"/>
  </r>
  <r>
    <s v="r_DE_N15G3f_spec02"/>
    <n v="0"/>
    <n v="0"/>
    <n v="0"/>
    <n v="0"/>
    <n v="0"/>
    <n v="0"/>
    <n v="0"/>
    <n v="0"/>
    <x v="2"/>
    <s v="spec02"/>
    <x v="0"/>
    <s v="N15G3f"/>
    <x v="0"/>
  </r>
  <r>
    <s v="r_DE_N15G3f_spec01"/>
    <n v="0"/>
    <n v="0"/>
    <n v="0"/>
    <n v="0"/>
    <n v="0"/>
    <n v="0"/>
    <n v="0"/>
    <n v="0"/>
    <x v="2"/>
    <s v="spec01"/>
    <x v="0"/>
    <s v="N15G3f"/>
    <x v="1"/>
  </r>
  <r>
    <s v="r_DE_N15G3f_spec04"/>
    <n v="1"/>
    <n v="1"/>
    <n v="1"/>
    <n v="1"/>
    <n v="1"/>
    <n v="1"/>
    <n v="1"/>
    <n v="1"/>
    <x v="2"/>
    <s v="spec04"/>
    <x v="0"/>
    <s v="N15G3f"/>
    <x v="2"/>
  </r>
  <r>
    <s v="r_DE_N15G3f_spec07"/>
    <n v="0"/>
    <n v="0"/>
    <n v="0"/>
    <n v="0"/>
    <n v="0"/>
    <n v="0"/>
    <n v="0"/>
    <n v="0"/>
    <x v="2"/>
    <s v="spec07"/>
    <x v="0"/>
    <s v="N15G3f"/>
    <x v="3"/>
  </r>
  <r>
    <s v="r_DE_N15G3f_spec08"/>
    <n v="0"/>
    <n v="0"/>
    <n v="0"/>
    <n v="0"/>
    <n v="0"/>
    <n v="1"/>
    <n v="1"/>
    <n v="1"/>
    <x v="2"/>
    <s v="spec08"/>
    <x v="0"/>
    <s v="N15G3f"/>
    <x v="4"/>
  </r>
  <r>
    <s v="r_DE_N15G3f_spec09"/>
    <n v="0"/>
    <n v="0"/>
    <n v="0"/>
    <n v="0"/>
    <n v="0"/>
    <n v="0"/>
    <n v="1"/>
    <n v="1"/>
    <x v="2"/>
    <s v="spec09"/>
    <x v="0"/>
    <s v="N15G3f"/>
    <x v="5"/>
  </r>
  <r>
    <s v="r_DE_N15G3f_spec10"/>
    <n v="0"/>
    <n v="0"/>
    <n v="0"/>
    <n v="0"/>
    <n v="0"/>
    <n v="0"/>
    <n v="0"/>
    <n v="0"/>
    <x v="2"/>
    <s v="spec10"/>
    <x v="0"/>
    <s v="N15G3f"/>
    <x v="6"/>
  </r>
  <r>
    <s v="r_DE_N15G3f_spec03"/>
    <n v="0"/>
    <n v="1"/>
    <n v="1"/>
    <n v="1"/>
    <n v="1"/>
    <n v="1"/>
    <n v="1"/>
    <n v="1"/>
    <x v="2"/>
    <s v="spec03"/>
    <x v="0"/>
    <s v="N15G3f"/>
    <x v="7"/>
  </r>
  <r>
    <s v="r_DE_N15G3f_spec18"/>
    <n v="0"/>
    <n v="1"/>
    <n v="1"/>
    <n v="1"/>
    <n v="1"/>
    <n v="1"/>
    <n v="1"/>
    <n v="1"/>
    <x v="2"/>
    <s v="spec18"/>
    <x v="0"/>
    <s v="N15G3f"/>
    <x v="8"/>
  </r>
  <r>
    <s v="r_FR_N15G3f_spec02"/>
    <n v="0"/>
    <n v="0"/>
    <n v="0"/>
    <n v="0"/>
    <n v="0"/>
    <n v="0"/>
    <n v="0"/>
    <n v="0"/>
    <x v="2"/>
    <s v="spec02"/>
    <x v="1"/>
    <s v="N15G3f"/>
    <x v="0"/>
  </r>
  <r>
    <s v="r_FR_N15G3f_spec01"/>
    <n v="0"/>
    <n v="0"/>
    <n v="0"/>
    <n v="0"/>
    <n v="0"/>
    <n v="0"/>
    <n v="0"/>
    <n v="0"/>
    <x v="2"/>
    <s v="spec01"/>
    <x v="1"/>
    <s v="N15G3f"/>
    <x v="1"/>
  </r>
  <r>
    <s v="r_FR_N15G3f_spec04"/>
    <n v="0"/>
    <n v="0"/>
    <n v="0"/>
    <n v="0"/>
    <n v="0"/>
    <n v="0"/>
    <n v="0"/>
    <n v="0"/>
    <x v="2"/>
    <s v="spec04"/>
    <x v="1"/>
    <s v="N15G3f"/>
    <x v="2"/>
  </r>
  <r>
    <s v="r_FR_N15G3f_spec07"/>
    <n v="0"/>
    <n v="0"/>
    <n v="0"/>
    <n v="0"/>
    <n v="0"/>
    <n v="0"/>
    <n v="0"/>
    <n v="0"/>
    <x v="2"/>
    <s v="spec07"/>
    <x v="1"/>
    <s v="N15G3f"/>
    <x v="3"/>
  </r>
  <r>
    <s v="r_FR_N15G3f_spec08"/>
    <n v="0"/>
    <n v="0"/>
    <n v="0"/>
    <n v="0"/>
    <n v="0"/>
    <n v="0"/>
    <n v="0"/>
    <n v="0"/>
    <x v="2"/>
    <s v="spec08"/>
    <x v="1"/>
    <s v="N15G3f"/>
    <x v="4"/>
  </r>
  <r>
    <s v="r_FR_N15G3f_spec09"/>
    <n v="0"/>
    <n v="0"/>
    <n v="0"/>
    <n v="0"/>
    <n v="0"/>
    <n v="0"/>
    <n v="0"/>
    <n v="0"/>
    <x v="2"/>
    <s v="spec09"/>
    <x v="1"/>
    <s v="N15G3f"/>
    <x v="5"/>
  </r>
  <r>
    <s v="r_FR_N15G3f_spec10"/>
    <n v="0"/>
    <n v="0"/>
    <n v="0"/>
    <n v="0"/>
    <n v="0"/>
    <n v="0"/>
    <n v="0"/>
    <n v="0"/>
    <x v="2"/>
    <s v="spec10"/>
    <x v="1"/>
    <s v="N15G3f"/>
    <x v="6"/>
  </r>
  <r>
    <s v="r_FR_N15G3f_spec03"/>
    <n v="0"/>
    <n v="0"/>
    <n v="0"/>
    <n v="0"/>
    <n v="0"/>
    <n v="0"/>
    <n v="0"/>
    <n v="0"/>
    <x v="2"/>
    <s v="spec03"/>
    <x v="1"/>
    <s v="N15G3f"/>
    <x v="7"/>
  </r>
  <r>
    <s v="r_FR_N15G3f_spec18"/>
    <n v="0"/>
    <n v="0"/>
    <n v="0"/>
    <n v="0"/>
    <n v="0"/>
    <n v="1"/>
    <n v="1"/>
    <n v="1"/>
    <x v="2"/>
    <s v="spec18"/>
    <x v="1"/>
    <s v="N15G3f"/>
    <x v="8"/>
  </r>
  <r>
    <s v="r_IT_N15G3f_spec02"/>
    <n v="0"/>
    <n v="0"/>
    <n v="0"/>
    <n v="0"/>
    <n v="0"/>
    <n v="0"/>
    <n v="0"/>
    <n v="0"/>
    <x v="2"/>
    <s v="spec02"/>
    <x v="2"/>
    <s v="N15G3f"/>
    <x v="0"/>
  </r>
  <r>
    <s v="r_IT_N15G3f_spec01"/>
    <n v="0"/>
    <n v="1"/>
    <n v="1"/>
    <n v="1"/>
    <n v="1"/>
    <n v="1"/>
    <n v="1"/>
    <n v="1"/>
    <x v="2"/>
    <s v="spec01"/>
    <x v="2"/>
    <s v="N15G3f"/>
    <x v="1"/>
  </r>
  <r>
    <s v="r_IT_N15G3f_spec04"/>
    <n v="0"/>
    <n v="0"/>
    <n v="0"/>
    <n v="0"/>
    <n v="0"/>
    <n v="0"/>
    <n v="0"/>
    <n v="0"/>
    <x v="2"/>
    <s v="spec04"/>
    <x v="2"/>
    <s v="N15G3f"/>
    <x v="2"/>
  </r>
  <r>
    <s v="r_IT_N15G3f_spec07"/>
    <n v="0"/>
    <n v="0"/>
    <n v="0"/>
    <n v="0"/>
    <n v="0"/>
    <n v="0"/>
    <n v="0"/>
    <n v="0"/>
    <x v="2"/>
    <s v="spec07"/>
    <x v="2"/>
    <s v="N15G3f"/>
    <x v="3"/>
  </r>
  <r>
    <s v="r_IT_N15G3f_spec08"/>
    <n v="0"/>
    <n v="0"/>
    <n v="0"/>
    <n v="0"/>
    <n v="0"/>
    <n v="0"/>
    <n v="0"/>
    <n v="0"/>
    <x v="2"/>
    <s v="spec08"/>
    <x v="2"/>
    <s v="N15G3f"/>
    <x v="4"/>
  </r>
  <r>
    <s v="r_IT_N15G3f_spec09"/>
    <n v="0"/>
    <n v="0"/>
    <n v="0"/>
    <n v="0"/>
    <n v="0"/>
    <n v="0"/>
    <n v="0"/>
    <n v="0"/>
    <x v="2"/>
    <s v="spec09"/>
    <x v="2"/>
    <s v="N15G3f"/>
    <x v="5"/>
  </r>
  <r>
    <s v="r_IT_N15G3f_spec10"/>
    <n v="0"/>
    <n v="0"/>
    <n v="0"/>
    <n v="0"/>
    <n v="0"/>
    <n v="0"/>
    <n v="0"/>
    <n v="0"/>
    <x v="2"/>
    <s v="spec10"/>
    <x v="2"/>
    <s v="N15G3f"/>
    <x v="6"/>
  </r>
  <r>
    <s v="r_IT_N15G3f_spec03"/>
    <n v="0"/>
    <n v="0"/>
    <n v="0"/>
    <n v="0"/>
    <n v="0"/>
    <n v="0"/>
    <n v="0"/>
    <n v="0"/>
    <x v="2"/>
    <s v="spec03"/>
    <x v="2"/>
    <s v="N15G3f"/>
    <x v="7"/>
  </r>
  <r>
    <s v="r_IT_N15G3f_spec18"/>
    <n v="0"/>
    <n v="0"/>
    <n v="1"/>
    <n v="1"/>
    <n v="1"/>
    <n v="1"/>
    <n v="1"/>
    <n v="1"/>
    <x v="2"/>
    <s v="spec18"/>
    <x v="2"/>
    <s v="N15G3f"/>
    <x v="8"/>
  </r>
  <r>
    <s v="r_GB_N15G3f_spec02"/>
    <n v="0"/>
    <n v="0"/>
    <n v="0"/>
    <n v="0"/>
    <n v="0"/>
    <n v="0"/>
    <n v="0"/>
    <n v="0"/>
    <x v="2"/>
    <s v="spec02"/>
    <x v="3"/>
    <s v="N15G3f"/>
    <x v="0"/>
  </r>
  <r>
    <s v="r_GB_N15G3f_spec01"/>
    <n v="1"/>
    <n v="1"/>
    <n v="1"/>
    <n v="1"/>
    <n v="1"/>
    <n v="1"/>
    <n v="1"/>
    <n v="1"/>
    <x v="2"/>
    <s v="spec01"/>
    <x v="3"/>
    <s v="N15G3f"/>
    <x v="1"/>
  </r>
  <r>
    <s v="r_GB_N15G3f_spec04"/>
    <n v="0"/>
    <n v="0"/>
    <n v="0"/>
    <n v="0"/>
    <n v="1"/>
    <n v="1"/>
    <n v="1"/>
    <n v="1"/>
    <x v="2"/>
    <s v="spec04"/>
    <x v="3"/>
    <s v="N15G3f"/>
    <x v="2"/>
  </r>
  <r>
    <s v="r_GB_N15G3f_spec07"/>
    <n v="0"/>
    <n v="0"/>
    <n v="0"/>
    <n v="0"/>
    <n v="0"/>
    <n v="0"/>
    <n v="0"/>
    <n v="0"/>
    <x v="2"/>
    <s v="spec07"/>
    <x v="3"/>
    <s v="N15G3f"/>
    <x v="3"/>
  </r>
  <r>
    <s v="r_GB_N15G3f_spec08"/>
    <n v="0"/>
    <n v="0"/>
    <n v="0"/>
    <n v="0"/>
    <n v="0"/>
    <n v="0"/>
    <n v="1"/>
    <n v="1"/>
    <x v="2"/>
    <s v="spec08"/>
    <x v="3"/>
    <s v="N15G3f"/>
    <x v="4"/>
  </r>
  <r>
    <s v="r_GB_N15G3f_spec09"/>
    <n v="0"/>
    <n v="0"/>
    <n v="0"/>
    <n v="0"/>
    <n v="0"/>
    <n v="0"/>
    <n v="0"/>
    <n v="0"/>
    <x v="2"/>
    <s v="spec09"/>
    <x v="3"/>
    <s v="N15G3f"/>
    <x v="5"/>
  </r>
  <r>
    <s v="r_GB_N15G3f_spec10"/>
    <n v="0"/>
    <n v="0"/>
    <n v="0"/>
    <n v="0"/>
    <n v="0"/>
    <n v="0"/>
    <n v="0"/>
    <n v="0"/>
    <x v="2"/>
    <s v="spec10"/>
    <x v="3"/>
    <s v="N15G3f"/>
    <x v="6"/>
  </r>
  <r>
    <s v="r_GB_N15G3f_spec03"/>
    <n v="1"/>
    <n v="1"/>
    <n v="1"/>
    <n v="1"/>
    <n v="1"/>
    <n v="1"/>
    <n v="1"/>
    <n v="1"/>
    <x v="2"/>
    <s v="spec03"/>
    <x v="3"/>
    <s v="N15G3f"/>
    <x v="7"/>
  </r>
  <r>
    <s v="r_GB_N15G3f_spec18"/>
    <n v="1"/>
    <n v="1"/>
    <n v="1"/>
    <n v="1"/>
    <n v="1"/>
    <n v="1"/>
    <n v="1"/>
    <n v="1"/>
    <x v="2"/>
    <s v="spec18"/>
    <x v="3"/>
    <s v="N15G3f"/>
    <x v="8"/>
  </r>
  <r>
    <s v="r_US_N15G3f_spec02"/>
    <n v="0"/>
    <n v="0"/>
    <n v="0"/>
    <n v="0"/>
    <n v="0"/>
    <n v="0"/>
    <n v="0"/>
    <n v="0"/>
    <x v="2"/>
    <s v="spec02"/>
    <x v="4"/>
    <s v="N15G3f"/>
    <x v="0"/>
  </r>
  <r>
    <s v="r_US_N15G3f_spec01"/>
    <n v="1"/>
    <n v="1"/>
    <n v="1"/>
    <n v="1"/>
    <n v="1"/>
    <n v="1"/>
    <n v="1"/>
    <n v="1"/>
    <x v="2"/>
    <s v="spec01"/>
    <x v="4"/>
    <s v="N15G3f"/>
    <x v="1"/>
  </r>
  <r>
    <s v="r_US_N15G3f_spec04"/>
    <n v="0"/>
    <n v="0"/>
    <n v="0"/>
    <n v="0"/>
    <n v="0"/>
    <n v="0"/>
    <n v="0"/>
    <n v="0"/>
    <x v="2"/>
    <s v="spec04"/>
    <x v="4"/>
    <s v="N15G3f"/>
    <x v="2"/>
  </r>
  <r>
    <s v="r_US_N15G3f_spec07"/>
    <n v="0"/>
    <n v="0"/>
    <n v="0"/>
    <n v="0"/>
    <n v="0"/>
    <n v="0"/>
    <n v="0"/>
    <n v="0"/>
    <x v="2"/>
    <s v="spec07"/>
    <x v="4"/>
    <s v="N15G3f"/>
    <x v="3"/>
  </r>
  <r>
    <s v="r_US_N15G3f_spec08"/>
    <n v="0"/>
    <n v="0"/>
    <n v="0"/>
    <n v="0"/>
    <n v="0"/>
    <n v="0"/>
    <n v="1"/>
    <n v="1"/>
    <x v="2"/>
    <s v="spec08"/>
    <x v="4"/>
    <s v="N15G3f"/>
    <x v="4"/>
  </r>
  <r>
    <s v="r_US_N15G3f_spec09"/>
    <n v="0"/>
    <n v="0"/>
    <n v="0"/>
    <n v="0"/>
    <n v="0"/>
    <n v="0"/>
    <n v="0"/>
    <n v="1"/>
    <x v="2"/>
    <s v="spec09"/>
    <x v="4"/>
    <s v="N15G3f"/>
    <x v="5"/>
  </r>
  <r>
    <s v="r_US_N15G3f_spec10"/>
    <n v="0"/>
    <n v="0"/>
    <n v="0"/>
    <n v="0"/>
    <n v="0"/>
    <n v="0"/>
    <n v="0"/>
    <n v="0"/>
    <x v="2"/>
    <s v="spec10"/>
    <x v="4"/>
    <s v="N15G3f"/>
    <x v="6"/>
  </r>
  <r>
    <s v="r_US_N15G3f_spec03"/>
    <n v="1"/>
    <n v="0"/>
    <n v="0"/>
    <n v="1"/>
    <n v="1"/>
    <n v="1"/>
    <n v="1"/>
    <n v="0"/>
    <x v="2"/>
    <s v="spec03"/>
    <x v="4"/>
    <s v="N15G3f"/>
    <x v="7"/>
  </r>
  <r>
    <s v="r_US_N15G3f_spec18"/>
    <n v="1"/>
    <n v="1"/>
    <n v="1"/>
    <n v="1"/>
    <n v="1"/>
    <n v="1"/>
    <n v="1"/>
    <n v="1"/>
    <x v="2"/>
    <s v="spec18"/>
    <x v="4"/>
    <s v="N15G3f"/>
    <x v="8"/>
  </r>
  <r>
    <s v="r_CA_N15G3f_spec02"/>
    <n v="0"/>
    <n v="0"/>
    <n v="0"/>
    <n v="0"/>
    <n v="0"/>
    <n v="0"/>
    <n v="0"/>
    <n v="0"/>
    <x v="2"/>
    <s v="spec02"/>
    <x v="5"/>
    <s v="N15G3f"/>
    <x v="0"/>
  </r>
  <r>
    <s v="r_CA_N15G3f_spec01"/>
    <n v="0"/>
    <n v="0"/>
    <n v="0"/>
    <n v="0"/>
    <n v="0"/>
    <n v="1"/>
    <n v="1"/>
    <n v="0"/>
    <x v="2"/>
    <s v="spec01"/>
    <x v="5"/>
    <s v="N15G3f"/>
    <x v="1"/>
  </r>
  <r>
    <s v="r_CA_N15G3f_spec04"/>
    <n v="1"/>
    <n v="1"/>
    <n v="1"/>
    <n v="1"/>
    <n v="1"/>
    <n v="1"/>
    <n v="1"/>
    <n v="1"/>
    <x v="2"/>
    <s v="spec04"/>
    <x v="5"/>
    <s v="N15G3f"/>
    <x v="2"/>
  </r>
  <r>
    <s v="r_CA_N15G3f_spec07"/>
    <n v="0"/>
    <n v="0"/>
    <n v="0"/>
    <n v="0"/>
    <n v="0"/>
    <n v="0"/>
    <n v="0"/>
    <n v="0"/>
    <x v="2"/>
    <s v="spec07"/>
    <x v="5"/>
    <s v="N15G3f"/>
    <x v="3"/>
  </r>
  <r>
    <s v="r_CA_N15G3f_spec08"/>
    <n v="0"/>
    <n v="0"/>
    <n v="0"/>
    <n v="0"/>
    <n v="0"/>
    <n v="0"/>
    <n v="0"/>
    <n v="1"/>
    <x v="2"/>
    <s v="spec08"/>
    <x v="5"/>
    <s v="N15G3f"/>
    <x v="4"/>
  </r>
  <r>
    <s v="r_CA_N15G3f_spec09"/>
    <n v="0"/>
    <n v="0"/>
    <n v="0"/>
    <n v="0"/>
    <n v="0"/>
    <n v="0"/>
    <n v="0"/>
    <n v="0"/>
    <x v="2"/>
    <s v="spec09"/>
    <x v="5"/>
    <s v="N15G3f"/>
    <x v="5"/>
  </r>
  <r>
    <s v="r_CA_N15G3f_spec10"/>
    <n v="0"/>
    <n v="0"/>
    <n v="0"/>
    <n v="0"/>
    <n v="0"/>
    <n v="0"/>
    <n v="0"/>
    <n v="0"/>
    <x v="2"/>
    <s v="spec10"/>
    <x v="5"/>
    <s v="N15G3f"/>
    <x v="6"/>
  </r>
  <r>
    <s v="r_CA_N15G3f_spec03"/>
    <n v="0"/>
    <n v="0"/>
    <n v="0"/>
    <n v="0"/>
    <n v="0"/>
    <n v="0"/>
    <n v="0"/>
    <n v="0"/>
    <x v="2"/>
    <s v="spec03"/>
    <x v="5"/>
    <s v="N15G3f"/>
    <x v="7"/>
  </r>
  <r>
    <s v="r_CA_N15G3f_spec18"/>
    <n v="1"/>
    <n v="1"/>
    <n v="1"/>
    <n v="1"/>
    <n v="1"/>
    <n v="1"/>
    <n v="1"/>
    <n v="1"/>
    <x v="2"/>
    <s v="spec18"/>
    <x v="5"/>
    <s v="N15G3f"/>
    <x v="8"/>
  </r>
  <r>
    <s v="r_AG_N15G3f_spec02"/>
    <n v="0"/>
    <n v="0"/>
    <n v="0"/>
    <n v="0"/>
    <n v="0"/>
    <n v="0"/>
    <n v="0"/>
    <n v="0"/>
    <x v="2"/>
    <s v="spec02"/>
    <x v="6"/>
    <s v="N15G3f"/>
    <x v="0"/>
  </r>
  <r>
    <s v="r_AG_N15G3f_spec01"/>
    <n v="1"/>
    <n v="0"/>
    <n v="0"/>
    <n v="0"/>
    <n v="0"/>
    <n v="0"/>
    <n v="0"/>
    <n v="0"/>
    <x v="2"/>
    <s v="spec01"/>
    <x v="6"/>
    <s v="N15G3f"/>
    <x v="1"/>
  </r>
  <r>
    <s v="r_AG_N15G3f_spec04"/>
    <n v="1"/>
    <n v="1"/>
    <n v="1"/>
    <n v="0"/>
    <n v="0"/>
    <n v="0"/>
    <n v="0"/>
    <n v="0"/>
    <x v="2"/>
    <s v="spec04"/>
    <x v="6"/>
    <s v="N15G3f"/>
    <x v="2"/>
  </r>
  <r>
    <s v="r_AG_N15G3f_spec07"/>
    <n v="0"/>
    <n v="0"/>
    <n v="0"/>
    <n v="0"/>
    <n v="0"/>
    <n v="0"/>
    <n v="0"/>
    <n v="0"/>
    <x v="2"/>
    <s v="spec07"/>
    <x v="6"/>
    <s v="N15G3f"/>
    <x v="3"/>
  </r>
  <r>
    <s v="r_AG_N15G3f_spec08"/>
    <n v="0"/>
    <n v="0"/>
    <n v="0"/>
    <n v="0"/>
    <n v="0"/>
    <n v="0"/>
    <n v="0"/>
    <n v="0"/>
    <x v="2"/>
    <s v="spec08"/>
    <x v="6"/>
    <s v="N15G3f"/>
    <x v="4"/>
  </r>
  <r>
    <s v="r_AG_N15G3f_spec09"/>
    <n v="0"/>
    <n v="0"/>
    <n v="0"/>
    <n v="0"/>
    <n v="0"/>
    <n v="0"/>
    <n v="0"/>
    <n v="0"/>
    <x v="2"/>
    <s v="spec09"/>
    <x v="6"/>
    <s v="N15G3f"/>
    <x v="5"/>
  </r>
  <r>
    <s v="r_AG_N15G3f_spec10"/>
    <n v="0"/>
    <n v="0"/>
    <n v="0"/>
    <n v="0"/>
    <n v="0"/>
    <n v="0"/>
    <n v="0"/>
    <n v="0"/>
    <x v="2"/>
    <s v="spec10"/>
    <x v="6"/>
    <s v="N15G3f"/>
    <x v="6"/>
  </r>
  <r>
    <s v="r_AG_N15G3f_spec03"/>
    <n v="1"/>
    <n v="1"/>
    <n v="1"/>
    <n v="0"/>
    <n v="0"/>
    <n v="0"/>
    <n v="0"/>
    <n v="0"/>
    <x v="2"/>
    <s v="spec03"/>
    <x v="6"/>
    <s v="N15G3f"/>
    <x v="7"/>
  </r>
  <r>
    <s v="r_AG_N15G3f_spec18"/>
    <n v="1"/>
    <n v="1"/>
    <n v="1"/>
    <n v="1"/>
    <n v="1"/>
    <n v="1"/>
    <n v="1"/>
    <n v="1"/>
    <x v="2"/>
    <s v="spec18"/>
    <x v="6"/>
    <s v="N15G3f"/>
    <x v="8"/>
  </r>
  <r>
    <s v="r_BR_N15G3f_spec02"/>
    <n v="0"/>
    <n v="0"/>
    <n v="0"/>
    <n v="0"/>
    <n v="0"/>
    <n v="0"/>
    <n v="0"/>
    <n v="0"/>
    <x v="2"/>
    <s v="spec02"/>
    <x v="7"/>
    <s v="N15G3f"/>
    <x v="0"/>
  </r>
  <r>
    <s v="r_BR_N15G3f_spec01"/>
    <n v="1"/>
    <n v="0"/>
    <n v="0"/>
    <n v="0"/>
    <n v="0"/>
    <n v="0"/>
    <n v="0"/>
    <n v="0"/>
    <x v="2"/>
    <s v="spec01"/>
    <x v="7"/>
    <s v="N15G3f"/>
    <x v="1"/>
  </r>
  <r>
    <s v="r_BR_N15G3f_spec04"/>
    <n v="1"/>
    <n v="0"/>
    <n v="0"/>
    <n v="0"/>
    <n v="0"/>
    <n v="0"/>
    <n v="0"/>
    <n v="0"/>
    <x v="2"/>
    <s v="spec04"/>
    <x v="7"/>
    <s v="N15G3f"/>
    <x v="2"/>
  </r>
  <r>
    <s v="r_BR_N15G3f_spec07"/>
    <n v="0"/>
    <n v="0"/>
    <n v="0"/>
    <n v="0"/>
    <n v="0"/>
    <n v="0"/>
    <n v="0"/>
    <n v="0"/>
    <x v="2"/>
    <s v="spec07"/>
    <x v="7"/>
    <s v="N15G3f"/>
    <x v="3"/>
  </r>
  <r>
    <s v="r_BR_N15G3f_spec08"/>
    <n v="0"/>
    <n v="0"/>
    <n v="0"/>
    <n v="0"/>
    <n v="0"/>
    <n v="0"/>
    <n v="0"/>
    <n v="0"/>
    <x v="2"/>
    <s v="spec08"/>
    <x v="7"/>
    <s v="N15G3f"/>
    <x v="4"/>
  </r>
  <r>
    <s v="r_BR_N15G3f_spec09"/>
    <n v="0"/>
    <n v="0"/>
    <n v="0"/>
    <n v="0"/>
    <n v="0"/>
    <n v="0"/>
    <n v="0"/>
    <n v="0"/>
    <x v="2"/>
    <s v="spec09"/>
    <x v="7"/>
    <s v="N15G3f"/>
    <x v="5"/>
  </r>
  <r>
    <s v="r_BR_N15G3f_spec10"/>
    <n v="0"/>
    <n v="0"/>
    <n v="0"/>
    <n v="0"/>
    <n v="0"/>
    <n v="0"/>
    <n v="0"/>
    <n v="0"/>
    <x v="2"/>
    <s v="spec10"/>
    <x v="7"/>
    <s v="N15G3f"/>
    <x v="6"/>
  </r>
  <r>
    <s v="r_BR_N15G3f_spec03"/>
    <n v="1"/>
    <n v="1"/>
    <n v="1"/>
    <n v="1"/>
    <n v="1"/>
    <n v="1"/>
    <n v="1"/>
    <n v="1"/>
    <x v="2"/>
    <s v="spec03"/>
    <x v="7"/>
    <s v="N15G3f"/>
    <x v="7"/>
  </r>
  <r>
    <s v="r_BR_N15G3f_spec18"/>
    <n v="1"/>
    <n v="1"/>
    <n v="1"/>
    <n v="1"/>
    <n v="1"/>
    <n v="1"/>
    <n v="1"/>
    <n v="1"/>
    <x v="2"/>
    <s v="spec18"/>
    <x v="7"/>
    <s v="N15G3f"/>
    <x v="8"/>
  </r>
  <r>
    <s v="r_MX_N15G3f_spec02"/>
    <n v="0"/>
    <n v="0"/>
    <n v="0"/>
    <n v="0"/>
    <n v="0"/>
    <n v="0"/>
    <n v="0"/>
    <n v="0"/>
    <x v="2"/>
    <s v="spec02"/>
    <x v="8"/>
    <s v="N15G3f"/>
    <x v="0"/>
  </r>
  <r>
    <s v="r_MX_N15G3f_spec01"/>
    <n v="1"/>
    <n v="1"/>
    <n v="0"/>
    <n v="0"/>
    <n v="0"/>
    <n v="0"/>
    <n v="0"/>
    <n v="0"/>
    <x v="2"/>
    <s v="spec01"/>
    <x v="8"/>
    <s v="N15G3f"/>
    <x v="1"/>
  </r>
  <r>
    <s v="r_MX_N15G3f_spec04"/>
    <n v="1"/>
    <n v="1"/>
    <n v="1"/>
    <n v="1"/>
    <n v="1"/>
    <n v="1"/>
    <n v="1"/>
    <n v="1"/>
    <x v="2"/>
    <s v="spec04"/>
    <x v="8"/>
    <s v="N15G3f"/>
    <x v="2"/>
  </r>
  <r>
    <s v="r_MX_N15G3f_spec07"/>
    <n v="0"/>
    <n v="0"/>
    <n v="0"/>
    <n v="0"/>
    <n v="0"/>
    <n v="0"/>
    <n v="0"/>
    <n v="0"/>
    <x v="2"/>
    <s v="spec07"/>
    <x v="8"/>
    <s v="N15G3f"/>
    <x v="3"/>
  </r>
  <r>
    <s v="r_MX_N15G3f_spec08"/>
    <n v="0"/>
    <n v="0"/>
    <n v="0"/>
    <n v="1"/>
    <n v="1"/>
    <n v="1"/>
    <n v="1"/>
    <n v="1"/>
    <x v="2"/>
    <s v="spec08"/>
    <x v="8"/>
    <s v="N15G3f"/>
    <x v="4"/>
  </r>
  <r>
    <s v="r_MX_N15G3f_spec09"/>
    <n v="0"/>
    <n v="0"/>
    <n v="0"/>
    <n v="0"/>
    <n v="0"/>
    <n v="0"/>
    <n v="0"/>
    <n v="0"/>
    <x v="2"/>
    <s v="spec09"/>
    <x v="8"/>
    <s v="N15G3f"/>
    <x v="5"/>
  </r>
  <r>
    <s v="r_MX_N15G3f_spec10"/>
    <n v="0"/>
    <n v="0"/>
    <n v="0"/>
    <n v="0"/>
    <n v="0"/>
    <n v="0"/>
    <n v="0"/>
    <n v="0"/>
    <x v="2"/>
    <s v="spec10"/>
    <x v="8"/>
    <s v="N15G3f"/>
    <x v="6"/>
  </r>
  <r>
    <s v="r_MX_N15G3f_spec03"/>
    <n v="1"/>
    <n v="1"/>
    <n v="1"/>
    <n v="1"/>
    <n v="1"/>
    <n v="1"/>
    <n v="1"/>
    <n v="1"/>
    <x v="2"/>
    <s v="spec03"/>
    <x v="8"/>
    <s v="N15G3f"/>
    <x v="7"/>
  </r>
  <r>
    <s v="r_MX_N15G3f_spec18"/>
    <n v="1"/>
    <n v="1"/>
    <n v="1"/>
    <n v="1"/>
    <n v="1"/>
    <n v="1"/>
    <n v="1"/>
    <n v="1"/>
    <x v="2"/>
    <s v="spec18"/>
    <x v="8"/>
    <s v="N15G3f"/>
    <x v="8"/>
  </r>
  <r>
    <s v="r_CN_N15G3f_spec02"/>
    <n v="0"/>
    <n v="0"/>
    <n v="0"/>
    <n v="0"/>
    <n v="0"/>
    <n v="0"/>
    <n v="0"/>
    <n v="0"/>
    <x v="2"/>
    <s v="spec02"/>
    <x v="9"/>
    <s v="N15G3f"/>
    <x v="0"/>
  </r>
  <r>
    <s v="r_CN_N15G3f_spec01"/>
    <n v="1"/>
    <n v="1"/>
    <n v="1"/>
    <n v="1"/>
    <n v="1"/>
    <n v="1"/>
    <n v="1"/>
    <n v="1"/>
    <x v="2"/>
    <s v="spec01"/>
    <x v="9"/>
    <s v="N15G3f"/>
    <x v="1"/>
  </r>
  <r>
    <s v="r_CN_N15G3f_spec04"/>
    <n v="1"/>
    <n v="1"/>
    <n v="1"/>
    <n v="1"/>
    <n v="1"/>
    <n v="1"/>
    <n v="1"/>
    <n v="1"/>
    <x v="2"/>
    <s v="spec04"/>
    <x v="9"/>
    <s v="N15G3f"/>
    <x v="2"/>
  </r>
  <r>
    <s v="r_CN_N15G3f_spec07"/>
    <n v="0"/>
    <n v="0"/>
    <n v="0"/>
    <n v="0"/>
    <n v="0"/>
    <n v="0"/>
    <n v="0"/>
    <n v="0"/>
    <x v="2"/>
    <s v="spec07"/>
    <x v="9"/>
    <s v="N15G3f"/>
    <x v="3"/>
  </r>
  <r>
    <s v="r_CN_N15G3f_spec08"/>
    <n v="0"/>
    <n v="0"/>
    <n v="0"/>
    <n v="0"/>
    <n v="1"/>
    <n v="1"/>
    <n v="1"/>
    <n v="1"/>
    <x v="2"/>
    <s v="spec08"/>
    <x v="9"/>
    <s v="N15G3f"/>
    <x v="4"/>
  </r>
  <r>
    <s v="r_CN_N15G3f_spec09"/>
    <n v="0"/>
    <n v="0"/>
    <n v="0"/>
    <n v="0"/>
    <n v="0"/>
    <n v="0"/>
    <n v="0"/>
    <n v="0"/>
    <x v="2"/>
    <s v="spec09"/>
    <x v="9"/>
    <s v="N15G3f"/>
    <x v="5"/>
  </r>
  <r>
    <s v="r_CN_N15G3f_spec10"/>
    <n v="0"/>
    <n v="0"/>
    <n v="0"/>
    <n v="0"/>
    <n v="0"/>
    <n v="0"/>
    <n v="0"/>
    <n v="0"/>
    <x v="2"/>
    <s v="spec10"/>
    <x v="9"/>
    <s v="N15G3f"/>
    <x v="6"/>
  </r>
  <r>
    <s v="r_CN_N15G3f_spec03"/>
    <n v="0"/>
    <n v="0"/>
    <n v="0"/>
    <n v="0"/>
    <n v="0"/>
    <n v="0"/>
    <n v="0"/>
    <n v="0"/>
    <x v="2"/>
    <s v="spec03"/>
    <x v="9"/>
    <s v="N15G3f"/>
    <x v="7"/>
  </r>
  <r>
    <s v="r_CN_N15G3f_spec18"/>
    <n v="0"/>
    <n v="0"/>
    <n v="0"/>
    <n v="0"/>
    <n v="0"/>
    <n v="0"/>
    <n v="0"/>
    <n v="1"/>
    <x v="2"/>
    <s v="spec18"/>
    <x v="9"/>
    <s v="N15G3f"/>
    <x v="8"/>
  </r>
  <r>
    <s v="r_JP_N15G3f_spec02"/>
    <n v="0"/>
    <n v="0"/>
    <n v="0"/>
    <n v="0"/>
    <n v="0"/>
    <n v="0"/>
    <n v="0"/>
    <n v="0"/>
    <x v="2"/>
    <s v="spec02"/>
    <x v="10"/>
    <s v="N15G3f"/>
    <x v="0"/>
  </r>
  <r>
    <s v="r_JP_N15G3f_spec01"/>
    <n v="0"/>
    <n v="0"/>
    <n v="0"/>
    <n v="0"/>
    <n v="0"/>
    <n v="0"/>
    <n v="0"/>
    <n v="0"/>
    <x v="2"/>
    <s v="spec01"/>
    <x v="10"/>
    <s v="N15G3f"/>
    <x v="1"/>
  </r>
  <r>
    <s v="r_JP_N15G3f_spec04"/>
    <n v="1"/>
    <n v="1"/>
    <n v="1"/>
    <n v="1"/>
    <n v="1"/>
    <n v="1"/>
    <n v="1"/>
    <n v="1"/>
    <x v="2"/>
    <s v="spec04"/>
    <x v="10"/>
    <s v="N15G3f"/>
    <x v="2"/>
  </r>
  <r>
    <s v="r_JP_N15G3f_spec07"/>
    <n v="0"/>
    <n v="0"/>
    <n v="0"/>
    <n v="0"/>
    <n v="0"/>
    <n v="1"/>
    <n v="1"/>
    <n v="1"/>
    <x v="2"/>
    <s v="spec07"/>
    <x v="10"/>
    <s v="N15G3f"/>
    <x v="3"/>
  </r>
  <r>
    <s v="r_JP_N15G3f_spec08"/>
    <n v="0"/>
    <n v="0"/>
    <n v="0"/>
    <n v="0"/>
    <n v="0"/>
    <n v="0"/>
    <n v="0"/>
    <n v="0"/>
    <x v="2"/>
    <s v="spec08"/>
    <x v="10"/>
    <s v="N15G3f"/>
    <x v="4"/>
  </r>
  <r>
    <s v="r_JP_N15G3f_spec09"/>
    <n v="0"/>
    <n v="0"/>
    <n v="0"/>
    <n v="0"/>
    <n v="0"/>
    <n v="1"/>
    <n v="1"/>
    <n v="1"/>
    <x v="2"/>
    <s v="spec09"/>
    <x v="10"/>
    <s v="N15G3f"/>
    <x v="5"/>
  </r>
  <r>
    <s v="r_JP_N15G3f_spec10"/>
    <n v="0"/>
    <n v="0"/>
    <n v="0"/>
    <n v="0"/>
    <n v="0"/>
    <n v="0"/>
    <n v="0"/>
    <n v="0"/>
    <x v="2"/>
    <s v="spec10"/>
    <x v="10"/>
    <s v="N15G3f"/>
    <x v="6"/>
  </r>
  <r>
    <s v="r_JP_N15G3f_spec03"/>
    <n v="0"/>
    <n v="0"/>
    <n v="0"/>
    <n v="0"/>
    <n v="0"/>
    <n v="0"/>
    <n v="1"/>
    <n v="1"/>
    <x v="2"/>
    <s v="spec03"/>
    <x v="10"/>
    <s v="N15G3f"/>
    <x v="7"/>
  </r>
  <r>
    <s v="r_JP_N15G3f_spec18"/>
    <n v="0"/>
    <n v="0"/>
    <n v="0"/>
    <n v="1"/>
    <n v="1"/>
    <n v="1"/>
    <n v="1"/>
    <n v="1"/>
    <x v="2"/>
    <s v="spec18"/>
    <x v="10"/>
    <s v="N15G3f"/>
    <x v="8"/>
  </r>
  <r>
    <s v="r_AU_N15G3f_spec02"/>
    <n v="0"/>
    <n v="0"/>
    <n v="0"/>
    <n v="0"/>
    <n v="0"/>
    <n v="0"/>
    <n v="0"/>
    <n v="0"/>
    <x v="2"/>
    <s v="spec02"/>
    <x v="11"/>
    <s v="N15G3f"/>
    <x v="0"/>
  </r>
  <r>
    <s v="r_AU_N15G3f_spec01"/>
    <n v="0"/>
    <n v="0"/>
    <n v="0"/>
    <n v="0"/>
    <n v="0"/>
    <n v="0"/>
    <n v="0"/>
    <n v="0"/>
    <x v="2"/>
    <s v="spec01"/>
    <x v="11"/>
    <s v="N15G3f"/>
    <x v="1"/>
  </r>
  <r>
    <s v="r_AU_N15G3f_spec04"/>
    <n v="0"/>
    <n v="0"/>
    <n v="1"/>
    <n v="0"/>
    <n v="0"/>
    <n v="1"/>
    <n v="1"/>
    <n v="1"/>
    <x v="2"/>
    <s v="spec04"/>
    <x v="11"/>
    <s v="N15G3f"/>
    <x v="2"/>
  </r>
  <r>
    <s v="r_AU_N15G3f_spec07"/>
    <n v="0"/>
    <n v="0"/>
    <n v="0"/>
    <n v="0"/>
    <n v="0"/>
    <n v="0"/>
    <n v="0"/>
    <n v="0"/>
    <x v="2"/>
    <s v="spec07"/>
    <x v="11"/>
    <s v="N15G3f"/>
    <x v="3"/>
  </r>
  <r>
    <s v="r_AU_N15G3f_spec08"/>
    <n v="0"/>
    <n v="0"/>
    <n v="0"/>
    <n v="0"/>
    <n v="0"/>
    <n v="0"/>
    <n v="0"/>
    <n v="0"/>
    <x v="2"/>
    <s v="spec08"/>
    <x v="11"/>
    <s v="N15G3f"/>
    <x v="4"/>
  </r>
  <r>
    <s v="r_AU_N15G3f_spec09"/>
    <n v="0"/>
    <n v="0"/>
    <n v="0"/>
    <n v="0"/>
    <n v="0"/>
    <n v="0"/>
    <n v="0"/>
    <n v="0"/>
    <x v="2"/>
    <s v="spec09"/>
    <x v="11"/>
    <s v="N15G3f"/>
    <x v="5"/>
  </r>
  <r>
    <s v="r_AU_N15G3f_spec10"/>
    <n v="0"/>
    <n v="0"/>
    <n v="0"/>
    <n v="0"/>
    <n v="0"/>
    <n v="0"/>
    <n v="0"/>
    <n v="0"/>
    <x v="2"/>
    <s v="spec10"/>
    <x v="11"/>
    <s v="N15G3f"/>
    <x v="6"/>
  </r>
  <r>
    <s v="r_AU_N15G3f_spec03"/>
    <n v="0"/>
    <n v="0"/>
    <n v="0"/>
    <n v="0"/>
    <n v="0"/>
    <n v="0"/>
    <n v="0"/>
    <n v="0"/>
    <x v="2"/>
    <s v="spec03"/>
    <x v="11"/>
    <s v="N15G3f"/>
    <x v="7"/>
  </r>
  <r>
    <s v="r_AU_N15G3f_spec18"/>
    <n v="0"/>
    <n v="0"/>
    <n v="1"/>
    <n v="1"/>
    <n v="1"/>
    <n v="1"/>
    <n v="1"/>
    <n v="1"/>
    <x v="2"/>
    <s v="spec18"/>
    <x v="11"/>
    <s v="N15G3f"/>
    <x v="8"/>
  </r>
  <r>
    <s v="r_AT_N15G3f_spec02"/>
    <n v="0"/>
    <n v="0"/>
    <n v="0"/>
    <n v="0"/>
    <n v="0"/>
    <n v="0"/>
    <n v="0"/>
    <n v="0"/>
    <x v="2"/>
    <s v="spec02"/>
    <x v="12"/>
    <s v="N15G3f"/>
    <x v="0"/>
  </r>
  <r>
    <s v="r_AT_N15G3f_spec01"/>
    <n v="0"/>
    <n v="0"/>
    <n v="0"/>
    <n v="0"/>
    <n v="0"/>
    <n v="0"/>
    <n v="0"/>
    <n v="0"/>
    <x v="2"/>
    <s v="spec01"/>
    <x v="12"/>
    <s v="N15G3f"/>
    <x v="1"/>
  </r>
  <r>
    <s v="r_AT_N15G3f_spec04"/>
    <n v="1"/>
    <n v="1"/>
    <n v="1"/>
    <n v="1"/>
    <n v="1"/>
    <n v="1"/>
    <n v="1"/>
    <n v="1"/>
    <x v="2"/>
    <s v="spec04"/>
    <x v="12"/>
    <s v="N15G3f"/>
    <x v="2"/>
  </r>
  <r>
    <s v="r_AT_N15G3f_spec07"/>
    <n v="0"/>
    <n v="0"/>
    <n v="0"/>
    <n v="0"/>
    <n v="0"/>
    <n v="0"/>
    <n v="0"/>
    <n v="0"/>
    <x v="2"/>
    <s v="spec07"/>
    <x v="12"/>
    <s v="N15G3f"/>
    <x v="3"/>
  </r>
  <r>
    <s v="r_AT_N15G3f_spec08"/>
    <n v="0"/>
    <n v="0"/>
    <n v="0"/>
    <n v="0"/>
    <n v="0"/>
    <n v="1"/>
    <n v="1"/>
    <n v="1"/>
    <x v="2"/>
    <s v="spec08"/>
    <x v="12"/>
    <s v="N15G3f"/>
    <x v="4"/>
  </r>
  <r>
    <s v="r_AT_N15G3f_spec09"/>
    <n v="0"/>
    <n v="0"/>
    <n v="0"/>
    <n v="0"/>
    <n v="0"/>
    <n v="0"/>
    <n v="0"/>
    <n v="1"/>
    <x v="2"/>
    <s v="spec09"/>
    <x v="12"/>
    <s v="N15G3f"/>
    <x v="5"/>
  </r>
  <r>
    <s v="r_AT_N15G3f_spec10"/>
    <n v="0"/>
    <n v="0"/>
    <n v="0"/>
    <n v="0"/>
    <n v="0"/>
    <n v="0"/>
    <n v="0"/>
    <n v="0"/>
    <x v="2"/>
    <s v="spec10"/>
    <x v="12"/>
    <s v="N15G3f"/>
    <x v="6"/>
  </r>
  <r>
    <s v="r_AT_N15G3f_spec03"/>
    <n v="1"/>
    <n v="1"/>
    <n v="1"/>
    <n v="1"/>
    <n v="1"/>
    <n v="1"/>
    <n v="1"/>
    <n v="1"/>
    <x v="2"/>
    <s v="spec03"/>
    <x v="12"/>
    <s v="N15G3f"/>
    <x v="7"/>
  </r>
  <r>
    <s v="r_AT_N15G3f_spec18"/>
    <n v="1"/>
    <n v="1"/>
    <n v="1"/>
    <n v="1"/>
    <n v="1"/>
    <n v="1"/>
    <n v="1"/>
    <n v="1"/>
    <x v="2"/>
    <s v="spec18"/>
    <x v="12"/>
    <s v="N15G3f"/>
    <x v="8"/>
  </r>
  <r>
    <s v="r_IN_N15G3f_spec02"/>
    <n v="0"/>
    <n v="0"/>
    <n v="0"/>
    <n v="0"/>
    <n v="0"/>
    <n v="0"/>
    <n v="0"/>
    <n v="0"/>
    <x v="2"/>
    <s v="spec02"/>
    <x v="13"/>
    <s v="N15G3f"/>
    <x v="0"/>
  </r>
  <r>
    <s v="r_IN_N15G3f_spec01"/>
    <n v="1"/>
    <n v="1"/>
    <n v="1"/>
    <n v="1"/>
    <n v="1"/>
    <n v="1"/>
    <n v="1"/>
    <n v="0"/>
    <x v="2"/>
    <s v="spec01"/>
    <x v="13"/>
    <s v="N15G3f"/>
    <x v="1"/>
  </r>
  <r>
    <s v="r_IN_N15G3f_spec04"/>
    <n v="1"/>
    <n v="1"/>
    <n v="1"/>
    <n v="1"/>
    <n v="1"/>
    <n v="1"/>
    <n v="1"/>
    <n v="1"/>
    <x v="2"/>
    <s v="spec04"/>
    <x v="13"/>
    <s v="N15G3f"/>
    <x v="2"/>
  </r>
  <r>
    <s v="r_IN_N15G3f_spec07"/>
    <n v="0"/>
    <n v="0"/>
    <n v="0"/>
    <n v="0"/>
    <n v="0"/>
    <n v="0"/>
    <n v="0"/>
    <n v="0"/>
    <x v="2"/>
    <s v="spec07"/>
    <x v="13"/>
    <s v="N15G3f"/>
    <x v="3"/>
  </r>
  <r>
    <s v="r_IN_N15G3f_spec08"/>
    <n v="0"/>
    <n v="0"/>
    <n v="1"/>
    <n v="0"/>
    <n v="0"/>
    <n v="0"/>
    <n v="0"/>
    <n v="0"/>
    <x v="2"/>
    <s v="spec08"/>
    <x v="13"/>
    <s v="N15G3f"/>
    <x v="4"/>
  </r>
  <r>
    <s v="r_IN_N15G3f_spec09"/>
    <n v="0"/>
    <n v="0"/>
    <n v="0"/>
    <n v="0"/>
    <n v="0"/>
    <n v="0"/>
    <n v="0"/>
    <n v="0"/>
    <x v="2"/>
    <s v="spec09"/>
    <x v="13"/>
    <s v="N15G3f"/>
    <x v="5"/>
  </r>
  <r>
    <s v="r_IN_N15G3f_spec10"/>
    <n v="0"/>
    <n v="0"/>
    <n v="0"/>
    <n v="0"/>
    <n v="0"/>
    <n v="0"/>
    <n v="1"/>
    <n v="1"/>
    <x v="2"/>
    <s v="spec10"/>
    <x v="13"/>
    <s v="N15G3f"/>
    <x v="6"/>
  </r>
  <r>
    <s v="r_IN_N15G3f_spec03"/>
    <n v="0"/>
    <n v="1"/>
    <n v="1"/>
    <n v="1"/>
    <n v="1"/>
    <n v="1"/>
    <n v="0"/>
    <n v="0"/>
    <x v="2"/>
    <s v="spec03"/>
    <x v="13"/>
    <s v="N15G3f"/>
    <x v="7"/>
  </r>
  <r>
    <s v="r_IN_N15G3f_spec18"/>
    <n v="0"/>
    <n v="1"/>
    <n v="1"/>
    <n v="1"/>
    <n v="1"/>
    <n v="1"/>
    <n v="1"/>
    <n v="0"/>
    <x v="2"/>
    <s v="spec18"/>
    <x v="13"/>
    <s v="N15G3f"/>
    <x v="8"/>
  </r>
  <r>
    <s v="r_CH_N15G3f_spec02"/>
    <n v="0"/>
    <n v="0"/>
    <n v="0"/>
    <n v="0"/>
    <n v="0"/>
    <n v="0"/>
    <n v="0"/>
    <n v="0"/>
    <x v="2"/>
    <s v="spec02"/>
    <x v="14"/>
    <s v="N15G3f"/>
    <x v="0"/>
  </r>
  <r>
    <s v="r_CH_N15G3f_spec01"/>
    <n v="1"/>
    <n v="1"/>
    <n v="1"/>
    <n v="0"/>
    <n v="1"/>
    <n v="1"/>
    <n v="1"/>
    <n v="1"/>
    <x v="2"/>
    <s v="spec01"/>
    <x v="14"/>
    <s v="N15G3f"/>
    <x v="1"/>
  </r>
  <r>
    <s v="r_CH_N15G3f_spec04"/>
    <n v="0"/>
    <n v="0"/>
    <n v="0"/>
    <n v="0"/>
    <n v="0"/>
    <n v="0"/>
    <n v="0"/>
    <n v="0"/>
    <x v="2"/>
    <s v="spec04"/>
    <x v="14"/>
    <s v="N15G3f"/>
    <x v="2"/>
  </r>
  <r>
    <s v="r_CH_N15G3f_spec07"/>
    <n v="0"/>
    <n v="0"/>
    <n v="0"/>
    <n v="0"/>
    <n v="0"/>
    <n v="0"/>
    <n v="0"/>
    <n v="0"/>
    <x v="2"/>
    <s v="spec07"/>
    <x v="14"/>
    <s v="N15G3f"/>
    <x v="3"/>
  </r>
  <r>
    <s v="r_CH_N15G3f_spec08"/>
    <n v="0"/>
    <n v="0"/>
    <n v="0"/>
    <n v="0"/>
    <n v="0"/>
    <n v="0"/>
    <n v="0"/>
    <n v="0"/>
    <x v="2"/>
    <s v="spec08"/>
    <x v="14"/>
    <s v="N15G3f"/>
    <x v="4"/>
  </r>
  <r>
    <s v="r_CH_N15G3f_spec09"/>
    <n v="0"/>
    <n v="0"/>
    <n v="0"/>
    <n v="0"/>
    <n v="0"/>
    <n v="0"/>
    <n v="0"/>
    <n v="0"/>
    <x v="2"/>
    <s v="spec09"/>
    <x v="14"/>
    <s v="N15G3f"/>
    <x v="5"/>
  </r>
  <r>
    <s v="r_CH_N15G3f_spec10"/>
    <n v="0"/>
    <n v="0"/>
    <n v="0"/>
    <n v="0"/>
    <n v="0"/>
    <n v="0"/>
    <n v="0"/>
    <n v="0"/>
    <x v="2"/>
    <s v="spec10"/>
    <x v="14"/>
    <s v="N15G3f"/>
    <x v="6"/>
  </r>
  <r>
    <s v="r_CH_N15G3f_spec03"/>
    <n v="0"/>
    <n v="0"/>
    <n v="0"/>
    <n v="0"/>
    <n v="0"/>
    <n v="0"/>
    <n v="0"/>
    <n v="0"/>
    <x v="2"/>
    <s v="spec03"/>
    <x v="14"/>
    <s v="N15G3f"/>
    <x v="7"/>
  </r>
  <r>
    <s v="r_CH_N15G3f_spec18"/>
    <n v="0"/>
    <n v="0"/>
    <n v="0"/>
    <n v="0"/>
    <n v="0"/>
    <n v="0"/>
    <n v="0"/>
    <n v="0"/>
    <x v="2"/>
    <s v="spec18"/>
    <x v="14"/>
    <s v="N15G3f"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s v="y_DE_N15G3f_spec02"/>
    <n v="0"/>
    <n v="0"/>
    <n v="0"/>
    <n v="0"/>
    <n v="0"/>
    <n v="0"/>
    <n v="0"/>
    <n v="0"/>
    <x v="0"/>
    <s v="spec02"/>
    <x v="0"/>
    <s v="N15G3f"/>
    <x v="0"/>
  </r>
  <r>
    <s v="y_DE_N15G3f_spec01"/>
    <n v="0"/>
    <n v="0"/>
    <n v="0"/>
    <n v="0"/>
    <n v="0"/>
    <n v="0"/>
    <n v="0"/>
    <n v="0"/>
    <x v="0"/>
    <s v="spec01"/>
    <x v="0"/>
    <s v="N15G3f"/>
    <x v="1"/>
  </r>
  <r>
    <s v="y_DE_N15G3f_spec04"/>
    <n v="0"/>
    <n v="0"/>
    <n v="0"/>
    <n v="0"/>
    <n v="0"/>
    <n v="0"/>
    <n v="0"/>
    <n v="0"/>
    <x v="0"/>
    <s v="spec04"/>
    <x v="0"/>
    <s v="N15G3f"/>
    <x v="2"/>
  </r>
  <r>
    <s v="y_DE_N15G3f_spec07"/>
    <n v="0"/>
    <n v="0"/>
    <n v="0"/>
    <n v="0"/>
    <n v="1"/>
    <n v="0"/>
    <n v="0"/>
    <n v="0"/>
    <x v="0"/>
    <s v="spec07"/>
    <x v="0"/>
    <s v="N15G3f"/>
    <x v="3"/>
  </r>
  <r>
    <s v="y_DE_N15G3f_spec08"/>
    <n v="0"/>
    <n v="0"/>
    <n v="0"/>
    <n v="0"/>
    <n v="0"/>
    <n v="0"/>
    <n v="0"/>
    <n v="0"/>
    <x v="0"/>
    <s v="spec08"/>
    <x v="0"/>
    <s v="N15G3f"/>
    <x v="4"/>
  </r>
  <r>
    <s v="y_DE_N15G3f_spec09"/>
    <n v="1"/>
    <n v="0"/>
    <n v="0"/>
    <n v="0"/>
    <n v="0"/>
    <n v="0"/>
    <n v="0"/>
    <n v="0"/>
    <x v="0"/>
    <s v="spec09"/>
    <x v="0"/>
    <s v="N15G3f"/>
    <x v="5"/>
  </r>
  <r>
    <s v="y_DE_N15G3f_spec10"/>
    <n v="0"/>
    <n v="0"/>
    <n v="0"/>
    <n v="0"/>
    <n v="0"/>
    <n v="0"/>
    <n v="0"/>
    <n v="0"/>
    <x v="0"/>
    <s v="spec10"/>
    <x v="0"/>
    <s v="N15G3f"/>
    <x v="6"/>
  </r>
  <r>
    <s v="y_DE_N15G3f_spec03"/>
    <n v="0"/>
    <n v="0"/>
    <n v="0"/>
    <n v="0"/>
    <n v="0"/>
    <n v="0"/>
    <n v="0"/>
    <n v="0"/>
    <x v="0"/>
    <s v="spec03"/>
    <x v="0"/>
    <s v="N15G3f"/>
    <x v="7"/>
  </r>
  <r>
    <s v="y_DE_N15G3f_spec18"/>
    <n v="0"/>
    <n v="0"/>
    <n v="0"/>
    <n v="0"/>
    <n v="0"/>
    <n v="0"/>
    <n v="0"/>
    <n v="0"/>
    <x v="0"/>
    <s v="spec18"/>
    <x v="0"/>
    <s v="N15G3f"/>
    <x v="8"/>
  </r>
  <r>
    <s v="y_FR_N15G3f_spec02"/>
    <n v="0"/>
    <n v="0"/>
    <n v="0"/>
    <n v="0"/>
    <n v="0"/>
    <n v="0"/>
    <n v="0"/>
    <n v="0"/>
    <x v="0"/>
    <s v="spec02"/>
    <x v="1"/>
    <s v="N15G3f"/>
    <x v="0"/>
  </r>
  <r>
    <s v="y_FR_N15G3f_spec01"/>
    <n v="0"/>
    <n v="0"/>
    <n v="0"/>
    <n v="0"/>
    <n v="0"/>
    <n v="0"/>
    <n v="0"/>
    <n v="0"/>
    <x v="0"/>
    <s v="spec01"/>
    <x v="1"/>
    <s v="N15G3f"/>
    <x v="1"/>
  </r>
  <r>
    <s v="y_FR_N15G3f_spec04"/>
    <n v="0"/>
    <n v="0"/>
    <n v="0"/>
    <n v="0"/>
    <n v="0"/>
    <n v="0"/>
    <n v="0"/>
    <n v="0"/>
    <x v="0"/>
    <s v="spec04"/>
    <x v="1"/>
    <s v="N15G3f"/>
    <x v="2"/>
  </r>
  <r>
    <s v="y_FR_N15G3f_spec07"/>
    <n v="0"/>
    <n v="0"/>
    <n v="0"/>
    <n v="1"/>
    <n v="1"/>
    <n v="0"/>
    <n v="0"/>
    <n v="0"/>
    <x v="0"/>
    <s v="spec07"/>
    <x v="1"/>
    <s v="N15G3f"/>
    <x v="3"/>
  </r>
  <r>
    <s v="y_FR_N15G3f_spec08"/>
    <n v="0"/>
    <n v="0"/>
    <n v="0"/>
    <n v="0"/>
    <n v="0"/>
    <n v="0"/>
    <n v="0"/>
    <n v="0"/>
    <x v="0"/>
    <s v="spec08"/>
    <x v="1"/>
    <s v="N15G3f"/>
    <x v="4"/>
  </r>
  <r>
    <s v="y_FR_N15G3f_spec09"/>
    <n v="0"/>
    <n v="0"/>
    <n v="0"/>
    <n v="0"/>
    <n v="0"/>
    <n v="0"/>
    <n v="0"/>
    <n v="0"/>
    <x v="0"/>
    <s v="spec09"/>
    <x v="1"/>
    <s v="N15G3f"/>
    <x v="5"/>
  </r>
  <r>
    <s v="y_FR_N15G3f_spec10"/>
    <n v="0"/>
    <n v="0"/>
    <n v="0"/>
    <n v="0"/>
    <n v="0"/>
    <n v="0"/>
    <n v="0"/>
    <n v="0"/>
    <x v="0"/>
    <s v="spec10"/>
    <x v="1"/>
    <s v="N15G3f"/>
    <x v="6"/>
  </r>
  <r>
    <s v="y_FR_N15G3f_spec03"/>
    <n v="0"/>
    <n v="0"/>
    <n v="0"/>
    <n v="0"/>
    <n v="0"/>
    <n v="0"/>
    <n v="0"/>
    <n v="0"/>
    <x v="0"/>
    <s v="spec03"/>
    <x v="1"/>
    <s v="N15G3f"/>
    <x v="7"/>
  </r>
  <r>
    <s v="y_FR_N15G3f_spec18"/>
    <n v="0"/>
    <n v="0"/>
    <n v="0"/>
    <n v="0"/>
    <n v="0"/>
    <n v="0"/>
    <n v="1"/>
    <n v="0"/>
    <x v="0"/>
    <s v="spec18"/>
    <x v="1"/>
    <s v="N15G3f"/>
    <x v="8"/>
  </r>
  <r>
    <s v="y_IT_N15G3f_spec02"/>
    <n v="0"/>
    <n v="0"/>
    <n v="0"/>
    <n v="0"/>
    <n v="0"/>
    <n v="0"/>
    <n v="0"/>
    <n v="0"/>
    <x v="0"/>
    <s v="spec02"/>
    <x v="2"/>
    <s v="N15G3f"/>
    <x v="0"/>
  </r>
  <r>
    <s v="y_IT_N15G3f_spec01"/>
    <n v="0"/>
    <n v="0"/>
    <n v="0"/>
    <n v="0"/>
    <n v="0"/>
    <n v="0"/>
    <n v="0"/>
    <n v="0"/>
    <x v="0"/>
    <s v="spec01"/>
    <x v="2"/>
    <s v="N15G3f"/>
    <x v="1"/>
  </r>
  <r>
    <s v="y_IT_N15G3f_spec04"/>
    <n v="0"/>
    <n v="0"/>
    <n v="0"/>
    <n v="0"/>
    <n v="0"/>
    <n v="0"/>
    <n v="0"/>
    <n v="0"/>
    <x v="0"/>
    <s v="spec04"/>
    <x v="2"/>
    <s v="N15G3f"/>
    <x v="2"/>
  </r>
  <r>
    <s v="y_IT_N15G3f_spec07"/>
    <n v="0"/>
    <n v="0"/>
    <n v="0"/>
    <n v="1"/>
    <n v="0"/>
    <n v="0"/>
    <n v="0"/>
    <n v="0"/>
    <x v="0"/>
    <s v="spec07"/>
    <x v="2"/>
    <s v="N15G3f"/>
    <x v="3"/>
  </r>
  <r>
    <s v="y_IT_N15G3f_spec08"/>
    <n v="0"/>
    <n v="0"/>
    <n v="0"/>
    <n v="0"/>
    <n v="0"/>
    <n v="0"/>
    <n v="0"/>
    <n v="0"/>
    <x v="0"/>
    <s v="spec08"/>
    <x v="2"/>
    <s v="N15G3f"/>
    <x v="4"/>
  </r>
  <r>
    <s v="y_IT_N15G3f_spec09"/>
    <n v="0"/>
    <n v="0"/>
    <n v="0"/>
    <n v="0"/>
    <n v="0"/>
    <n v="0"/>
    <n v="0"/>
    <n v="0"/>
    <x v="0"/>
    <s v="spec09"/>
    <x v="2"/>
    <s v="N15G3f"/>
    <x v="5"/>
  </r>
  <r>
    <s v="y_IT_N15G3f_spec10"/>
    <n v="0"/>
    <n v="0"/>
    <n v="0"/>
    <n v="0"/>
    <n v="0"/>
    <n v="0"/>
    <n v="0"/>
    <n v="0"/>
    <x v="0"/>
    <s v="spec10"/>
    <x v="2"/>
    <s v="N15G3f"/>
    <x v="6"/>
  </r>
  <r>
    <s v="y_IT_N15G3f_spec03"/>
    <n v="1"/>
    <n v="0"/>
    <n v="0"/>
    <n v="0"/>
    <n v="0"/>
    <n v="0"/>
    <n v="0"/>
    <n v="0"/>
    <x v="0"/>
    <s v="spec03"/>
    <x v="2"/>
    <s v="N15G3f"/>
    <x v="7"/>
  </r>
  <r>
    <s v="y_IT_N15G3f_spec18"/>
    <n v="1"/>
    <n v="0"/>
    <n v="0"/>
    <n v="1"/>
    <n v="0"/>
    <n v="0"/>
    <n v="0"/>
    <n v="0"/>
    <x v="0"/>
    <s v="spec18"/>
    <x v="2"/>
    <s v="N15G3f"/>
    <x v="8"/>
  </r>
  <r>
    <s v="y_GB_N15G3f_spec02"/>
    <n v="0"/>
    <n v="0"/>
    <n v="0"/>
    <n v="0"/>
    <n v="0"/>
    <n v="0"/>
    <n v="0"/>
    <n v="0"/>
    <x v="0"/>
    <s v="spec02"/>
    <x v="3"/>
    <s v="N15G3f"/>
    <x v="0"/>
  </r>
  <r>
    <s v="y_GB_N15G3f_spec01"/>
    <n v="0"/>
    <n v="0"/>
    <n v="1"/>
    <n v="0"/>
    <n v="0"/>
    <n v="0"/>
    <n v="0"/>
    <n v="0"/>
    <x v="0"/>
    <s v="spec01"/>
    <x v="3"/>
    <s v="N15G3f"/>
    <x v="1"/>
  </r>
  <r>
    <s v="y_GB_N15G3f_spec04"/>
    <n v="0"/>
    <n v="0"/>
    <n v="0"/>
    <n v="0"/>
    <n v="0"/>
    <n v="0"/>
    <n v="0"/>
    <n v="0"/>
    <x v="0"/>
    <s v="spec04"/>
    <x v="3"/>
    <s v="N15G3f"/>
    <x v="2"/>
  </r>
  <r>
    <s v="y_GB_N15G3f_spec07"/>
    <n v="0"/>
    <n v="0"/>
    <n v="0"/>
    <n v="0"/>
    <n v="0"/>
    <n v="0"/>
    <n v="0"/>
    <n v="0"/>
    <x v="0"/>
    <s v="spec07"/>
    <x v="3"/>
    <s v="N15G3f"/>
    <x v="3"/>
  </r>
  <r>
    <s v="y_GB_N15G3f_spec08"/>
    <n v="0"/>
    <n v="0"/>
    <n v="0"/>
    <n v="0"/>
    <n v="0"/>
    <n v="0"/>
    <n v="0"/>
    <n v="0"/>
    <x v="0"/>
    <s v="spec08"/>
    <x v="3"/>
    <s v="N15G3f"/>
    <x v="4"/>
  </r>
  <r>
    <s v="y_GB_N15G3f_spec09"/>
    <n v="0"/>
    <n v="0"/>
    <n v="0"/>
    <n v="0"/>
    <n v="0"/>
    <n v="0"/>
    <n v="0"/>
    <n v="0"/>
    <x v="0"/>
    <s v="spec09"/>
    <x v="3"/>
    <s v="N15G3f"/>
    <x v="5"/>
  </r>
  <r>
    <s v="y_GB_N15G3f_spec10"/>
    <n v="0"/>
    <n v="0"/>
    <n v="0"/>
    <n v="0"/>
    <n v="0"/>
    <n v="0"/>
    <n v="0"/>
    <n v="0"/>
    <x v="0"/>
    <s v="spec10"/>
    <x v="3"/>
    <s v="N15G3f"/>
    <x v="6"/>
  </r>
  <r>
    <s v="y_GB_N15G3f_spec03"/>
    <n v="0"/>
    <n v="0"/>
    <n v="1"/>
    <n v="0"/>
    <n v="0"/>
    <n v="0"/>
    <n v="0"/>
    <n v="0"/>
    <x v="0"/>
    <s v="spec03"/>
    <x v="3"/>
    <s v="N15G3f"/>
    <x v="7"/>
  </r>
  <r>
    <s v="y_GB_N15G3f_spec18"/>
    <n v="0"/>
    <n v="0"/>
    <n v="0"/>
    <n v="0"/>
    <n v="0"/>
    <n v="0"/>
    <n v="0"/>
    <n v="0"/>
    <x v="0"/>
    <s v="spec18"/>
    <x v="3"/>
    <s v="N15G3f"/>
    <x v="8"/>
  </r>
  <r>
    <s v="y_US_N15G3f_spec02"/>
    <n v="0"/>
    <n v="0"/>
    <n v="0"/>
    <n v="0"/>
    <n v="0"/>
    <n v="0"/>
    <n v="0"/>
    <n v="0"/>
    <x v="0"/>
    <s v="spec02"/>
    <x v="4"/>
    <s v="N15G3f"/>
    <x v="0"/>
  </r>
  <r>
    <s v="y_US_N15G3f_spec01"/>
    <n v="1"/>
    <n v="0"/>
    <n v="1"/>
    <n v="0"/>
    <n v="0"/>
    <n v="0"/>
    <n v="0"/>
    <n v="0"/>
    <x v="0"/>
    <s v="spec01"/>
    <x v="4"/>
    <s v="N15G3f"/>
    <x v="1"/>
  </r>
  <r>
    <s v="y_US_N15G3f_spec04"/>
    <n v="0"/>
    <n v="0"/>
    <n v="0"/>
    <n v="1"/>
    <n v="0"/>
    <n v="0"/>
    <n v="0"/>
    <n v="0"/>
    <x v="0"/>
    <s v="spec04"/>
    <x v="4"/>
    <s v="N15G3f"/>
    <x v="2"/>
  </r>
  <r>
    <s v="y_US_N15G3f_spec07"/>
    <n v="0"/>
    <n v="0"/>
    <n v="1"/>
    <n v="0"/>
    <n v="0"/>
    <n v="0"/>
    <n v="0"/>
    <n v="0"/>
    <x v="0"/>
    <s v="spec07"/>
    <x v="4"/>
    <s v="N15G3f"/>
    <x v="3"/>
  </r>
  <r>
    <s v="y_US_N15G3f_spec08"/>
    <n v="0"/>
    <n v="0"/>
    <n v="0"/>
    <n v="0"/>
    <n v="0"/>
    <n v="0"/>
    <n v="0"/>
    <n v="0"/>
    <x v="0"/>
    <s v="spec08"/>
    <x v="4"/>
    <s v="N15G3f"/>
    <x v="4"/>
  </r>
  <r>
    <s v="y_US_N15G3f_spec09"/>
    <n v="0"/>
    <n v="0"/>
    <n v="0"/>
    <n v="0"/>
    <n v="0"/>
    <n v="0"/>
    <n v="0"/>
    <n v="0"/>
    <x v="0"/>
    <s v="spec09"/>
    <x v="4"/>
    <s v="N15G3f"/>
    <x v="5"/>
  </r>
  <r>
    <s v="y_US_N15G3f_spec10"/>
    <n v="0"/>
    <n v="0"/>
    <n v="0"/>
    <n v="0"/>
    <n v="0"/>
    <n v="0"/>
    <n v="0"/>
    <n v="0"/>
    <x v="0"/>
    <s v="spec10"/>
    <x v="4"/>
    <s v="N15G3f"/>
    <x v="6"/>
  </r>
  <r>
    <s v="y_US_N15G3f_spec03"/>
    <n v="0"/>
    <n v="0"/>
    <n v="0"/>
    <n v="0"/>
    <n v="0"/>
    <n v="0"/>
    <n v="0"/>
    <n v="0"/>
    <x v="0"/>
    <s v="spec03"/>
    <x v="4"/>
    <s v="N15G3f"/>
    <x v="7"/>
  </r>
  <r>
    <s v="y_US_N15G3f_spec18"/>
    <n v="0"/>
    <n v="0"/>
    <n v="0"/>
    <n v="0"/>
    <n v="0"/>
    <n v="0"/>
    <n v="0"/>
    <n v="0"/>
    <x v="0"/>
    <s v="spec18"/>
    <x v="4"/>
    <s v="N15G3f"/>
    <x v="8"/>
  </r>
  <r>
    <s v="y_CA_N15G3f_spec02"/>
    <n v="0"/>
    <n v="0"/>
    <n v="0"/>
    <n v="0"/>
    <n v="0"/>
    <n v="0"/>
    <n v="0"/>
    <n v="0"/>
    <x v="0"/>
    <s v="spec02"/>
    <x v="5"/>
    <s v="N15G3f"/>
    <x v="0"/>
  </r>
  <r>
    <s v="y_CA_N15G3f_spec01"/>
    <n v="0"/>
    <n v="1"/>
    <n v="1"/>
    <n v="1"/>
    <n v="1"/>
    <n v="1"/>
    <n v="1"/>
    <n v="1"/>
    <x v="0"/>
    <s v="spec01"/>
    <x v="5"/>
    <s v="N15G3f"/>
    <x v="1"/>
  </r>
  <r>
    <s v="y_CA_N15G3f_spec04"/>
    <n v="0"/>
    <n v="0"/>
    <n v="0"/>
    <n v="0"/>
    <n v="0"/>
    <n v="0"/>
    <n v="0"/>
    <n v="0"/>
    <x v="0"/>
    <s v="spec04"/>
    <x v="5"/>
    <s v="N15G3f"/>
    <x v="2"/>
  </r>
  <r>
    <s v="y_CA_N15G3f_spec07"/>
    <n v="0"/>
    <n v="1"/>
    <n v="1"/>
    <n v="1"/>
    <n v="1"/>
    <n v="1"/>
    <n v="1"/>
    <n v="1"/>
    <x v="0"/>
    <s v="spec07"/>
    <x v="5"/>
    <s v="N15G3f"/>
    <x v="3"/>
  </r>
  <r>
    <s v="y_CA_N15G3f_spec08"/>
    <n v="0"/>
    <n v="0"/>
    <n v="0"/>
    <n v="0"/>
    <n v="0"/>
    <n v="0"/>
    <n v="0"/>
    <n v="0"/>
    <x v="0"/>
    <s v="spec08"/>
    <x v="5"/>
    <s v="N15G3f"/>
    <x v="4"/>
  </r>
  <r>
    <s v="y_CA_N15G3f_spec09"/>
    <n v="0"/>
    <n v="0"/>
    <n v="0"/>
    <n v="0"/>
    <n v="0"/>
    <n v="0"/>
    <n v="0"/>
    <n v="0"/>
    <x v="0"/>
    <s v="spec09"/>
    <x v="5"/>
    <s v="N15G3f"/>
    <x v="5"/>
  </r>
  <r>
    <s v="y_CA_N15G3f_spec10"/>
    <n v="0"/>
    <n v="0"/>
    <n v="0"/>
    <n v="0"/>
    <n v="0"/>
    <n v="0"/>
    <n v="0"/>
    <n v="0"/>
    <x v="0"/>
    <s v="spec10"/>
    <x v="5"/>
    <s v="N15G3f"/>
    <x v="6"/>
  </r>
  <r>
    <s v="y_CA_N15G3f_spec03"/>
    <n v="0"/>
    <n v="0"/>
    <n v="0"/>
    <n v="0"/>
    <n v="0"/>
    <n v="0"/>
    <n v="0"/>
    <n v="0"/>
    <x v="0"/>
    <s v="spec03"/>
    <x v="5"/>
    <s v="N15G3f"/>
    <x v="7"/>
  </r>
  <r>
    <s v="y_CA_N15G3f_spec18"/>
    <n v="0"/>
    <n v="1"/>
    <n v="1"/>
    <n v="1"/>
    <n v="1"/>
    <n v="1"/>
    <n v="1"/>
    <n v="1"/>
    <x v="0"/>
    <s v="spec18"/>
    <x v="5"/>
    <s v="N15G3f"/>
    <x v="8"/>
  </r>
  <r>
    <s v="y_AG_N15G3f_spec02"/>
    <n v="0"/>
    <n v="0"/>
    <n v="0"/>
    <n v="0"/>
    <n v="0"/>
    <n v="0"/>
    <n v="0"/>
    <n v="0"/>
    <x v="0"/>
    <s v="spec02"/>
    <x v="6"/>
    <s v="N15G3f"/>
    <x v="0"/>
  </r>
  <r>
    <s v="y_AG_N15G3f_spec01"/>
    <n v="0"/>
    <n v="0"/>
    <n v="1"/>
    <n v="1"/>
    <n v="1"/>
    <n v="0"/>
    <n v="0"/>
    <n v="0"/>
    <x v="0"/>
    <s v="spec01"/>
    <x v="6"/>
    <s v="N15G3f"/>
    <x v="1"/>
  </r>
  <r>
    <s v="y_AG_N15G3f_spec04"/>
    <n v="0"/>
    <n v="0"/>
    <n v="0"/>
    <n v="0"/>
    <n v="0"/>
    <n v="0"/>
    <n v="0"/>
    <n v="0"/>
    <x v="0"/>
    <s v="spec04"/>
    <x v="6"/>
    <s v="N15G3f"/>
    <x v="2"/>
  </r>
  <r>
    <s v="y_AG_N15G3f_spec07"/>
    <n v="0"/>
    <n v="0"/>
    <n v="0"/>
    <n v="0"/>
    <n v="0"/>
    <n v="0"/>
    <n v="0"/>
    <n v="0"/>
    <x v="0"/>
    <s v="spec07"/>
    <x v="6"/>
    <s v="N15G3f"/>
    <x v="3"/>
  </r>
  <r>
    <s v="y_AG_N15G3f_spec08"/>
    <n v="0"/>
    <n v="0"/>
    <n v="0"/>
    <n v="0"/>
    <n v="0"/>
    <n v="0"/>
    <n v="0"/>
    <n v="0"/>
    <x v="0"/>
    <s v="spec08"/>
    <x v="6"/>
    <s v="N15G3f"/>
    <x v="4"/>
  </r>
  <r>
    <s v="y_AG_N15G3f_spec09"/>
    <n v="0"/>
    <n v="0"/>
    <n v="0"/>
    <n v="0"/>
    <n v="0"/>
    <n v="0"/>
    <n v="0"/>
    <n v="0"/>
    <x v="0"/>
    <s v="spec09"/>
    <x v="6"/>
    <s v="N15G3f"/>
    <x v="5"/>
  </r>
  <r>
    <s v="y_AG_N15G3f_spec10"/>
    <n v="0"/>
    <n v="0"/>
    <n v="0"/>
    <n v="0"/>
    <n v="0"/>
    <n v="0"/>
    <n v="0"/>
    <n v="0"/>
    <x v="0"/>
    <s v="spec10"/>
    <x v="6"/>
    <s v="N15G3f"/>
    <x v="6"/>
  </r>
  <r>
    <s v="y_AG_N15G3f_spec03"/>
    <n v="0"/>
    <n v="0"/>
    <n v="0"/>
    <n v="1"/>
    <n v="0"/>
    <n v="0"/>
    <n v="0"/>
    <n v="0"/>
    <x v="0"/>
    <s v="spec03"/>
    <x v="6"/>
    <s v="N15G3f"/>
    <x v="7"/>
  </r>
  <r>
    <s v="y_AG_N15G3f_spec18"/>
    <n v="0"/>
    <n v="0"/>
    <n v="0"/>
    <n v="0"/>
    <n v="0"/>
    <n v="0"/>
    <n v="0"/>
    <n v="0"/>
    <x v="0"/>
    <s v="spec18"/>
    <x v="6"/>
    <s v="N15G3f"/>
    <x v="8"/>
  </r>
  <r>
    <s v="y_BR_N15G3f_spec02"/>
    <n v="0"/>
    <n v="0"/>
    <n v="0"/>
    <n v="0"/>
    <n v="0"/>
    <n v="0"/>
    <n v="0"/>
    <n v="0"/>
    <x v="0"/>
    <s v="spec02"/>
    <x v="7"/>
    <s v="N15G3f"/>
    <x v="0"/>
  </r>
  <r>
    <s v="y_BR_N15G3f_spec01"/>
    <n v="0"/>
    <n v="0"/>
    <n v="0"/>
    <n v="0"/>
    <n v="0"/>
    <n v="0"/>
    <n v="0"/>
    <n v="0"/>
    <x v="0"/>
    <s v="spec01"/>
    <x v="7"/>
    <s v="N15G3f"/>
    <x v="1"/>
  </r>
  <r>
    <s v="y_BR_N15G3f_spec04"/>
    <n v="0"/>
    <n v="0"/>
    <n v="0"/>
    <n v="0"/>
    <n v="0"/>
    <n v="0"/>
    <n v="0"/>
    <n v="0"/>
    <x v="0"/>
    <s v="spec04"/>
    <x v="7"/>
    <s v="N15G3f"/>
    <x v="2"/>
  </r>
  <r>
    <s v="y_BR_N15G3f_spec07"/>
    <n v="0"/>
    <n v="0"/>
    <n v="0"/>
    <n v="0"/>
    <n v="0"/>
    <n v="0"/>
    <n v="0"/>
    <n v="0"/>
    <x v="0"/>
    <s v="spec07"/>
    <x v="7"/>
    <s v="N15G3f"/>
    <x v="3"/>
  </r>
  <r>
    <s v="y_BR_N15G3f_spec08"/>
    <n v="0"/>
    <n v="0"/>
    <n v="0"/>
    <n v="0"/>
    <n v="0"/>
    <n v="0"/>
    <n v="0"/>
    <n v="0"/>
    <x v="0"/>
    <s v="spec08"/>
    <x v="7"/>
    <s v="N15G3f"/>
    <x v="4"/>
  </r>
  <r>
    <s v="y_BR_N15G3f_spec09"/>
    <n v="0"/>
    <n v="0"/>
    <n v="0"/>
    <n v="0"/>
    <n v="0"/>
    <n v="0"/>
    <n v="0"/>
    <n v="0"/>
    <x v="0"/>
    <s v="spec09"/>
    <x v="7"/>
    <s v="N15G3f"/>
    <x v="5"/>
  </r>
  <r>
    <s v="y_BR_N15G3f_spec10"/>
    <n v="0"/>
    <n v="0"/>
    <n v="0"/>
    <n v="0"/>
    <n v="0"/>
    <n v="0"/>
    <n v="0"/>
    <n v="0"/>
    <x v="0"/>
    <s v="spec10"/>
    <x v="7"/>
    <s v="N15G3f"/>
    <x v="6"/>
  </r>
  <r>
    <s v="y_BR_N15G3f_spec03"/>
    <n v="0"/>
    <n v="0"/>
    <n v="1"/>
    <n v="1"/>
    <n v="0"/>
    <n v="0"/>
    <n v="0"/>
    <n v="0"/>
    <x v="0"/>
    <s v="spec03"/>
    <x v="7"/>
    <s v="N15G3f"/>
    <x v="7"/>
  </r>
  <r>
    <s v="y_BR_N15G3f_spec18"/>
    <n v="0"/>
    <n v="0"/>
    <n v="0"/>
    <n v="0"/>
    <n v="0"/>
    <n v="0"/>
    <n v="0"/>
    <n v="0"/>
    <x v="0"/>
    <s v="spec18"/>
    <x v="7"/>
    <s v="N15G3f"/>
    <x v="8"/>
  </r>
  <r>
    <s v="y_MX_N15G3f_spec02"/>
    <n v="0"/>
    <n v="0"/>
    <n v="0"/>
    <n v="0"/>
    <n v="0"/>
    <n v="0"/>
    <n v="0"/>
    <n v="0"/>
    <x v="0"/>
    <s v="spec02"/>
    <x v="8"/>
    <s v="N15G3f"/>
    <x v="0"/>
  </r>
  <r>
    <s v="y_MX_N15G3f_spec01"/>
    <n v="0"/>
    <n v="0"/>
    <n v="0"/>
    <n v="0"/>
    <n v="0"/>
    <n v="0"/>
    <n v="0"/>
    <n v="0"/>
    <x v="0"/>
    <s v="spec01"/>
    <x v="8"/>
    <s v="N15G3f"/>
    <x v="1"/>
  </r>
  <r>
    <s v="y_MX_N15G3f_spec04"/>
    <n v="0"/>
    <n v="0"/>
    <n v="0"/>
    <n v="0"/>
    <n v="0"/>
    <n v="0"/>
    <n v="0"/>
    <n v="0"/>
    <x v="0"/>
    <s v="spec04"/>
    <x v="8"/>
    <s v="N15G3f"/>
    <x v="2"/>
  </r>
  <r>
    <s v="y_MX_N15G3f_spec07"/>
    <n v="0"/>
    <n v="0"/>
    <n v="0"/>
    <n v="0"/>
    <n v="0"/>
    <n v="0"/>
    <n v="0"/>
    <n v="0"/>
    <x v="0"/>
    <s v="spec07"/>
    <x v="8"/>
    <s v="N15G3f"/>
    <x v="3"/>
  </r>
  <r>
    <s v="y_MX_N15G3f_spec08"/>
    <n v="0"/>
    <n v="0"/>
    <n v="0"/>
    <n v="0"/>
    <n v="0"/>
    <n v="0"/>
    <n v="0"/>
    <n v="0"/>
    <x v="0"/>
    <s v="spec08"/>
    <x v="8"/>
    <s v="N15G3f"/>
    <x v="4"/>
  </r>
  <r>
    <s v="y_MX_N15G3f_spec09"/>
    <n v="0"/>
    <n v="0"/>
    <n v="0"/>
    <n v="0"/>
    <n v="0"/>
    <n v="0"/>
    <n v="0"/>
    <n v="0"/>
    <x v="0"/>
    <s v="spec09"/>
    <x v="8"/>
    <s v="N15G3f"/>
    <x v="5"/>
  </r>
  <r>
    <s v="y_MX_N15G3f_spec10"/>
    <n v="0"/>
    <n v="0"/>
    <n v="0"/>
    <n v="0"/>
    <n v="0"/>
    <n v="0"/>
    <n v="0"/>
    <n v="0"/>
    <x v="0"/>
    <s v="spec10"/>
    <x v="8"/>
    <s v="N15G3f"/>
    <x v="6"/>
  </r>
  <r>
    <s v="y_MX_N15G3f_spec03"/>
    <n v="0"/>
    <n v="0"/>
    <n v="0"/>
    <n v="0"/>
    <n v="0"/>
    <n v="0"/>
    <n v="0"/>
    <n v="0"/>
    <x v="0"/>
    <s v="spec03"/>
    <x v="8"/>
    <s v="N15G3f"/>
    <x v="7"/>
  </r>
  <r>
    <s v="y_MX_N15G3f_spec18"/>
    <n v="0"/>
    <n v="0"/>
    <n v="0"/>
    <n v="0"/>
    <n v="0"/>
    <n v="0"/>
    <n v="0"/>
    <n v="0"/>
    <x v="0"/>
    <s v="spec18"/>
    <x v="8"/>
    <s v="N15G3f"/>
    <x v="8"/>
  </r>
  <r>
    <s v="y_CN_N15G3f_spec02"/>
    <n v="0"/>
    <n v="0"/>
    <n v="0"/>
    <n v="0"/>
    <n v="0"/>
    <n v="0"/>
    <n v="0"/>
    <n v="0"/>
    <x v="0"/>
    <s v="spec02"/>
    <x v="9"/>
    <s v="N15G3f"/>
    <x v="0"/>
  </r>
  <r>
    <s v="y_CN_N15G3f_spec01"/>
    <n v="0"/>
    <n v="0"/>
    <n v="0"/>
    <n v="0"/>
    <n v="0"/>
    <n v="0"/>
    <n v="0"/>
    <n v="0"/>
    <x v="0"/>
    <s v="spec01"/>
    <x v="9"/>
    <s v="N15G3f"/>
    <x v="1"/>
  </r>
  <r>
    <s v="y_CN_N15G3f_spec04"/>
    <n v="0"/>
    <n v="0"/>
    <n v="0"/>
    <n v="0"/>
    <n v="0"/>
    <n v="0"/>
    <n v="0"/>
    <n v="0"/>
    <x v="0"/>
    <s v="spec04"/>
    <x v="9"/>
    <s v="N15G3f"/>
    <x v="2"/>
  </r>
  <r>
    <s v="y_CN_N15G3f_spec07"/>
    <n v="0"/>
    <n v="0"/>
    <n v="0"/>
    <n v="0"/>
    <n v="0"/>
    <n v="0"/>
    <n v="0"/>
    <n v="0"/>
    <x v="0"/>
    <s v="spec07"/>
    <x v="9"/>
    <s v="N15G3f"/>
    <x v="3"/>
  </r>
  <r>
    <s v="y_CN_N15G3f_spec08"/>
    <n v="0"/>
    <n v="0"/>
    <n v="0"/>
    <n v="0"/>
    <n v="0"/>
    <n v="0"/>
    <n v="0"/>
    <n v="0"/>
    <x v="0"/>
    <s v="spec08"/>
    <x v="9"/>
    <s v="N15G3f"/>
    <x v="4"/>
  </r>
  <r>
    <s v="y_CN_N15G3f_spec09"/>
    <n v="0"/>
    <n v="0"/>
    <n v="0"/>
    <n v="0"/>
    <n v="0"/>
    <n v="0"/>
    <n v="0"/>
    <n v="0"/>
    <x v="0"/>
    <s v="spec09"/>
    <x v="9"/>
    <s v="N15G3f"/>
    <x v="5"/>
  </r>
  <r>
    <s v="y_CN_N15G3f_spec10"/>
    <n v="0"/>
    <n v="0"/>
    <n v="0"/>
    <n v="0"/>
    <n v="0"/>
    <n v="0"/>
    <n v="0"/>
    <n v="0"/>
    <x v="0"/>
    <s v="spec10"/>
    <x v="9"/>
    <s v="N15G3f"/>
    <x v="6"/>
  </r>
  <r>
    <s v="y_CN_N15G3f_spec03"/>
    <n v="0"/>
    <n v="0"/>
    <n v="0"/>
    <n v="0"/>
    <n v="0"/>
    <n v="0"/>
    <n v="0"/>
    <n v="0"/>
    <x v="0"/>
    <s v="spec03"/>
    <x v="9"/>
    <s v="N15G3f"/>
    <x v="7"/>
  </r>
  <r>
    <s v="y_CN_N15G3f_spec18"/>
    <n v="0"/>
    <n v="0"/>
    <n v="0"/>
    <n v="0"/>
    <n v="0"/>
    <n v="0"/>
    <n v="0"/>
    <n v="0"/>
    <x v="0"/>
    <s v="spec18"/>
    <x v="9"/>
    <s v="N15G3f"/>
    <x v="8"/>
  </r>
  <r>
    <s v="y_JP_N15G3f_spec02"/>
    <n v="0"/>
    <n v="0"/>
    <n v="0"/>
    <n v="0"/>
    <n v="0"/>
    <n v="0"/>
    <n v="0"/>
    <n v="0"/>
    <x v="0"/>
    <s v="spec02"/>
    <x v="10"/>
    <s v="N15G3f"/>
    <x v="0"/>
  </r>
  <r>
    <s v="y_JP_N15G3f_spec01"/>
    <n v="1"/>
    <n v="0"/>
    <n v="0"/>
    <n v="0"/>
    <n v="0"/>
    <n v="0"/>
    <n v="0"/>
    <n v="0"/>
    <x v="0"/>
    <s v="spec01"/>
    <x v="10"/>
    <s v="N15G3f"/>
    <x v="1"/>
  </r>
  <r>
    <s v="y_JP_N15G3f_spec04"/>
    <n v="0"/>
    <n v="1"/>
    <n v="1"/>
    <n v="1"/>
    <n v="0"/>
    <n v="1"/>
    <n v="1"/>
    <n v="0"/>
    <x v="0"/>
    <s v="spec04"/>
    <x v="10"/>
    <s v="N15G3f"/>
    <x v="2"/>
  </r>
  <r>
    <s v="y_JP_N15G3f_spec07"/>
    <n v="0"/>
    <n v="0"/>
    <n v="0"/>
    <n v="0"/>
    <n v="0"/>
    <n v="0"/>
    <n v="0"/>
    <n v="0"/>
    <x v="0"/>
    <s v="spec07"/>
    <x v="10"/>
    <s v="N15G3f"/>
    <x v="3"/>
  </r>
  <r>
    <s v="y_JP_N15G3f_spec08"/>
    <n v="0"/>
    <n v="0"/>
    <n v="0"/>
    <n v="0"/>
    <n v="0"/>
    <n v="0"/>
    <n v="0"/>
    <n v="0"/>
    <x v="0"/>
    <s v="spec08"/>
    <x v="10"/>
    <s v="N15G3f"/>
    <x v="4"/>
  </r>
  <r>
    <s v="y_JP_N15G3f_spec09"/>
    <n v="0"/>
    <n v="0"/>
    <n v="0"/>
    <n v="0"/>
    <n v="0"/>
    <n v="0"/>
    <n v="0"/>
    <n v="0"/>
    <x v="0"/>
    <s v="spec09"/>
    <x v="10"/>
    <s v="N15G3f"/>
    <x v="5"/>
  </r>
  <r>
    <s v="y_JP_N15G3f_spec10"/>
    <n v="0"/>
    <n v="0"/>
    <n v="0"/>
    <n v="0"/>
    <n v="0"/>
    <n v="0"/>
    <n v="0"/>
    <n v="0"/>
    <x v="0"/>
    <s v="spec10"/>
    <x v="10"/>
    <s v="N15G3f"/>
    <x v="6"/>
  </r>
  <r>
    <s v="y_JP_N15G3f_spec03"/>
    <n v="0"/>
    <n v="0"/>
    <n v="0"/>
    <n v="0"/>
    <n v="0"/>
    <n v="1"/>
    <n v="1"/>
    <n v="0"/>
    <x v="0"/>
    <s v="spec03"/>
    <x v="10"/>
    <s v="N15G3f"/>
    <x v="7"/>
  </r>
  <r>
    <s v="y_JP_N15G3f_spec18"/>
    <n v="0"/>
    <n v="0"/>
    <n v="0"/>
    <n v="0"/>
    <n v="0"/>
    <n v="0"/>
    <n v="0"/>
    <n v="0"/>
    <x v="0"/>
    <s v="spec18"/>
    <x v="10"/>
    <s v="N15G3f"/>
    <x v="8"/>
  </r>
  <r>
    <s v="y_AU_N15G3f_spec02"/>
    <n v="0"/>
    <n v="0"/>
    <n v="0"/>
    <n v="0"/>
    <n v="0"/>
    <n v="0"/>
    <n v="0"/>
    <n v="0"/>
    <x v="0"/>
    <s v="spec02"/>
    <x v="11"/>
    <s v="N15G3f"/>
    <x v="0"/>
  </r>
  <r>
    <s v="y_AU_N15G3f_spec01"/>
    <n v="1"/>
    <n v="1"/>
    <n v="1"/>
    <n v="1"/>
    <n v="1"/>
    <n v="1"/>
    <n v="1"/>
    <n v="1"/>
    <x v="0"/>
    <s v="spec01"/>
    <x v="11"/>
    <s v="N15G3f"/>
    <x v="1"/>
  </r>
  <r>
    <s v="y_AU_N15G3f_spec04"/>
    <n v="0"/>
    <n v="0"/>
    <n v="0"/>
    <n v="0"/>
    <n v="0"/>
    <n v="0"/>
    <n v="0"/>
    <n v="0"/>
    <x v="0"/>
    <s v="spec04"/>
    <x v="11"/>
    <s v="N15G3f"/>
    <x v="2"/>
  </r>
  <r>
    <s v="y_AU_N15G3f_spec07"/>
    <n v="0"/>
    <n v="1"/>
    <n v="0"/>
    <n v="0"/>
    <n v="0"/>
    <n v="1"/>
    <n v="0"/>
    <n v="0"/>
    <x v="0"/>
    <s v="spec07"/>
    <x v="11"/>
    <s v="N15G3f"/>
    <x v="3"/>
  </r>
  <r>
    <s v="y_AU_N15G3f_spec08"/>
    <n v="0"/>
    <n v="0"/>
    <n v="0"/>
    <n v="0"/>
    <n v="0"/>
    <n v="0"/>
    <n v="0"/>
    <n v="0"/>
    <x v="0"/>
    <s v="spec08"/>
    <x v="11"/>
    <s v="N15G3f"/>
    <x v="4"/>
  </r>
  <r>
    <s v="y_AU_N15G3f_spec09"/>
    <n v="0"/>
    <n v="0"/>
    <n v="0"/>
    <n v="0"/>
    <n v="0"/>
    <n v="0"/>
    <n v="0"/>
    <n v="0"/>
    <x v="0"/>
    <s v="spec09"/>
    <x v="11"/>
    <s v="N15G3f"/>
    <x v="5"/>
  </r>
  <r>
    <s v="y_AU_N15G3f_spec10"/>
    <n v="0"/>
    <n v="0"/>
    <n v="0"/>
    <n v="0"/>
    <n v="0"/>
    <n v="0"/>
    <n v="0"/>
    <n v="0"/>
    <x v="0"/>
    <s v="spec10"/>
    <x v="11"/>
    <s v="N15G3f"/>
    <x v="6"/>
  </r>
  <r>
    <s v="y_AU_N15G3f_spec03"/>
    <n v="0"/>
    <n v="0"/>
    <n v="0"/>
    <n v="0"/>
    <n v="0"/>
    <n v="0"/>
    <n v="0"/>
    <n v="0"/>
    <x v="0"/>
    <s v="spec03"/>
    <x v="11"/>
    <s v="N15G3f"/>
    <x v="7"/>
  </r>
  <r>
    <s v="y_AU_N15G3f_spec18"/>
    <n v="0"/>
    <n v="1"/>
    <n v="1"/>
    <n v="1"/>
    <n v="1"/>
    <n v="1"/>
    <n v="1"/>
    <n v="1"/>
    <x v="0"/>
    <s v="spec18"/>
    <x v="11"/>
    <s v="N15G3f"/>
    <x v="8"/>
  </r>
  <r>
    <s v="y_AT_N15G3f_spec02"/>
    <n v="0"/>
    <n v="0"/>
    <n v="0"/>
    <n v="0"/>
    <n v="0"/>
    <n v="0"/>
    <n v="0"/>
    <n v="0"/>
    <x v="0"/>
    <s v="spec02"/>
    <x v="12"/>
    <s v="N15G3f"/>
    <x v="0"/>
  </r>
  <r>
    <s v="y_AT_N15G3f_spec01"/>
    <n v="0"/>
    <n v="0"/>
    <n v="0"/>
    <n v="0"/>
    <n v="0"/>
    <n v="0"/>
    <n v="0"/>
    <n v="1"/>
    <x v="0"/>
    <s v="spec01"/>
    <x v="12"/>
    <s v="N15G3f"/>
    <x v="1"/>
  </r>
  <r>
    <s v="y_AT_N15G3f_spec04"/>
    <n v="0"/>
    <n v="0"/>
    <n v="0"/>
    <n v="0"/>
    <n v="0"/>
    <n v="0"/>
    <n v="0"/>
    <n v="0"/>
    <x v="0"/>
    <s v="spec04"/>
    <x v="12"/>
    <s v="N15G3f"/>
    <x v="2"/>
  </r>
  <r>
    <s v="y_AT_N15G3f_spec07"/>
    <n v="0"/>
    <n v="0"/>
    <n v="0"/>
    <n v="0"/>
    <n v="0"/>
    <n v="0"/>
    <n v="0"/>
    <n v="0"/>
    <x v="0"/>
    <s v="spec07"/>
    <x v="12"/>
    <s v="N15G3f"/>
    <x v="3"/>
  </r>
  <r>
    <s v="y_AT_N15G3f_spec08"/>
    <n v="0"/>
    <n v="0"/>
    <n v="0"/>
    <n v="0"/>
    <n v="0"/>
    <n v="0"/>
    <n v="0"/>
    <n v="0"/>
    <x v="0"/>
    <s v="spec08"/>
    <x v="12"/>
    <s v="N15G3f"/>
    <x v="4"/>
  </r>
  <r>
    <s v="y_AT_N15G3f_spec09"/>
    <n v="0"/>
    <n v="0"/>
    <n v="0"/>
    <n v="0"/>
    <n v="0"/>
    <n v="0"/>
    <n v="0"/>
    <n v="0"/>
    <x v="0"/>
    <s v="spec09"/>
    <x v="12"/>
    <s v="N15G3f"/>
    <x v="5"/>
  </r>
  <r>
    <s v="y_AT_N15G3f_spec10"/>
    <n v="0"/>
    <n v="0"/>
    <n v="0"/>
    <n v="0"/>
    <n v="0"/>
    <n v="0"/>
    <n v="0"/>
    <n v="0"/>
    <x v="0"/>
    <s v="spec10"/>
    <x v="12"/>
    <s v="N15G3f"/>
    <x v="6"/>
  </r>
  <r>
    <s v="y_AT_N15G3f_spec03"/>
    <n v="0"/>
    <n v="0"/>
    <n v="0"/>
    <n v="0"/>
    <n v="0"/>
    <n v="0"/>
    <n v="0"/>
    <n v="0"/>
    <x v="0"/>
    <s v="spec03"/>
    <x v="12"/>
    <s v="N15G3f"/>
    <x v="7"/>
  </r>
  <r>
    <s v="y_AT_N15G3f_spec18"/>
    <n v="0"/>
    <n v="0"/>
    <n v="0"/>
    <n v="0"/>
    <n v="0"/>
    <n v="0"/>
    <n v="0"/>
    <n v="0"/>
    <x v="0"/>
    <s v="spec18"/>
    <x v="12"/>
    <s v="N15G3f"/>
    <x v="8"/>
  </r>
  <r>
    <s v="y_IN_N15G3f_spec02"/>
    <n v="0"/>
    <n v="0"/>
    <n v="0"/>
    <n v="0"/>
    <n v="0"/>
    <n v="0"/>
    <n v="0"/>
    <n v="0"/>
    <x v="0"/>
    <s v="spec02"/>
    <x v="13"/>
    <s v="N15G3f"/>
    <x v="0"/>
  </r>
  <r>
    <s v="y_IN_N15G3f_spec01"/>
    <n v="0"/>
    <n v="1"/>
    <n v="0"/>
    <n v="0"/>
    <n v="1"/>
    <n v="0"/>
    <n v="0"/>
    <n v="0"/>
    <x v="0"/>
    <s v="spec01"/>
    <x v="13"/>
    <s v="N15G3f"/>
    <x v="1"/>
  </r>
  <r>
    <s v="y_IN_N15G3f_spec04"/>
    <n v="0"/>
    <n v="0"/>
    <n v="0"/>
    <n v="0"/>
    <n v="0"/>
    <n v="0"/>
    <n v="0"/>
    <n v="0"/>
    <x v="0"/>
    <s v="spec04"/>
    <x v="13"/>
    <s v="N15G3f"/>
    <x v="2"/>
  </r>
  <r>
    <s v="y_IN_N15G3f_spec07"/>
    <n v="0"/>
    <n v="0"/>
    <n v="0"/>
    <n v="0"/>
    <n v="0"/>
    <n v="0"/>
    <n v="0"/>
    <n v="0"/>
    <x v="0"/>
    <s v="spec07"/>
    <x v="13"/>
    <s v="N15G3f"/>
    <x v="3"/>
  </r>
  <r>
    <s v="y_IN_N15G3f_spec08"/>
    <n v="0"/>
    <n v="0"/>
    <n v="0"/>
    <n v="0"/>
    <n v="0"/>
    <n v="0"/>
    <n v="0"/>
    <n v="0"/>
    <x v="0"/>
    <s v="spec08"/>
    <x v="13"/>
    <s v="N15G3f"/>
    <x v="4"/>
  </r>
  <r>
    <s v="y_IN_N15G3f_spec09"/>
    <n v="0"/>
    <n v="0"/>
    <n v="0"/>
    <n v="0"/>
    <n v="0"/>
    <n v="0"/>
    <n v="0"/>
    <n v="0"/>
    <x v="0"/>
    <s v="spec09"/>
    <x v="13"/>
    <s v="N15G3f"/>
    <x v="5"/>
  </r>
  <r>
    <s v="y_IN_N15G3f_spec10"/>
    <n v="0"/>
    <n v="0"/>
    <n v="0"/>
    <n v="0"/>
    <n v="0"/>
    <n v="0"/>
    <n v="0"/>
    <n v="0"/>
    <x v="0"/>
    <s v="spec10"/>
    <x v="13"/>
    <s v="N15G3f"/>
    <x v="6"/>
  </r>
  <r>
    <s v="y_IN_N15G3f_spec03"/>
    <n v="0"/>
    <n v="0"/>
    <n v="0"/>
    <n v="0"/>
    <n v="0"/>
    <n v="0"/>
    <n v="0"/>
    <n v="0"/>
    <x v="0"/>
    <s v="spec03"/>
    <x v="13"/>
    <s v="N15G3f"/>
    <x v="7"/>
  </r>
  <r>
    <s v="y_IN_N15G3f_spec18"/>
    <n v="0"/>
    <n v="0"/>
    <n v="0"/>
    <n v="0"/>
    <n v="0"/>
    <n v="0"/>
    <n v="0"/>
    <n v="0"/>
    <x v="0"/>
    <s v="spec18"/>
    <x v="13"/>
    <s v="N15G3f"/>
    <x v="8"/>
  </r>
  <r>
    <s v="y_CH_N15G3f_spec02"/>
    <n v="0"/>
    <n v="0"/>
    <n v="0"/>
    <n v="0"/>
    <n v="0"/>
    <n v="0"/>
    <n v="0"/>
    <n v="0"/>
    <x v="0"/>
    <s v="spec02"/>
    <x v="14"/>
    <s v="N15G3f"/>
    <x v="0"/>
  </r>
  <r>
    <s v="y_CH_N15G3f_spec01"/>
    <n v="0"/>
    <n v="0"/>
    <n v="0"/>
    <n v="0"/>
    <n v="0"/>
    <n v="0"/>
    <n v="0"/>
    <n v="0"/>
    <x v="0"/>
    <s v="spec01"/>
    <x v="14"/>
    <s v="N15G3f"/>
    <x v="1"/>
  </r>
  <r>
    <s v="y_CH_N15G3f_spec04"/>
    <n v="0"/>
    <n v="0"/>
    <n v="0"/>
    <n v="0"/>
    <n v="0"/>
    <n v="0"/>
    <n v="0"/>
    <n v="0"/>
    <x v="0"/>
    <s v="spec04"/>
    <x v="14"/>
    <s v="N15G3f"/>
    <x v="2"/>
  </r>
  <r>
    <s v="y_CH_N15G3f_spec07"/>
    <n v="0"/>
    <n v="0"/>
    <n v="0"/>
    <n v="0"/>
    <n v="0"/>
    <n v="0"/>
    <n v="0"/>
    <n v="0"/>
    <x v="0"/>
    <s v="spec07"/>
    <x v="14"/>
    <s v="N15G3f"/>
    <x v="3"/>
  </r>
  <r>
    <s v="y_CH_N15G3f_spec08"/>
    <n v="0"/>
    <n v="0"/>
    <n v="0"/>
    <n v="0"/>
    <n v="0"/>
    <n v="0"/>
    <n v="0"/>
    <n v="0"/>
    <x v="0"/>
    <s v="spec08"/>
    <x v="14"/>
    <s v="N15G3f"/>
    <x v="4"/>
  </r>
  <r>
    <s v="y_CH_N15G3f_spec09"/>
    <n v="0"/>
    <n v="0"/>
    <n v="0"/>
    <n v="0"/>
    <n v="0"/>
    <n v="0"/>
    <n v="0"/>
    <n v="0"/>
    <x v="0"/>
    <s v="spec09"/>
    <x v="14"/>
    <s v="N15G3f"/>
    <x v="5"/>
  </r>
  <r>
    <s v="y_CH_N15G3f_spec10"/>
    <n v="0"/>
    <n v="0"/>
    <n v="0"/>
    <n v="0"/>
    <n v="0"/>
    <n v="0"/>
    <n v="0"/>
    <n v="0"/>
    <x v="0"/>
    <s v="spec10"/>
    <x v="14"/>
    <s v="N15G3f"/>
    <x v="6"/>
  </r>
  <r>
    <s v="y_CH_N15G3f_spec03"/>
    <n v="0"/>
    <n v="0"/>
    <n v="0"/>
    <n v="0"/>
    <n v="0"/>
    <n v="0"/>
    <n v="0"/>
    <n v="0"/>
    <x v="0"/>
    <s v="spec03"/>
    <x v="14"/>
    <s v="N15G3f"/>
    <x v="7"/>
  </r>
  <r>
    <s v="y_CH_N15G3f_spec18"/>
    <n v="0"/>
    <n v="0"/>
    <n v="0"/>
    <n v="0"/>
    <n v="0"/>
    <n v="0"/>
    <n v="0"/>
    <n v="0"/>
    <x v="0"/>
    <s v="spec18"/>
    <x v="14"/>
    <s v="N15G3f"/>
    <x v="8"/>
  </r>
  <r>
    <s v="Dp_DE_N15G3f_spec02"/>
    <n v="0"/>
    <n v="0"/>
    <n v="0"/>
    <n v="0"/>
    <n v="0"/>
    <n v="0"/>
    <n v="0"/>
    <n v="0"/>
    <x v="1"/>
    <s v="spec02"/>
    <x v="0"/>
    <s v="N15G3f"/>
    <x v="0"/>
  </r>
  <r>
    <s v="Dp_DE_N15G3f_spec01"/>
    <n v="0"/>
    <n v="0"/>
    <n v="0"/>
    <n v="0"/>
    <n v="0"/>
    <n v="0"/>
    <n v="0"/>
    <n v="0"/>
    <x v="1"/>
    <s v="spec01"/>
    <x v="0"/>
    <s v="N15G3f"/>
    <x v="1"/>
  </r>
  <r>
    <s v="Dp_DE_N15G3f_spec04"/>
    <n v="0"/>
    <n v="0"/>
    <n v="0"/>
    <n v="0"/>
    <n v="0"/>
    <n v="0"/>
    <n v="0"/>
    <n v="0"/>
    <x v="1"/>
    <s v="spec04"/>
    <x v="0"/>
    <s v="N15G3f"/>
    <x v="2"/>
  </r>
  <r>
    <s v="Dp_DE_N15G3f_spec07"/>
    <n v="0"/>
    <n v="0"/>
    <n v="0"/>
    <n v="0"/>
    <n v="0"/>
    <n v="0"/>
    <n v="0"/>
    <n v="0"/>
    <x v="1"/>
    <s v="spec07"/>
    <x v="0"/>
    <s v="N15G3f"/>
    <x v="3"/>
  </r>
  <r>
    <s v="Dp_DE_N15G3f_spec08"/>
    <n v="0"/>
    <n v="0"/>
    <n v="0"/>
    <n v="0"/>
    <n v="0"/>
    <n v="0"/>
    <n v="0"/>
    <n v="0"/>
    <x v="1"/>
    <s v="spec08"/>
    <x v="0"/>
    <s v="N15G3f"/>
    <x v="4"/>
  </r>
  <r>
    <s v="Dp_DE_N15G3f_spec09"/>
    <n v="1"/>
    <n v="0"/>
    <n v="0"/>
    <n v="0"/>
    <n v="0"/>
    <n v="0"/>
    <n v="1"/>
    <n v="0"/>
    <x v="1"/>
    <s v="spec09"/>
    <x v="0"/>
    <s v="N15G3f"/>
    <x v="5"/>
  </r>
  <r>
    <s v="Dp_DE_N15G3f_spec10"/>
    <n v="0"/>
    <n v="0"/>
    <n v="0"/>
    <n v="0"/>
    <n v="0"/>
    <n v="0"/>
    <n v="0"/>
    <n v="0"/>
    <x v="1"/>
    <s v="spec10"/>
    <x v="0"/>
    <s v="N15G3f"/>
    <x v="6"/>
  </r>
  <r>
    <s v="Dp_DE_N15G3f_spec03"/>
    <n v="0"/>
    <n v="0"/>
    <n v="0"/>
    <n v="0"/>
    <n v="0"/>
    <n v="0"/>
    <n v="0"/>
    <n v="0"/>
    <x v="1"/>
    <s v="spec03"/>
    <x v="0"/>
    <s v="N15G3f"/>
    <x v="7"/>
  </r>
  <r>
    <s v="Dp_DE_N15G3f_spec18"/>
    <n v="0"/>
    <n v="0"/>
    <n v="0"/>
    <n v="0"/>
    <n v="0"/>
    <n v="0"/>
    <n v="0"/>
    <n v="0"/>
    <x v="1"/>
    <s v="spec18"/>
    <x v="0"/>
    <s v="N15G3f"/>
    <x v="8"/>
  </r>
  <r>
    <s v="Dp_FR_N15G3f_spec02"/>
    <n v="0"/>
    <n v="0"/>
    <n v="0"/>
    <n v="0"/>
    <n v="0"/>
    <n v="0"/>
    <n v="0"/>
    <n v="0"/>
    <x v="1"/>
    <s v="spec02"/>
    <x v="1"/>
    <s v="N15G3f"/>
    <x v="0"/>
  </r>
  <r>
    <s v="Dp_FR_N15G3f_spec01"/>
    <n v="0"/>
    <n v="1"/>
    <n v="0"/>
    <n v="1"/>
    <n v="1"/>
    <n v="1"/>
    <n v="1"/>
    <n v="1"/>
    <x v="1"/>
    <s v="spec01"/>
    <x v="1"/>
    <s v="N15G3f"/>
    <x v="1"/>
  </r>
  <r>
    <s v="Dp_FR_N15G3f_spec04"/>
    <n v="0"/>
    <n v="0"/>
    <n v="0"/>
    <n v="0"/>
    <n v="0"/>
    <n v="0"/>
    <n v="0"/>
    <n v="0"/>
    <x v="1"/>
    <s v="spec04"/>
    <x v="1"/>
    <s v="N15G3f"/>
    <x v="2"/>
  </r>
  <r>
    <s v="Dp_FR_N15G3f_spec07"/>
    <n v="0"/>
    <n v="0"/>
    <n v="0"/>
    <n v="0"/>
    <n v="0"/>
    <n v="0"/>
    <n v="0"/>
    <n v="0"/>
    <x v="1"/>
    <s v="spec07"/>
    <x v="1"/>
    <s v="N15G3f"/>
    <x v="3"/>
  </r>
  <r>
    <s v="Dp_FR_N15G3f_spec08"/>
    <n v="0"/>
    <n v="0"/>
    <n v="0"/>
    <n v="0"/>
    <n v="0"/>
    <n v="0"/>
    <n v="0"/>
    <n v="0"/>
    <x v="1"/>
    <s v="spec08"/>
    <x v="1"/>
    <s v="N15G3f"/>
    <x v="4"/>
  </r>
  <r>
    <s v="Dp_FR_N15G3f_spec09"/>
    <n v="0"/>
    <n v="0"/>
    <n v="0"/>
    <n v="0"/>
    <n v="0"/>
    <n v="0"/>
    <n v="0"/>
    <n v="0"/>
    <x v="1"/>
    <s v="spec09"/>
    <x v="1"/>
    <s v="N15G3f"/>
    <x v="5"/>
  </r>
  <r>
    <s v="Dp_FR_N15G3f_spec10"/>
    <n v="0"/>
    <n v="0"/>
    <n v="0"/>
    <n v="0"/>
    <n v="0"/>
    <n v="0"/>
    <n v="0"/>
    <n v="0"/>
    <x v="1"/>
    <s v="spec10"/>
    <x v="1"/>
    <s v="N15G3f"/>
    <x v="6"/>
  </r>
  <r>
    <s v="Dp_FR_N15G3f_spec03"/>
    <n v="0"/>
    <n v="0"/>
    <n v="0"/>
    <n v="0"/>
    <n v="0"/>
    <n v="0"/>
    <n v="0"/>
    <n v="0"/>
    <x v="1"/>
    <s v="spec03"/>
    <x v="1"/>
    <s v="N15G3f"/>
    <x v="7"/>
  </r>
  <r>
    <s v="Dp_FR_N15G3f_spec18"/>
    <n v="0"/>
    <n v="0"/>
    <n v="0"/>
    <n v="0"/>
    <n v="0"/>
    <n v="0"/>
    <n v="0"/>
    <n v="0"/>
    <x v="1"/>
    <s v="spec18"/>
    <x v="1"/>
    <s v="N15G3f"/>
    <x v="8"/>
  </r>
  <r>
    <s v="Dp_IT_N15G3f_spec02"/>
    <n v="0"/>
    <n v="0"/>
    <n v="0"/>
    <n v="0"/>
    <n v="0"/>
    <n v="0"/>
    <n v="0"/>
    <n v="0"/>
    <x v="1"/>
    <s v="spec02"/>
    <x v="2"/>
    <s v="N15G3f"/>
    <x v="0"/>
  </r>
  <r>
    <s v="Dp_IT_N15G3f_spec01"/>
    <n v="1"/>
    <n v="1"/>
    <n v="1"/>
    <n v="1"/>
    <n v="1"/>
    <n v="1"/>
    <n v="1"/>
    <n v="1"/>
    <x v="1"/>
    <s v="spec01"/>
    <x v="2"/>
    <s v="N15G3f"/>
    <x v="1"/>
  </r>
  <r>
    <s v="Dp_IT_N15G3f_spec04"/>
    <n v="0"/>
    <n v="0"/>
    <n v="0"/>
    <n v="0"/>
    <n v="0"/>
    <n v="0"/>
    <n v="0"/>
    <n v="0"/>
    <x v="1"/>
    <s v="spec04"/>
    <x v="2"/>
    <s v="N15G3f"/>
    <x v="2"/>
  </r>
  <r>
    <s v="Dp_IT_N15G3f_spec07"/>
    <n v="0"/>
    <n v="0"/>
    <n v="0"/>
    <n v="0"/>
    <n v="0"/>
    <n v="0"/>
    <n v="0"/>
    <n v="0"/>
    <x v="1"/>
    <s v="spec07"/>
    <x v="2"/>
    <s v="N15G3f"/>
    <x v="3"/>
  </r>
  <r>
    <s v="Dp_IT_N15G3f_spec08"/>
    <n v="0"/>
    <n v="0"/>
    <n v="0"/>
    <n v="0"/>
    <n v="0"/>
    <n v="0"/>
    <n v="0"/>
    <n v="0"/>
    <x v="1"/>
    <s v="spec08"/>
    <x v="2"/>
    <s v="N15G3f"/>
    <x v="4"/>
  </r>
  <r>
    <s v="Dp_IT_N15G3f_spec09"/>
    <n v="0"/>
    <n v="0"/>
    <n v="0"/>
    <n v="0"/>
    <n v="0"/>
    <n v="0"/>
    <n v="0"/>
    <n v="0"/>
    <x v="1"/>
    <s v="spec09"/>
    <x v="2"/>
    <s v="N15G3f"/>
    <x v="5"/>
  </r>
  <r>
    <s v="Dp_IT_N15G3f_spec10"/>
    <n v="0"/>
    <n v="0"/>
    <n v="0"/>
    <n v="0"/>
    <n v="0"/>
    <n v="0"/>
    <n v="0"/>
    <n v="0"/>
    <x v="1"/>
    <s v="spec10"/>
    <x v="2"/>
    <s v="N15G3f"/>
    <x v="6"/>
  </r>
  <r>
    <s v="Dp_IT_N15G3f_spec03"/>
    <n v="0"/>
    <n v="0"/>
    <n v="0"/>
    <n v="0"/>
    <n v="0"/>
    <n v="0"/>
    <n v="0"/>
    <n v="0"/>
    <x v="1"/>
    <s v="spec03"/>
    <x v="2"/>
    <s v="N15G3f"/>
    <x v="7"/>
  </r>
  <r>
    <s v="Dp_IT_N15G3f_spec18"/>
    <n v="0"/>
    <n v="0"/>
    <n v="0"/>
    <n v="0"/>
    <n v="0"/>
    <n v="0"/>
    <n v="0"/>
    <n v="0"/>
    <x v="1"/>
    <s v="spec18"/>
    <x v="2"/>
    <s v="N15G3f"/>
    <x v="8"/>
  </r>
  <r>
    <s v="Dp_GB_N15G3f_spec02"/>
    <n v="0"/>
    <n v="0"/>
    <n v="0"/>
    <n v="0"/>
    <n v="0"/>
    <n v="0"/>
    <n v="0"/>
    <n v="0"/>
    <x v="1"/>
    <s v="spec02"/>
    <x v="3"/>
    <s v="N15G3f"/>
    <x v="0"/>
  </r>
  <r>
    <s v="Dp_GB_N15G3f_spec01"/>
    <n v="0"/>
    <n v="0"/>
    <n v="1"/>
    <n v="1"/>
    <n v="1"/>
    <n v="1"/>
    <n v="0"/>
    <n v="0"/>
    <x v="1"/>
    <s v="spec01"/>
    <x v="3"/>
    <s v="N15G3f"/>
    <x v="1"/>
  </r>
  <r>
    <s v="Dp_GB_N15G3f_spec04"/>
    <n v="0"/>
    <n v="0"/>
    <n v="0"/>
    <n v="0"/>
    <n v="0"/>
    <n v="0"/>
    <n v="0"/>
    <n v="0"/>
    <x v="1"/>
    <s v="spec04"/>
    <x v="3"/>
    <s v="N15G3f"/>
    <x v="2"/>
  </r>
  <r>
    <s v="Dp_GB_N15G3f_spec07"/>
    <n v="0"/>
    <n v="0"/>
    <n v="0"/>
    <n v="0"/>
    <n v="0"/>
    <n v="0"/>
    <n v="0"/>
    <n v="0"/>
    <x v="1"/>
    <s v="spec07"/>
    <x v="3"/>
    <s v="N15G3f"/>
    <x v="3"/>
  </r>
  <r>
    <s v="Dp_GB_N15G3f_spec08"/>
    <n v="0"/>
    <n v="0"/>
    <n v="0"/>
    <n v="0"/>
    <n v="0"/>
    <n v="0"/>
    <n v="0"/>
    <n v="0"/>
    <x v="1"/>
    <s v="spec08"/>
    <x v="3"/>
    <s v="N15G3f"/>
    <x v="4"/>
  </r>
  <r>
    <s v="Dp_GB_N15G3f_spec09"/>
    <n v="0"/>
    <n v="0"/>
    <n v="0"/>
    <n v="0"/>
    <n v="0"/>
    <n v="0"/>
    <n v="0"/>
    <n v="0"/>
    <x v="1"/>
    <s v="spec09"/>
    <x v="3"/>
    <s v="N15G3f"/>
    <x v="5"/>
  </r>
  <r>
    <s v="Dp_GB_N15G3f_spec10"/>
    <n v="0"/>
    <n v="0"/>
    <n v="0"/>
    <n v="0"/>
    <n v="0"/>
    <n v="0"/>
    <n v="0"/>
    <n v="0"/>
    <x v="1"/>
    <s v="spec10"/>
    <x v="3"/>
    <s v="N15G3f"/>
    <x v="6"/>
  </r>
  <r>
    <s v="Dp_GB_N15G3f_spec03"/>
    <n v="0"/>
    <n v="0"/>
    <n v="0"/>
    <n v="0"/>
    <n v="0"/>
    <n v="0"/>
    <n v="0"/>
    <n v="0"/>
    <x v="1"/>
    <s v="spec03"/>
    <x v="3"/>
    <s v="N15G3f"/>
    <x v="7"/>
  </r>
  <r>
    <s v="Dp_GB_N15G3f_spec18"/>
    <n v="0"/>
    <n v="0"/>
    <n v="0"/>
    <n v="0"/>
    <n v="0"/>
    <n v="0"/>
    <n v="0"/>
    <n v="0"/>
    <x v="1"/>
    <s v="spec18"/>
    <x v="3"/>
    <s v="N15G3f"/>
    <x v="8"/>
  </r>
  <r>
    <s v="Dp_US_N15G3f_spec02"/>
    <n v="0"/>
    <n v="0"/>
    <n v="0"/>
    <n v="0"/>
    <n v="0"/>
    <n v="0"/>
    <n v="0"/>
    <n v="0"/>
    <x v="1"/>
    <s v="spec02"/>
    <x v="4"/>
    <s v="N15G3f"/>
    <x v="0"/>
  </r>
  <r>
    <s v="Dp_US_N15G3f_spec01"/>
    <n v="0"/>
    <n v="0"/>
    <n v="0"/>
    <n v="0"/>
    <n v="0"/>
    <n v="0"/>
    <n v="0"/>
    <n v="0"/>
    <x v="1"/>
    <s v="spec01"/>
    <x v="4"/>
    <s v="N15G3f"/>
    <x v="1"/>
  </r>
  <r>
    <s v="Dp_US_N15G3f_spec04"/>
    <n v="0"/>
    <n v="0"/>
    <n v="0"/>
    <n v="0"/>
    <n v="0"/>
    <n v="0"/>
    <n v="0"/>
    <n v="0"/>
    <x v="1"/>
    <s v="spec04"/>
    <x v="4"/>
    <s v="N15G3f"/>
    <x v="2"/>
  </r>
  <r>
    <s v="Dp_US_N15G3f_spec07"/>
    <n v="0"/>
    <n v="0"/>
    <n v="0"/>
    <n v="0"/>
    <n v="0"/>
    <n v="0"/>
    <n v="0"/>
    <n v="0"/>
    <x v="1"/>
    <s v="spec07"/>
    <x v="4"/>
    <s v="N15G3f"/>
    <x v="3"/>
  </r>
  <r>
    <s v="Dp_US_N15G3f_spec08"/>
    <n v="0"/>
    <n v="0"/>
    <n v="0"/>
    <n v="0"/>
    <n v="0"/>
    <n v="0"/>
    <n v="0"/>
    <n v="0"/>
    <x v="1"/>
    <s v="spec08"/>
    <x v="4"/>
    <s v="N15G3f"/>
    <x v="4"/>
  </r>
  <r>
    <s v="Dp_US_N15G3f_spec09"/>
    <n v="0"/>
    <n v="0"/>
    <n v="0"/>
    <n v="0"/>
    <n v="0"/>
    <n v="0"/>
    <n v="0"/>
    <n v="0"/>
    <x v="1"/>
    <s v="spec09"/>
    <x v="4"/>
    <s v="N15G3f"/>
    <x v="5"/>
  </r>
  <r>
    <s v="Dp_US_N15G3f_spec10"/>
    <n v="0"/>
    <n v="0"/>
    <n v="0"/>
    <n v="0"/>
    <n v="0"/>
    <n v="0"/>
    <n v="0"/>
    <n v="0"/>
    <x v="1"/>
    <s v="spec10"/>
    <x v="4"/>
    <s v="N15G3f"/>
    <x v="6"/>
  </r>
  <r>
    <s v="Dp_US_N15G3f_spec03"/>
    <n v="0"/>
    <n v="0"/>
    <n v="0"/>
    <n v="0"/>
    <n v="0"/>
    <n v="0"/>
    <n v="0"/>
    <n v="0"/>
    <x v="1"/>
    <s v="spec03"/>
    <x v="4"/>
    <s v="N15G3f"/>
    <x v="7"/>
  </r>
  <r>
    <s v="Dp_US_N15G3f_spec18"/>
    <n v="0"/>
    <n v="0"/>
    <n v="0"/>
    <n v="0"/>
    <n v="0"/>
    <n v="0"/>
    <n v="0"/>
    <n v="0"/>
    <x v="1"/>
    <s v="spec18"/>
    <x v="4"/>
    <s v="N15G3f"/>
    <x v="8"/>
  </r>
  <r>
    <s v="Dp_CA_N15G3f_spec02"/>
    <n v="0"/>
    <n v="0"/>
    <n v="0"/>
    <n v="0"/>
    <n v="0"/>
    <n v="0"/>
    <n v="0"/>
    <n v="0"/>
    <x v="1"/>
    <s v="spec02"/>
    <x v="5"/>
    <s v="N15G3f"/>
    <x v="0"/>
  </r>
  <r>
    <s v="Dp_CA_N15G3f_spec01"/>
    <n v="0"/>
    <n v="0"/>
    <n v="0"/>
    <n v="0"/>
    <n v="0"/>
    <n v="0"/>
    <n v="0"/>
    <n v="0"/>
    <x v="1"/>
    <s v="spec01"/>
    <x v="5"/>
    <s v="N15G3f"/>
    <x v="1"/>
  </r>
  <r>
    <s v="Dp_CA_N15G3f_spec04"/>
    <n v="0"/>
    <n v="0"/>
    <n v="0"/>
    <n v="0"/>
    <n v="0"/>
    <n v="0"/>
    <n v="0"/>
    <n v="0"/>
    <x v="1"/>
    <s v="spec04"/>
    <x v="5"/>
    <s v="N15G3f"/>
    <x v="2"/>
  </r>
  <r>
    <s v="Dp_CA_N15G3f_spec07"/>
    <n v="0"/>
    <n v="0"/>
    <n v="0"/>
    <n v="0"/>
    <n v="0"/>
    <n v="0"/>
    <n v="0"/>
    <n v="0"/>
    <x v="1"/>
    <s v="spec07"/>
    <x v="5"/>
    <s v="N15G3f"/>
    <x v="3"/>
  </r>
  <r>
    <s v="Dp_CA_N15G3f_spec08"/>
    <n v="0"/>
    <n v="0"/>
    <n v="0"/>
    <n v="0"/>
    <n v="0"/>
    <n v="0"/>
    <n v="0"/>
    <n v="0"/>
    <x v="1"/>
    <s v="spec08"/>
    <x v="5"/>
    <s v="N15G3f"/>
    <x v="4"/>
  </r>
  <r>
    <s v="Dp_CA_N15G3f_spec09"/>
    <n v="0"/>
    <n v="0"/>
    <n v="0"/>
    <n v="0"/>
    <n v="0"/>
    <n v="1"/>
    <n v="0"/>
    <n v="1"/>
    <x v="1"/>
    <s v="spec09"/>
    <x v="5"/>
    <s v="N15G3f"/>
    <x v="5"/>
  </r>
  <r>
    <s v="Dp_CA_N15G3f_spec10"/>
    <n v="0"/>
    <n v="0"/>
    <n v="0"/>
    <n v="0"/>
    <n v="0"/>
    <n v="0"/>
    <n v="0"/>
    <n v="0"/>
    <x v="1"/>
    <s v="spec10"/>
    <x v="5"/>
    <s v="N15G3f"/>
    <x v="6"/>
  </r>
  <r>
    <s v="Dp_CA_N15G3f_spec03"/>
    <n v="0"/>
    <n v="0"/>
    <n v="0"/>
    <n v="0"/>
    <n v="0"/>
    <n v="0"/>
    <n v="0"/>
    <n v="0"/>
    <x v="1"/>
    <s v="spec03"/>
    <x v="5"/>
    <s v="N15G3f"/>
    <x v="7"/>
  </r>
  <r>
    <s v="Dp_CA_N15G3f_spec18"/>
    <n v="0"/>
    <n v="0"/>
    <n v="0"/>
    <n v="0"/>
    <n v="0"/>
    <n v="0"/>
    <n v="0"/>
    <n v="0"/>
    <x v="1"/>
    <s v="spec18"/>
    <x v="5"/>
    <s v="N15G3f"/>
    <x v="8"/>
  </r>
  <r>
    <s v="Dp_AG_N15G3f_spec02"/>
    <n v="0"/>
    <n v="0"/>
    <n v="0"/>
    <n v="0"/>
    <n v="0"/>
    <n v="0"/>
    <n v="0"/>
    <n v="0"/>
    <x v="1"/>
    <s v="spec02"/>
    <x v="6"/>
    <s v="N15G3f"/>
    <x v="0"/>
  </r>
  <r>
    <s v="Dp_AG_N15G3f_spec01"/>
    <n v="0"/>
    <n v="0"/>
    <n v="0"/>
    <n v="0"/>
    <n v="0"/>
    <n v="0"/>
    <n v="0"/>
    <n v="0"/>
    <x v="1"/>
    <s v="spec01"/>
    <x v="6"/>
    <s v="N15G3f"/>
    <x v="1"/>
  </r>
  <r>
    <s v="Dp_AG_N15G3f_spec04"/>
    <n v="1"/>
    <n v="1"/>
    <n v="0"/>
    <n v="0"/>
    <n v="0"/>
    <n v="0"/>
    <n v="0"/>
    <n v="0"/>
    <x v="1"/>
    <s v="spec04"/>
    <x v="6"/>
    <s v="N15G3f"/>
    <x v="2"/>
  </r>
  <r>
    <s v="Dp_AG_N15G3f_spec07"/>
    <n v="0"/>
    <n v="0"/>
    <n v="0"/>
    <n v="0"/>
    <n v="0"/>
    <n v="0"/>
    <n v="0"/>
    <n v="0"/>
    <x v="1"/>
    <s v="spec07"/>
    <x v="6"/>
    <s v="N15G3f"/>
    <x v="3"/>
  </r>
  <r>
    <s v="Dp_AG_N15G3f_spec08"/>
    <n v="0"/>
    <n v="0"/>
    <n v="0"/>
    <n v="0"/>
    <n v="0"/>
    <n v="0"/>
    <n v="0"/>
    <n v="0"/>
    <x v="1"/>
    <s v="spec08"/>
    <x v="6"/>
    <s v="N15G3f"/>
    <x v="4"/>
  </r>
  <r>
    <s v="Dp_AG_N15G3f_spec09"/>
    <n v="0"/>
    <n v="0"/>
    <n v="0"/>
    <n v="0"/>
    <n v="0"/>
    <n v="0"/>
    <n v="0"/>
    <n v="0"/>
    <x v="1"/>
    <s v="spec09"/>
    <x v="6"/>
    <s v="N15G3f"/>
    <x v="5"/>
  </r>
  <r>
    <s v="Dp_AG_N15G3f_spec10"/>
    <n v="0"/>
    <n v="0"/>
    <n v="0"/>
    <n v="0"/>
    <n v="0"/>
    <n v="0"/>
    <n v="0"/>
    <n v="0"/>
    <x v="1"/>
    <s v="spec10"/>
    <x v="6"/>
    <s v="N15G3f"/>
    <x v="6"/>
  </r>
  <r>
    <s v="Dp_AG_N15G3f_spec03"/>
    <n v="0"/>
    <n v="1"/>
    <n v="0"/>
    <n v="0"/>
    <n v="0"/>
    <n v="0"/>
    <n v="0"/>
    <n v="0"/>
    <x v="1"/>
    <s v="spec03"/>
    <x v="6"/>
    <s v="N15G3f"/>
    <x v="7"/>
  </r>
  <r>
    <s v="Dp_AG_N15G3f_spec18"/>
    <n v="1"/>
    <n v="1"/>
    <n v="1"/>
    <n v="1"/>
    <n v="1"/>
    <n v="1"/>
    <n v="1"/>
    <n v="1"/>
    <x v="1"/>
    <s v="spec18"/>
    <x v="6"/>
    <s v="N15G3f"/>
    <x v="8"/>
  </r>
  <r>
    <s v="Dp_BR_N15G3f_spec02"/>
    <n v="0"/>
    <n v="0"/>
    <n v="0"/>
    <n v="0"/>
    <n v="0"/>
    <n v="0"/>
    <n v="0"/>
    <n v="0"/>
    <x v="1"/>
    <s v="spec02"/>
    <x v="7"/>
    <s v="N15G3f"/>
    <x v="0"/>
  </r>
  <r>
    <s v="Dp_BR_N15G3f_spec01"/>
    <n v="1"/>
    <n v="0"/>
    <n v="0"/>
    <n v="0"/>
    <n v="0"/>
    <n v="0"/>
    <n v="0"/>
    <n v="0"/>
    <x v="1"/>
    <s v="spec01"/>
    <x v="7"/>
    <s v="N15G3f"/>
    <x v="1"/>
  </r>
  <r>
    <s v="Dp_BR_N15G3f_spec04"/>
    <n v="0"/>
    <n v="0"/>
    <n v="0"/>
    <n v="0"/>
    <n v="0"/>
    <n v="0"/>
    <n v="0"/>
    <n v="0"/>
    <x v="1"/>
    <s v="spec04"/>
    <x v="7"/>
    <s v="N15G3f"/>
    <x v="2"/>
  </r>
  <r>
    <s v="Dp_BR_N15G3f_spec07"/>
    <n v="0"/>
    <n v="0"/>
    <n v="0"/>
    <n v="0"/>
    <n v="0"/>
    <n v="0"/>
    <n v="0"/>
    <n v="0"/>
    <x v="1"/>
    <s v="spec07"/>
    <x v="7"/>
    <s v="N15G3f"/>
    <x v="3"/>
  </r>
  <r>
    <s v="Dp_BR_N15G3f_spec08"/>
    <n v="0"/>
    <n v="0"/>
    <n v="0"/>
    <n v="0"/>
    <n v="0"/>
    <n v="0"/>
    <n v="1"/>
    <n v="1"/>
    <x v="1"/>
    <s v="spec08"/>
    <x v="7"/>
    <s v="N15G3f"/>
    <x v="4"/>
  </r>
  <r>
    <s v="Dp_BR_N15G3f_spec09"/>
    <n v="0"/>
    <n v="0"/>
    <n v="0"/>
    <n v="0"/>
    <n v="0"/>
    <n v="0"/>
    <n v="0"/>
    <n v="0"/>
    <x v="1"/>
    <s v="spec09"/>
    <x v="7"/>
    <s v="N15G3f"/>
    <x v="5"/>
  </r>
  <r>
    <s v="Dp_BR_N15G3f_spec10"/>
    <n v="0"/>
    <n v="0"/>
    <n v="0"/>
    <n v="0"/>
    <n v="0"/>
    <n v="0"/>
    <n v="0"/>
    <n v="0"/>
    <x v="1"/>
    <s v="spec10"/>
    <x v="7"/>
    <s v="N15G3f"/>
    <x v="6"/>
  </r>
  <r>
    <s v="Dp_BR_N15G3f_spec03"/>
    <n v="1"/>
    <n v="1"/>
    <n v="1"/>
    <n v="1"/>
    <n v="1"/>
    <n v="1"/>
    <n v="1"/>
    <n v="1"/>
    <x v="1"/>
    <s v="spec03"/>
    <x v="7"/>
    <s v="N15G3f"/>
    <x v="7"/>
  </r>
  <r>
    <s v="Dp_BR_N15G3f_spec18"/>
    <n v="1"/>
    <n v="1"/>
    <n v="1"/>
    <n v="1"/>
    <n v="1"/>
    <n v="1"/>
    <n v="1"/>
    <n v="1"/>
    <x v="1"/>
    <s v="spec18"/>
    <x v="7"/>
    <s v="N15G3f"/>
    <x v="8"/>
  </r>
  <r>
    <s v="Dp_MX_N15G3f_spec02"/>
    <n v="0"/>
    <n v="0"/>
    <n v="0"/>
    <n v="0"/>
    <n v="0"/>
    <n v="0"/>
    <n v="0"/>
    <n v="0"/>
    <x v="1"/>
    <s v="spec02"/>
    <x v="8"/>
    <s v="N15G3f"/>
    <x v="0"/>
  </r>
  <r>
    <s v="Dp_MX_N15G3f_spec01"/>
    <n v="1"/>
    <n v="1"/>
    <n v="1"/>
    <n v="1"/>
    <n v="1"/>
    <n v="1"/>
    <n v="1"/>
    <n v="1"/>
    <x v="1"/>
    <s v="spec01"/>
    <x v="8"/>
    <s v="N15G3f"/>
    <x v="1"/>
  </r>
  <r>
    <s v="Dp_MX_N15G3f_spec04"/>
    <n v="1"/>
    <n v="1"/>
    <n v="1"/>
    <n v="1"/>
    <n v="1"/>
    <n v="1"/>
    <n v="1"/>
    <n v="1"/>
    <x v="1"/>
    <s v="spec04"/>
    <x v="8"/>
    <s v="N15G3f"/>
    <x v="2"/>
  </r>
  <r>
    <s v="Dp_MX_N15G3f_spec07"/>
    <n v="0"/>
    <n v="0"/>
    <n v="0"/>
    <n v="0"/>
    <n v="0"/>
    <n v="0"/>
    <n v="0"/>
    <n v="0"/>
    <x v="1"/>
    <s v="spec07"/>
    <x v="8"/>
    <s v="N15G3f"/>
    <x v="3"/>
  </r>
  <r>
    <s v="Dp_MX_N15G3f_spec08"/>
    <n v="0"/>
    <n v="0"/>
    <n v="0"/>
    <n v="0"/>
    <n v="0"/>
    <n v="0"/>
    <n v="0"/>
    <n v="0"/>
    <x v="1"/>
    <s v="spec08"/>
    <x v="8"/>
    <s v="N15G3f"/>
    <x v="4"/>
  </r>
  <r>
    <s v="Dp_MX_N15G3f_spec09"/>
    <n v="0"/>
    <n v="0"/>
    <n v="0"/>
    <n v="0"/>
    <n v="0"/>
    <n v="0"/>
    <n v="1"/>
    <n v="1"/>
    <x v="1"/>
    <s v="spec09"/>
    <x v="8"/>
    <s v="N15G3f"/>
    <x v="5"/>
  </r>
  <r>
    <s v="Dp_MX_N15G3f_spec10"/>
    <n v="0"/>
    <n v="0"/>
    <n v="0"/>
    <n v="0"/>
    <n v="0"/>
    <n v="0"/>
    <n v="0"/>
    <n v="0"/>
    <x v="1"/>
    <s v="spec10"/>
    <x v="8"/>
    <s v="N15G3f"/>
    <x v="6"/>
  </r>
  <r>
    <s v="Dp_MX_N15G3f_spec03"/>
    <n v="1"/>
    <n v="1"/>
    <n v="1"/>
    <n v="1"/>
    <n v="1"/>
    <n v="1"/>
    <n v="1"/>
    <n v="1"/>
    <x v="1"/>
    <s v="spec03"/>
    <x v="8"/>
    <s v="N15G3f"/>
    <x v="7"/>
  </r>
  <r>
    <s v="Dp_MX_N15G3f_spec18"/>
    <n v="1"/>
    <n v="1"/>
    <n v="1"/>
    <n v="1"/>
    <n v="1"/>
    <n v="1"/>
    <n v="1"/>
    <n v="1"/>
    <x v="1"/>
    <s v="spec18"/>
    <x v="8"/>
    <s v="N15G3f"/>
    <x v="8"/>
  </r>
  <r>
    <s v="Dp_CN_N15G3f_spec02"/>
    <n v="0"/>
    <n v="0"/>
    <n v="0"/>
    <n v="0"/>
    <n v="0"/>
    <n v="0"/>
    <n v="0"/>
    <n v="0"/>
    <x v="1"/>
    <s v="spec02"/>
    <x v="9"/>
    <s v="N15G3f"/>
    <x v="0"/>
  </r>
  <r>
    <s v="Dp_CN_N15G3f_spec01"/>
    <n v="0"/>
    <n v="0"/>
    <n v="0"/>
    <n v="0"/>
    <n v="0"/>
    <n v="0"/>
    <n v="0"/>
    <n v="0"/>
    <x v="1"/>
    <s v="spec01"/>
    <x v="9"/>
    <s v="N15G3f"/>
    <x v="1"/>
  </r>
  <r>
    <s v="Dp_CN_N15G3f_spec04"/>
    <n v="0"/>
    <n v="0"/>
    <n v="0"/>
    <n v="0"/>
    <n v="0"/>
    <n v="0"/>
    <n v="0"/>
    <n v="0"/>
    <x v="1"/>
    <s v="spec04"/>
    <x v="9"/>
    <s v="N15G3f"/>
    <x v="2"/>
  </r>
  <r>
    <s v="Dp_CN_N15G3f_spec07"/>
    <n v="0"/>
    <n v="0"/>
    <n v="0"/>
    <n v="0"/>
    <n v="0"/>
    <n v="0"/>
    <n v="0"/>
    <n v="0"/>
    <x v="1"/>
    <s v="spec07"/>
    <x v="9"/>
    <s v="N15G3f"/>
    <x v="3"/>
  </r>
  <r>
    <s v="Dp_CN_N15G3f_spec08"/>
    <n v="0"/>
    <n v="0"/>
    <n v="0"/>
    <n v="0"/>
    <n v="0"/>
    <n v="0"/>
    <n v="0"/>
    <n v="0"/>
    <x v="1"/>
    <s v="spec08"/>
    <x v="9"/>
    <s v="N15G3f"/>
    <x v="4"/>
  </r>
  <r>
    <s v="Dp_CN_N15G3f_spec09"/>
    <n v="0"/>
    <n v="0"/>
    <n v="0"/>
    <n v="0"/>
    <n v="0"/>
    <n v="0"/>
    <n v="0"/>
    <n v="0"/>
    <x v="1"/>
    <s v="spec09"/>
    <x v="9"/>
    <s v="N15G3f"/>
    <x v="5"/>
  </r>
  <r>
    <s v="Dp_CN_N15G3f_spec10"/>
    <n v="0"/>
    <n v="0"/>
    <n v="0"/>
    <n v="0"/>
    <n v="0"/>
    <n v="0"/>
    <n v="0"/>
    <n v="0"/>
    <x v="1"/>
    <s v="spec10"/>
    <x v="9"/>
    <s v="N15G3f"/>
    <x v="6"/>
  </r>
  <r>
    <s v="Dp_CN_N15G3f_spec03"/>
    <n v="0"/>
    <n v="0"/>
    <n v="0"/>
    <n v="0"/>
    <n v="0"/>
    <n v="0"/>
    <n v="0"/>
    <n v="0"/>
    <x v="1"/>
    <s v="spec03"/>
    <x v="9"/>
    <s v="N15G3f"/>
    <x v="7"/>
  </r>
  <r>
    <s v="Dp_CN_N15G3f_spec18"/>
    <n v="0"/>
    <n v="0"/>
    <n v="0"/>
    <n v="0"/>
    <n v="0"/>
    <n v="0"/>
    <n v="0"/>
    <n v="0"/>
    <x v="1"/>
    <s v="spec18"/>
    <x v="9"/>
    <s v="N15G3f"/>
    <x v="8"/>
  </r>
  <r>
    <s v="Dp_JP_N15G3f_spec02"/>
    <n v="0"/>
    <n v="0"/>
    <n v="0"/>
    <n v="0"/>
    <n v="0"/>
    <n v="0"/>
    <n v="0"/>
    <n v="0"/>
    <x v="1"/>
    <s v="spec02"/>
    <x v="10"/>
    <s v="N15G3f"/>
    <x v="0"/>
  </r>
  <r>
    <s v="Dp_JP_N15G3f_spec01"/>
    <n v="0"/>
    <n v="0"/>
    <n v="0"/>
    <n v="0"/>
    <n v="0"/>
    <n v="0"/>
    <n v="0"/>
    <n v="0"/>
    <x v="1"/>
    <s v="spec01"/>
    <x v="10"/>
    <s v="N15G3f"/>
    <x v="1"/>
  </r>
  <r>
    <s v="Dp_JP_N15G3f_spec04"/>
    <n v="0"/>
    <n v="0"/>
    <n v="0"/>
    <n v="0"/>
    <n v="0"/>
    <n v="1"/>
    <n v="0"/>
    <n v="0"/>
    <x v="1"/>
    <s v="spec04"/>
    <x v="10"/>
    <s v="N15G3f"/>
    <x v="2"/>
  </r>
  <r>
    <s v="Dp_JP_N15G3f_spec07"/>
    <n v="0"/>
    <n v="0"/>
    <n v="0"/>
    <n v="0"/>
    <n v="0"/>
    <n v="0"/>
    <n v="0"/>
    <n v="0"/>
    <x v="1"/>
    <s v="spec07"/>
    <x v="10"/>
    <s v="N15G3f"/>
    <x v="3"/>
  </r>
  <r>
    <s v="Dp_JP_N15G3f_spec08"/>
    <n v="0"/>
    <n v="0"/>
    <n v="0"/>
    <n v="0"/>
    <n v="0"/>
    <n v="0"/>
    <n v="0"/>
    <n v="0"/>
    <x v="1"/>
    <s v="spec08"/>
    <x v="10"/>
    <s v="N15G3f"/>
    <x v="4"/>
  </r>
  <r>
    <s v="Dp_JP_N15G3f_spec09"/>
    <n v="0"/>
    <n v="0"/>
    <n v="0"/>
    <n v="0"/>
    <n v="0"/>
    <n v="0"/>
    <n v="0"/>
    <n v="0"/>
    <x v="1"/>
    <s v="spec09"/>
    <x v="10"/>
    <s v="N15G3f"/>
    <x v="5"/>
  </r>
  <r>
    <s v="Dp_JP_N15G3f_spec10"/>
    <n v="0"/>
    <n v="0"/>
    <n v="0"/>
    <n v="0"/>
    <n v="0"/>
    <n v="0"/>
    <n v="0"/>
    <n v="0"/>
    <x v="1"/>
    <s v="spec10"/>
    <x v="10"/>
    <s v="N15G3f"/>
    <x v="6"/>
  </r>
  <r>
    <s v="Dp_JP_N15G3f_spec03"/>
    <n v="0"/>
    <n v="0"/>
    <n v="0"/>
    <n v="0"/>
    <n v="0"/>
    <n v="0"/>
    <n v="0"/>
    <n v="0"/>
    <x v="1"/>
    <s v="spec03"/>
    <x v="10"/>
    <s v="N15G3f"/>
    <x v="7"/>
  </r>
  <r>
    <s v="Dp_JP_N15G3f_spec18"/>
    <n v="0"/>
    <n v="0"/>
    <n v="0"/>
    <n v="0"/>
    <n v="0"/>
    <n v="0"/>
    <n v="0"/>
    <n v="0"/>
    <x v="1"/>
    <s v="spec18"/>
    <x v="10"/>
    <s v="N15G3f"/>
    <x v="8"/>
  </r>
  <r>
    <s v="Dp_AU_N15G3f_spec02"/>
    <n v="0"/>
    <n v="0"/>
    <n v="0"/>
    <n v="0"/>
    <n v="0"/>
    <n v="0"/>
    <n v="0"/>
    <n v="0"/>
    <x v="1"/>
    <s v="spec02"/>
    <x v="11"/>
    <s v="N15G3f"/>
    <x v="0"/>
  </r>
  <r>
    <s v="Dp_AU_N15G3f_spec01"/>
    <n v="0"/>
    <n v="0"/>
    <n v="0"/>
    <n v="0"/>
    <n v="0"/>
    <n v="0"/>
    <n v="0"/>
    <n v="0"/>
    <x v="1"/>
    <s v="spec01"/>
    <x v="11"/>
    <s v="N15G3f"/>
    <x v="1"/>
  </r>
  <r>
    <s v="Dp_AU_N15G3f_spec04"/>
    <n v="0"/>
    <n v="0"/>
    <n v="0"/>
    <n v="0"/>
    <n v="0"/>
    <n v="1"/>
    <n v="0"/>
    <n v="0"/>
    <x v="1"/>
    <s v="spec04"/>
    <x v="11"/>
    <s v="N15G3f"/>
    <x v="2"/>
  </r>
  <r>
    <s v="Dp_AU_N15G3f_spec07"/>
    <n v="0"/>
    <n v="0"/>
    <n v="0"/>
    <n v="0"/>
    <n v="0"/>
    <n v="0"/>
    <n v="0"/>
    <n v="0"/>
    <x v="1"/>
    <s v="spec07"/>
    <x v="11"/>
    <s v="N15G3f"/>
    <x v="3"/>
  </r>
  <r>
    <s v="Dp_AU_N15G3f_spec08"/>
    <n v="1"/>
    <n v="0"/>
    <n v="0"/>
    <n v="0"/>
    <n v="0"/>
    <n v="0"/>
    <n v="0"/>
    <n v="0"/>
    <x v="1"/>
    <s v="spec08"/>
    <x v="11"/>
    <s v="N15G3f"/>
    <x v="4"/>
  </r>
  <r>
    <s v="Dp_AU_N15G3f_spec09"/>
    <n v="0"/>
    <n v="0"/>
    <n v="0"/>
    <n v="0"/>
    <n v="0"/>
    <n v="0"/>
    <n v="0"/>
    <n v="0"/>
    <x v="1"/>
    <s v="spec09"/>
    <x v="11"/>
    <s v="N15G3f"/>
    <x v="5"/>
  </r>
  <r>
    <s v="Dp_AU_N15G3f_spec10"/>
    <n v="0"/>
    <n v="0"/>
    <n v="0"/>
    <n v="0"/>
    <n v="0"/>
    <n v="0"/>
    <n v="0"/>
    <n v="0"/>
    <x v="1"/>
    <s v="spec10"/>
    <x v="11"/>
    <s v="N15G3f"/>
    <x v="6"/>
  </r>
  <r>
    <s v="Dp_AU_N15G3f_spec03"/>
    <n v="0"/>
    <n v="0"/>
    <n v="0"/>
    <n v="0"/>
    <n v="0"/>
    <n v="0"/>
    <n v="0"/>
    <n v="0"/>
    <x v="1"/>
    <s v="spec03"/>
    <x v="11"/>
    <s v="N15G3f"/>
    <x v="7"/>
  </r>
  <r>
    <s v="Dp_AU_N15G3f_spec18"/>
    <n v="0"/>
    <n v="0"/>
    <n v="0"/>
    <n v="0"/>
    <n v="0"/>
    <n v="0"/>
    <n v="0"/>
    <n v="0"/>
    <x v="1"/>
    <s v="spec18"/>
    <x v="11"/>
    <s v="N15G3f"/>
    <x v="8"/>
  </r>
  <r>
    <s v="Dp_AT_N15G3f_spec02"/>
    <n v="0"/>
    <n v="0"/>
    <n v="0"/>
    <n v="0"/>
    <n v="0"/>
    <n v="0"/>
    <n v="0"/>
    <n v="0"/>
    <x v="1"/>
    <s v="spec02"/>
    <x v="12"/>
    <s v="N15G3f"/>
    <x v="0"/>
  </r>
  <r>
    <s v="Dp_AT_N15G3f_spec01"/>
    <n v="1"/>
    <n v="0"/>
    <n v="0"/>
    <n v="0"/>
    <n v="0"/>
    <n v="0"/>
    <n v="0"/>
    <n v="0"/>
    <x v="1"/>
    <s v="spec01"/>
    <x v="12"/>
    <s v="N15G3f"/>
    <x v="1"/>
  </r>
  <r>
    <s v="Dp_AT_N15G3f_spec04"/>
    <n v="0"/>
    <n v="0"/>
    <n v="0"/>
    <n v="0"/>
    <n v="0"/>
    <n v="0"/>
    <n v="0"/>
    <n v="0"/>
    <x v="1"/>
    <s v="spec04"/>
    <x v="12"/>
    <s v="N15G3f"/>
    <x v="2"/>
  </r>
  <r>
    <s v="Dp_AT_N15G3f_spec07"/>
    <n v="0"/>
    <n v="0"/>
    <n v="0"/>
    <n v="0"/>
    <n v="0"/>
    <n v="0"/>
    <n v="0"/>
    <n v="0"/>
    <x v="1"/>
    <s v="spec07"/>
    <x v="12"/>
    <s v="N15G3f"/>
    <x v="3"/>
  </r>
  <r>
    <s v="Dp_AT_N15G3f_spec08"/>
    <n v="0"/>
    <n v="0"/>
    <n v="0"/>
    <n v="0"/>
    <n v="0"/>
    <n v="0"/>
    <n v="0"/>
    <n v="0"/>
    <x v="1"/>
    <s v="spec08"/>
    <x v="12"/>
    <s v="N15G3f"/>
    <x v="4"/>
  </r>
  <r>
    <s v="Dp_AT_N15G3f_spec09"/>
    <n v="0"/>
    <n v="0"/>
    <n v="0"/>
    <n v="0"/>
    <n v="0"/>
    <n v="1"/>
    <n v="1"/>
    <n v="0"/>
    <x v="1"/>
    <s v="spec09"/>
    <x v="12"/>
    <s v="N15G3f"/>
    <x v="5"/>
  </r>
  <r>
    <s v="Dp_AT_N15G3f_spec10"/>
    <n v="0"/>
    <n v="0"/>
    <n v="0"/>
    <n v="0"/>
    <n v="0"/>
    <n v="0"/>
    <n v="0"/>
    <n v="0"/>
    <x v="1"/>
    <s v="spec10"/>
    <x v="12"/>
    <s v="N15G3f"/>
    <x v="6"/>
  </r>
  <r>
    <s v="Dp_AT_N15G3f_spec03"/>
    <n v="0"/>
    <n v="0"/>
    <n v="0"/>
    <n v="0"/>
    <n v="0"/>
    <n v="0"/>
    <n v="0"/>
    <n v="0"/>
    <x v="1"/>
    <s v="spec03"/>
    <x v="12"/>
    <s v="N15G3f"/>
    <x v="7"/>
  </r>
  <r>
    <s v="Dp_AT_N15G3f_spec18"/>
    <n v="0"/>
    <n v="0"/>
    <n v="0"/>
    <n v="0"/>
    <n v="0"/>
    <n v="0"/>
    <n v="0"/>
    <n v="0"/>
    <x v="1"/>
    <s v="spec18"/>
    <x v="12"/>
    <s v="N15G3f"/>
    <x v="8"/>
  </r>
  <r>
    <s v="Dp_IN_N15G3f_spec02"/>
    <n v="0"/>
    <n v="0"/>
    <n v="0"/>
    <n v="0"/>
    <n v="0"/>
    <n v="0"/>
    <n v="0"/>
    <n v="0"/>
    <x v="1"/>
    <s v="spec02"/>
    <x v="13"/>
    <s v="N15G3f"/>
    <x v="0"/>
  </r>
  <r>
    <s v="Dp_IN_N15G3f_spec01"/>
    <n v="1"/>
    <n v="1"/>
    <n v="1"/>
    <n v="1"/>
    <n v="1"/>
    <n v="1"/>
    <n v="0"/>
    <n v="0"/>
    <x v="1"/>
    <s v="spec01"/>
    <x v="13"/>
    <s v="N15G3f"/>
    <x v="1"/>
  </r>
  <r>
    <s v="Dp_IN_N15G3f_spec04"/>
    <n v="0"/>
    <n v="0"/>
    <n v="0"/>
    <n v="0"/>
    <n v="0"/>
    <n v="0"/>
    <n v="0"/>
    <n v="0"/>
    <x v="1"/>
    <s v="spec04"/>
    <x v="13"/>
    <s v="N15G3f"/>
    <x v="2"/>
  </r>
  <r>
    <s v="Dp_IN_N15G3f_spec07"/>
    <n v="0"/>
    <n v="0"/>
    <n v="1"/>
    <n v="1"/>
    <n v="1"/>
    <n v="1"/>
    <n v="0"/>
    <n v="0"/>
    <x v="1"/>
    <s v="spec07"/>
    <x v="13"/>
    <s v="N15G3f"/>
    <x v="3"/>
  </r>
  <r>
    <s v="Dp_IN_N15G3f_spec08"/>
    <n v="0"/>
    <n v="0"/>
    <n v="0"/>
    <n v="0"/>
    <n v="0"/>
    <n v="0"/>
    <n v="0"/>
    <n v="0"/>
    <x v="1"/>
    <s v="spec08"/>
    <x v="13"/>
    <s v="N15G3f"/>
    <x v="4"/>
  </r>
  <r>
    <s v="Dp_IN_N15G3f_spec09"/>
    <n v="0"/>
    <n v="0"/>
    <n v="0"/>
    <n v="0"/>
    <n v="0"/>
    <n v="0"/>
    <n v="0"/>
    <n v="0"/>
    <x v="1"/>
    <s v="spec09"/>
    <x v="13"/>
    <s v="N15G3f"/>
    <x v="5"/>
  </r>
  <r>
    <s v="Dp_IN_N15G3f_spec10"/>
    <n v="0"/>
    <n v="0"/>
    <n v="0"/>
    <n v="0"/>
    <n v="1"/>
    <n v="1"/>
    <n v="0"/>
    <n v="0"/>
    <x v="1"/>
    <s v="spec10"/>
    <x v="13"/>
    <s v="N15G3f"/>
    <x v="6"/>
  </r>
  <r>
    <s v="Dp_IN_N15G3f_spec03"/>
    <n v="0"/>
    <n v="0"/>
    <n v="0"/>
    <n v="0"/>
    <n v="0"/>
    <n v="0"/>
    <n v="0"/>
    <n v="0"/>
    <x v="1"/>
    <s v="spec03"/>
    <x v="13"/>
    <s v="N15G3f"/>
    <x v="7"/>
  </r>
  <r>
    <s v="Dp_IN_N15G3f_spec18"/>
    <n v="1"/>
    <n v="1"/>
    <n v="0"/>
    <n v="0"/>
    <n v="1"/>
    <n v="0"/>
    <n v="0"/>
    <n v="0"/>
    <x v="1"/>
    <s v="spec18"/>
    <x v="13"/>
    <s v="N15G3f"/>
    <x v="8"/>
  </r>
  <r>
    <s v="Dp_CH_N15G3f_spec02"/>
    <n v="0"/>
    <n v="0"/>
    <n v="0"/>
    <n v="0"/>
    <n v="0"/>
    <n v="0"/>
    <n v="0"/>
    <n v="0"/>
    <x v="1"/>
    <s v="spec02"/>
    <x v="14"/>
    <s v="N15G3f"/>
    <x v="0"/>
  </r>
  <r>
    <s v="Dp_CH_N15G3f_spec01"/>
    <n v="0"/>
    <n v="0"/>
    <n v="0"/>
    <n v="0"/>
    <n v="0"/>
    <n v="0"/>
    <n v="0"/>
    <n v="0"/>
    <x v="1"/>
    <s v="spec01"/>
    <x v="14"/>
    <s v="N15G3f"/>
    <x v="1"/>
  </r>
  <r>
    <s v="Dp_CH_N15G3f_spec04"/>
    <n v="0"/>
    <n v="0"/>
    <n v="0"/>
    <n v="0"/>
    <n v="0"/>
    <n v="0"/>
    <n v="0"/>
    <n v="0"/>
    <x v="1"/>
    <s v="spec04"/>
    <x v="14"/>
    <s v="N15G3f"/>
    <x v="2"/>
  </r>
  <r>
    <s v="Dp_CH_N15G3f_spec07"/>
    <n v="0"/>
    <n v="0"/>
    <n v="0"/>
    <n v="0"/>
    <n v="0"/>
    <n v="0"/>
    <n v="0"/>
    <n v="0"/>
    <x v="1"/>
    <s v="spec07"/>
    <x v="14"/>
    <s v="N15G3f"/>
    <x v="3"/>
  </r>
  <r>
    <s v="Dp_CH_N15G3f_spec08"/>
    <n v="0"/>
    <n v="0"/>
    <n v="0"/>
    <n v="0"/>
    <n v="0"/>
    <n v="0"/>
    <n v="0"/>
    <n v="0"/>
    <x v="1"/>
    <s v="spec08"/>
    <x v="14"/>
    <s v="N15G3f"/>
    <x v="4"/>
  </r>
  <r>
    <s v="Dp_CH_N15G3f_spec09"/>
    <n v="0"/>
    <n v="0"/>
    <n v="0"/>
    <n v="0"/>
    <n v="0"/>
    <n v="0"/>
    <n v="1"/>
    <n v="1"/>
    <x v="1"/>
    <s v="spec09"/>
    <x v="14"/>
    <s v="N15G3f"/>
    <x v="5"/>
  </r>
  <r>
    <s v="Dp_CH_N15G3f_spec10"/>
    <n v="0"/>
    <n v="0"/>
    <n v="0"/>
    <n v="0"/>
    <n v="0"/>
    <n v="0"/>
    <n v="0"/>
    <n v="0"/>
    <x v="1"/>
    <s v="spec10"/>
    <x v="14"/>
    <s v="N15G3f"/>
    <x v="6"/>
  </r>
  <r>
    <s v="Dp_CH_N15G3f_spec03"/>
    <n v="0"/>
    <n v="0"/>
    <n v="0"/>
    <n v="0"/>
    <n v="0"/>
    <n v="0"/>
    <n v="0"/>
    <n v="0"/>
    <x v="1"/>
    <s v="spec03"/>
    <x v="14"/>
    <s v="N15G3f"/>
    <x v="7"/>
  </r>
  <r>
    <s v="Dp_CH_N15G3f_spec18"/>
    <n v="0"/>
    <n v="0"/>
    <n v="0"/>
    <n v="0"/>
    <n v="0"/>
    <n v="0"/>
    <n v="0"/>
    <n v="0"/>
    <x v="1"/>
    <s v="spec18"/>
    <x v="14"/>
    <s v="N15G3f"/>
    <x v="8"/>
  </r>
  <r>
    <s v="r_DE_N15G3f_spec02"/>
    <n v="0"/>
    <n v="0"/>
    <n v="0"/>
    <n v="0"/>
    <n v="0"/>
    <n v="0"/>
    <n v="0"/>
    <n v="0"/>
    <x v="2"/>
    <s v="spec02"/>
    <x v="0"/>
    <s v="N15G3f"/>
    <x v="0"/>
  </r>
  <r>
    <s v="r_DE_N15G3f_spec01"/>
    <n v="0"/>
    <n v="0"/>
    <n v="0"/>
    <n v="0"/>
    <n v="0"/>
    <n v="0"/>
    <n v="0"/>
    <n v="0"/>
    <x v="2"/>
    <s v="spec01"/>
    <x v="0"/>
    <s v="N15G3f"/>
    <x v="1"/>
  </r>
  <r>
    <s v="r_DE_N15G3f_spec04"/>
    <n v="1"/>
    <n v="1"/>
    <n v="1"/>
    <n v="1"/>
    <n v="1"/>
    <n v="1"/>
    <n v="1"/>
    <n v="1"/>
    <x v="2"/>
    <s v="spec04"/>
    <x v="0"/>
    <s v="N15G3f"/>
    <x v="2"/>
  </r>
  <r>
    <s v="r_DE_N15G3f_spec07"/>
    <n v="0"/>
    <n v="0"/>
    <n v="0"/>
    <n v="0"/>
    <n v="0"/>
    <n v="0"/>
    <n v="0"/>
    <n v="0"/>
    <x v="2"/>
    <s v="spec07"/>
    <x v="0"/>
    <s v="N15G3f"/>
    <x v="3"/>
  </r>
  <r>
    <s v="r_DE_N15G3f_spec08"/>
    <n v="0"/>
    <n v="0"/>
    <n v="0"/>
    <n v="0"/>
    <n v="0"/>
    <n v="1"/>
    <n v="1"/>
    <n v="1"/>
    <x v="2"/>
    <s v="spec08"/>
    <x v="0"/>
    <s v="N15G3f"/>
    <x v="4"/>
  </r>
  <r>
    <s v="r_DE_N15G3f_spec09"/>
    <n v="0"/>
    <n v="0"/>
    <n v="0"/>
    <n v="0"/>
    <n v="0"/>
    <n v="0"/>
    <n v="1"/>
    <n v="1"/>
    <x v="2"/>
    <s v="spec09"/>
    <x v="0"/>
    <s v="N15G3f"/>
    <x v="5"/>
  </r>
  <r>
    <s v="r_DE_N15G3f_spec10"/>
    <n v="0"/>
    <n v="0"/>
    <n v="0"/>
    <n v="0"/>
    <n v="0"/>
    <n v="0"/>
    <n v="0"/>
    <n v="0"/>
    <x v="2"/>
    <s v="spec10"/>
    <x v="0"/>
    <s v="N15G3f"/>
    <x v="6"/>
  </r>
  <r>
    <s v="r_DE_N15G3f_spec03"/>
    <n v="0"/>
    <n v="0"/>
    <n v="1"/>
    <n v="1"/>
    <n v="1"/>
    <n v="1"/>
    <n v="1"/>
    <n v="1"/>
    <x v="2"/>
    <s v="spec03"/>
    <x v="0"/>
    <s v="N15G3f"/>
    <x v="7"/>
  </r>
  <r>
    <s v="r_DE_N15G3f_spec18"/>
    <n v="0"/>
    <n v="1"/>
    <n v="1"/>
    <n v="1"/>
    <n v="1"/>
    <n v="1"/>
    <n v="1"/>
    <n v="1"/>
    <x v="2"/>
    <s v="spec18"/>
    <x v="0"/>
    <s v="N15G3f"/>
    <x v="8"/>
  </r>
  <r>
    <s v="r_FR_N15G3f_spec02"/>
    <n v="0"/>
    <n v="0"/>
    <n v="0"/>
    <n v="0"/>
    <n v="0"/>
    <n v="0"/>
    <n v="0"/>
    <n v="0"/>
    <x v="2"/>
    <s v="spec02"/>
    <x v="1"/>
    <s v="N15G3f"/>
    <x v="0"/>
  </r>
  <r>
    <s v="r_FR_N15G3f_spec01"/>
    <n v="0"/>
    <n v="0"/>
    <n v="0"/>
    <n v="0"/>
    <n v="0"/>
    <n v="0"/>
    <n v="0"/>
    <n v="0"/>
    <x v="2"/>
    <s v="spec01"/>
    <x v="1"/>
    <s v="N15G3f"/>
    <x v="1"/>
  </r>
  <r>
    <s v="r_FR_N15G3f_spec04"/>
    <n v="0"/>
    <n v="0"/>
    <n v="0"/>
    <n v="0"/>
    <n v="0"/>
    <n v="0"/>
    <n v="0"/>
    <n v="0"/>
    <x v="2"/>
    <s v="spec04"/>
    <x v="1"/>
    <s v="N15G3f"/>
    <x v="2"/>
  </r>
  <r>
    <s v="r_FR_N15G3f_spec07"/>
    <n v="0"/>
    <n v="0"/>
    <n v="0"/>
    <n v="0"/>
    <n v="0"/>
    <n v="0"/>
    <n v="0"/>
    <n v="0"/>
    <x v="2"/>
    <s v="spec07"/>
    <x v="1"/>
    <s v="N15G3f"/>
    <x v="3"/>
  </r>
  <r>
    <s v="r_FR_N15G3f_spec08"/>
    <n v="0"/>
    <n v="0"/>
    <n v="0"/>
    <n v="0"/>
    <n v="0"/>
    <n v="0"/>
    <n v="0"/>
    <n v="0"/>
    <x v="2"/>
    <s v="spec08"/>
    <x v="1"/>
    <s v="N15G3f"/>
    <x v="4"/>
  </r>
  <r>
    <s v="r_FR_N15G3f_spec09"/>
    <n v="0"/>
    <n v="0"/>
    <n v="0"/>
    <n v="0"/>
    <n v="0"/>
    <n v="0"/>
    <n v="0"/>
    <n v="0"/>
    <x v="2"/>
    <s v="spec09"/>
    <x v="1"/>
    <s v="N15G3f"/>
    <x v="5"/>
  </r>
  <r>
    <s v="r_FR_N15G3f_spec10"/>
    <n v="0"/>
    <n v="0"/>
    <n v="0"/>
    <n v="0"/>
    <n v="0"/>
    <n v="0"/>
    <n v="0"/>
    <n v="0"/>
    <x v="2"/>
    <s v="spec10"/>
    <x v="1"/>
    <s v="N15G3f"/>
    <x v="6"/>
  </r>
  <r>
    <s v="r_FR_N15G3f_spec03"/>
    <n v="0"/>
    <n v="0"/>
    <n v="0"/>
    <n v="0"/>
    <n v="0"/>
    <n v="0"/>
    <n v="0"/>
    <n v="0"/>
    <x v="2"/>
    <s v="spec03"/>
    <x v="1"/>
    <s v="N15G3f"/>
    <x v="7"/>
  </r>
  <r>
    <s v="r_FR_N15G3f_spec18"/>
    <n v="0"/>
    <n v="0"/>
    <n v="0"/>
    <n v="0"/>
    <n v="0"/>
    <n v="0"/>
    <n v="0"/>
    <n v="1"/>
    <x v="2"/>
    <s v="spec18"/>
    <x v="1"/>
    <s v="N15G3f"/>
    <x v="8"/>
  </r>
  <r>
    <s v="r_IT_N15G3f_spec02"/>
    <n v="0"/>
    <n v="0"/>
    <n v="0"/>
    <n v="0"/>
    <n v="0"/>
    <n v="0"/>
    <n v="0"/>
    <n v="0"/>
    <x v="2"/>
    <s v="spec02"/>
    <x v="2"/>
    <s v="N15G3f"/>
    <x v="0"/>
  </r>
  <r>
    <s v="r_IT_N15G3f_spec01"/>
    <n v="0"/>
    <n v="1"/>
    <n v="1"/>
    <n v="1"/>
    <n v="1"/>
    <n v="1"/>
    <n v="1"/>
    <n v="1"/>
    <x v="2"/>
    <s v="spec01"/>
    <x v="2"/>
    <s v="N15G3f"/>
    <x v="1"/>
  </r>
  <r>
    <s v="r_IT_N15G3f_spec04"/>
    <n v="0"/>
    <n v="0"/>
    <n v="0"/>
    <n v="0"/>
    <n v="0"/>
    <n v="0"/>
    <n v="0"/>
    <n v="0"/>
    <x v="2"/>
    <s v="spec04"/>
    <x v="2"/>
    <s v="N15G3f"/>
    <x v="2"/>
  </r>
  <r>
    <s v="r_IT_N15G3f_spec07"/>
    <n v="0"/>
    <n v="0"/>
    <n v="0"/>
    <n v="0"/>
    <n v="0"/>
    <n v="0"/>
    <n v="0"/>
    <n v="0"/>
    <x v="2"/>
    <s v="spec07"/>
    <x v="2"/>
    <s v="N15G3f"/>
    <x v="3"/>
  </r>
  <r>
    <s v="r_IT_N15G3f_spec08"/>
    <n v="0"/>
    <n v="0"/>
    <n v="0"/>
    <n v="0"/>
    <n v="0"/>
    <n v="0"/>
    <n v="0"/>
    <n v="0"/>
    <x v="2"/>
    <s v="spec08"/>
    <x v="2"/>
    <s v="N15G3f"/>
    <x v="4"/>
  </r>
  <r>
    <s v="r_IT_N15G3f_spec09"/>
    <n v="0"/>
    <n v="0"/>
    <n v="0"/>
    <n v="0"/>
    <n v="0"/>
    <n v="0"/>
    <n v="0"/>
    <n v="0"/>
    <x v="2"/>
    <s v="spec09"/>
    <x v="2"/>
    <s v="N15G3f"/>
    <x v="5"/>
  </r>
  <r>
    <s v="r_IT_N15G3f_spec10"/>
    <n v="0"/>
    <n v="0"/>
    <n v="0"/>
    <n v="0"/>
    <n v="0"/>
    <n v="0"/>
    <n v="0"/>
    <n v="0"/>
    <x v="2"/>
    <s v="spec10"/>
    <x v="2"/>
    <s v="N15G3f"/>
    <x v="6"/>
  </r>
  <r>
    <s v="r_IT_N15G3f_spec03"/>
    <n v="0"/>
    <n v="0"/>
    <n v="0"/>
    <n v="0"/>
    <n v="0"/>
    <n v="0"/>
    <n v="0"/>
    <n v="0"/>
    <x v="2"/>
    <s v="spec03"/>
    <x v="2"/>
    <s v="N15G3f"/>
    <x v="7"/>
  </r>
  <r>
    <s v="r_IT_N15G3f_spec18"/>
    <n v="0"/>
    <n v="0"/>
    <n v="1"/>
    <n v="1"/>
    <n v="1"/>
    <n v="1"/>
    <n v="1"/>
    <n v="1"/>
    <x v="2"/>
    <s v="spec18"/>
    <x v="2"/>
    <s v="N15G3f"/>
    <x v="8"/>
  </r>
  <r>
    <s v="r_GB_N15G3f_spec02"/>
    <n v="0"/>
    <n v="0"/>
    <n v="0"/>
    <n v="0"/>
    <n v="0"/>
    <n v="0"/>
    <n v="0"/>
    <n v="0"/>
    <x v="2"/>
    <s v="spec02"/>
    <x v="3"/>
    <s v="N15G3f"/>
    <x v="0"/>
  </r>
  <r>
    <s v="r_GB_N15G3f_spec01"/>
    <n v="1"/>
    <n v="1"/>
    <n v="1"/>
    <n v="1"/>
    <n v="1"/>
    <n v="1"/>
    <n v="1"/>
    <n v="1"/>
    <x v="2"/>
    <s v="spec01"/>
    <x v="3"/>
    <s v="N15G3f"/>
    <x v="1"/>
  </r>
  <r>
    <s v="r_GB_N15G3f_spec04"/>
    <n v="0"/>
    <n v="0"/>
    <n v="0"/>
    <n v="0"/>
    <n v="1"/>
    <n v="1"/>
    <n v="1"/>
    <n v="1"/>
    <x v="2"/>
    <s v="spec04"/>
    <x v="3"/>
    <s v="N15G3f"/>
    <x v="2"/>
  </r>
  <r>
    <s v="r_GB_N15G3f_spec07"/>
    <n v="0"/>
    <n v="0"/>
    <n v="0"/>
    <n v="0"/>
    <n v="0"/>
    <n v="0"/>
    <n v="0"/>
    <n v="0"/>
    <x v="2"/>
    <s v="spec07"/>
    <x v="3"/>
    <s v="N15G3f"/>
    <x v="3"/>
  </r>
  <r>
    <s v="r_GB_N15G3f_spec08"/>
    <n v="0"/>
    <n v="0"/>
    <n v="0"/>
    <n v="0"/>
    <n v="0"/>
    <n v="0"/>
    <n v="1"/>
    <n v="1"/>
    <x v="2"/>
    <s v="spec08"/>
    <x v="3"/>
    <s v="N15G3f"/>
    <x v="4"/>
  </r>
  <r>
    <s v="r_GB_N15G3f_spec09"/>
    <n v="0"/>
    <n v="0"/>
    <n v="0"/>
    <n v="0"/>
    <n v="0"/>
    <n v="0"/>
    <n v="0"/>
    <n v="0"/>
    <x v="2"/>
    <s v="spec09"/>
    <x v="3"/>
    <s v="N15G3f"/>
    <x v="5"/>
  </r>
  <r>
    <s v="r_GB_N15G3f_spec10"/>
    <n v="0"/>
    <n v="0"/>
    <n v="0"/>
    <n v="0"/>
    <n v="0"/>
    <n v="0"/>
    <n v="0"/>
    <n v="0"/>
    <x v="2"/>
    <s v="spec10"/>
    <x v="3"/>
    <s v="N15G3f"/>
    <x v="6"/>
  </r>
  <r>
    <s v="r_GB_N15G3f_spec03"/>
    <n v="1"/>
    <n v="1"/>
    <n v="1"/>
    <n v="1"/>
    <n v="1"/>
    <n v="1"/>
    <n v="1"/>
    <n v="1"/>
    <x v="2"/>
    <s v="spec03"/>
    <x v="3"/>
    <s v="N15G3f"/>
    <x v="7"/>
  </r>
  <r>
    <s v="r_GB_N15G3f_spec18"/>
    <n v="1"/>
    <n v="1"/>
    <n v="1"/>
    <n v="1"/>
    <n v="1"/>
    <n v="1"/>
    <n v="1"/>
    <n v="1"/>
    <x v="2"/>
    <s v="spec18"/>
    <x v="3"/>
    <s v="N15G3f"/>
    <x v="8"/>
  </r>
  <r>
    <s v="r_US_N15G3f_spec02"/>
    <n v="0"/>
    <n v="0"/>
    <n v="0"/>
    <n v="0"/>
    <n v="0"/>
    <n v="0"/>
    <n v="0"/>
    <n v="0"/>
    <x v="2"/>
    <s v="spec02"/>
    <x v="4"/>
    <s v="N15G3f"/>
    <x v="0"/>
  </r>
  <r>
    <s v="r_US_N15G3f_spec01"/>
    <n v="1"/>
    <n v="1"/>
    <n v="1"/>
    <n v="1"/>
    <n v="1"/>
    <n v="1"/>
    <n v="1"/>
    <n v="1"/>
    <x v="2"/>
    <s v="spec01"/>
    <x v="4"/>
    <s v="N15G3f"/>
    <x v="1"/>
  </r>
  <r>
    <s v="r_US_N15G3f_spec04"/>
    <n v="0"/>
    <n v="0"/>
    <n v="0"/>
    <n v="0"/>
    <n v="0"/>
    <n v="0"/>
    <n v="0"/>
    <n v="0"/>
    <x v="2"/>
    <s v="spec04"/>
    <x v="4"/>
    <s v="N15G3f"/>
    <x v="2"/>
  </r>
  <r>
    <s v="r_US_N15G3f_spec07"/>
    <n v="0"/>
    <n v="0"/>
    <n v="0"/>
    <n v="0"/>
    <n v="0"/>
    <n v="0"/>
    <n v="0"/>
    <n v="0"/>
    <x v="2"/>
    <s v="spec07"/>
    <x v="4"/>
    <s v="N15G3f"/>
    <x v="3"/>
  </r>
  <r>
    <s v="r_US_N15G3f_spec08"/>
    <n v="0"/>
    <n v="0"/>
    <n v="0"/>
    <n v="0"/>
    <n v="0"/>
    <n v="0"/>
    <n v="1"/>
    <n v="1"/>
    <x v="2"/>
    <s v="spec08"/>
    <x v="4"/>
    <s v="N15G3f"/>
    <x v="4"/>
  </r>
  <r>
    <s v="r_US_N15G3f_spec09"/>
    <n v="0"/>
    <n v="0"/>
    <n v="0"/>
    <n v="0"/>
    <n v="0"/>
    <n v="0"/>
    <n v="0"/>
    <n v="1"/>
    <x v="2"/>
    <s v="spec09"/>
    <x v="4"/>
    <s v="N15G3f"/>
    <x v="5"/>
  </r>
  <r>
    <s v="r_US_N15G3f_spec10"/>
    <n v="0"/>
    <n v="0"/>
    <n v="0"/>
    <n v="0"/>
    <n v="0"/>
    <n v="0"/>
    <n v="0"/>
    <n v="0"/>
    <x v="2"/>
    <s v="spec10"/>
    <x v="4"/>
    <s v="N15G3f"/>
    <x v="6"/>
  </r>
  <r>
    <s v="r_US_N15G3f_spec03"/>
    <n v="1"/>
    <n v="0"/>
    <n v="0"/>
    <n v="0"/>
    <n v="0"/>
    <n v="0"/>
    <n v="0"/>
    <n v="0"/>
    <x v="2"/>
    <s v="spec03"/>
    <x v="4"/>
    <s v="N15G3f"/>
    <x v="7"/>
  </r>
  <r>
    <s v="r_US_N15G3f_spec18"/>
    <n v="1"/>
    <n v="1"/>
    <n v="1"/>
    <n v="1"/>
    <n v="1"/>
    <n v="1"/>
    <n v="1"/>
    <n v="1"/>
    <x v="2"/>
    <s v="spec18"/>
    <x v="4"/>
    <s v="N15G3f"/>
    <x v="8"/>
  </r>
  <r>
    <s v="r_CA_N15G3f_spec02"/>
    <n v="0"/>
    <n v="0"/>
    <n v="0"/>
    <n v="0"/>
    <n v="0"/>
    <n v="0"/>
    <n v="0"/>
    <n v="0"/>
    <x v="2"/>
    <s v="spec02"/>
    <x v="5"/>
    <s v="N15G3f"/>
    <x v="0"/>
  </r>
  <r>
    <s v="r_CA_N15G3f_spec01"/>
    <n v="0"/>
    <n v="0"/>
    <n v="0"/>
    <n v="0"/>
    <n v="0"/>
    <n v="0"/>
    <n v="0"/>
    <n v="0"/>
    <x v="2"/>
    <s v="spec01"/>
    <x v="5"/>
    <s v="N15G3f"/>
    <x v="1"/>
  </r>
  <r>
    <s v="r_CA_N15G3f_spec04"/>
    <n v="1"/>
    <n v="1"/>
    <n v="1"/>
    <n v="1"/>
    <n v="1"/>
    <n v="1"/>
    <n v="1"/>
    <n v="1"/>
    <x v="2"/>
    <s v="spec04"/>
    <x v="5"/>
    <s v="N15G3f"/>
    <x v="2"/>
  </r>
  <r>
    <s v="r_CA_N15G3f_spec07"/>
    <n v="0"/>
    <n v="0"/>
    <n v="0"/>
    <n v="0"/>
    <n v="0"/>
    <n v="0"/>
    <n v="0"/>
    <n v="0"/>
    <x v="2"/>
    <s v="spec07"/>
    <x v="5"/>
    <s v="N15G3f"/>
    <x v="3"/>
  </r>
  <r>
    <s v="r_CA_N15G3f_spec08"/>
    <n v="0"/>
    <n v="0"/>
    <n v="0"/>
    <n v="0"/>
    <n v="0"/>
    <n v="0"/>
    <n v="0"/>
    <n v="1"/>
    <x v="2"/>
    <s v="spec08"/>
    <x v="5"/>
    <s v="N15G3f"/>
    <x v="4"/>
  </r>
  <r>
    <s v="r_CA_N15G3f_spec09"/>
    <n v="0"/>
    <n v="0"/>
    <n v="0"/>
    <n v="0"/>
    <n v="0"/>
    <n v="0"/>
    <n v="0"/>
    <n v="0"/>
    <x v="2"/>
    <s v="spec09"/>
    <x v="5"/>
    <s v="N15G3f"/>
    <x v="5"/>
  </r>
  <r>
    <s v="r_CA_N15G3f_spec10"/>
    <n v="0"/>
    <n v="0"/>
    <n v="0"/>
    <n v="0"/>
    <n v="0"/>
    <n v="0"/>
    <n v="0"/>
    <n v="0"/>
    <x v="2"/>
    <s v="spec10"/>
    <x v="5"/>
    <s v="N15G3f"/>
    <x v="6"/>
  </r>
  <r>
    <s v="r_CA_N15G3f_spec03"/>
    <n v="0"/>
    <n v="0"/>
    <n v="0"/>
    <n v="0"/>
    <n v="0"/>
    <n v="0"/>
    <n v="0"/>
    <n v="0"/>
    <x v="2"/>
    <s v="spec03"/>
    <x v="5"/>
    <s v="N15G3f"/>
    <x v="7"/>
  </r>
  <r>
    <s v="r_CA_N15G3f_spec18"/>
    <n v="0"/>
    <n v="0"/>
    <n v="1"/>
    <n v="1"/>
    <n v="1"/>
    <n v="1"/>
    <n v="1"/>
    <n v="1"/>
    <x v="2"/>
    <s v="spec18"/>
    <x v="5"/>
    <s v="N15G3f"/>
    <x v="8"/>
  </r>
  <r>
    <s v="r_AG_N15G3f_spec02"/>
    <n v="0"/>
    <n v="0"/>
    <n v="0"/>
    <n v="0"/>
    <n v="0"/>
    <n v="0"/>
    <n v="0"/>
    <n v="0"/>
    <x v="2"/>
    <s v="spec02"/>
    <x v="6"/>
    <s v="N15G3f"/>
    <x v="0"/>
  </r>
  <r>
    <s v="r_AG_N15G3f_spec01"/>
    <n v="0"/>
    <n v="0"/>
    <n v="0"/>
    <n v="0"/>
    <n v="0"/>
    <n v="0"/>
    <n v="0"/>
    <n v="0"/>
    <x v="2"/>
    <s v="spec01"/>
    <x v="6"/>
    <s v="N15G3f"/>
    <x v="1"/>
  </r>
  <r>
    <s v="r_AG_N15G3f_spec04"/>
    <n v="1"/>
    <n v="0"/>
    <n v="1"/>
    <n v="0"/>
    <n v="0"/>
    <n v="0"/>
    <n v="0"/>
    <n v="0"/>
    <x v="2"/>
    <s v="spec04"/>
    <x v="6"/>
    <s v="N15G3f"/>
    <x v="2"/>
  </r>
  <r>
    <s v="r_AG_N15G3f_spec07"/>
    <n v="0"/>
    <n v="0"/>
    <n v="0"/>
    <n v="0"/>
    <n v="0"/>
    <n v="0"/>
    <n v="0"/>
    <n v="0"/>
    <x v="2"/>
    <s v="spec07"/>
    <x v="6"/>
    <s v="N15G3f"/>
    <x v="3"/>
  </r>
  <r>
    <s v="r_AG_N15G3f_spec08"/>
    <n v="0"/>
    <n v="0"/>
    <n v="0"/>
    <n v="0"/>
    <n v="0"/>
    <n v="0"/>
    <n v="0"/>
    <n v="0"/>
    <x v="2"/>
    <s v="spec08"/>
    <x v="6"/>
    <s v="N15G3f"/>
    <x v="4"/>
  </r>
  <r>
    <s v="r_AG_N15G3f_spec09"/>
    <n v="0"/>
    <n v="0"/>
    <n v="0"/>
    <n v="0"/>
    <n v="0"/>
    <n v="0"/>
    <n v="0"/>
    <n v="0"/>
    <x v="2"/>
    <s v="spec09"/>
    <x v="6"/>
    <s v="N15G3f"/>
    <x v="5"/>
  </r>
  <r>
    <s v="r_AG_N15G3f_spec10"/>
    <n v="0"/>
    <n v="0"/>
    <n v="0"/>
    <n v="0"/>
    <n v="0"/>
    <n v="0"/>
    <n v="0"/>
    <n v="0"/>
    <x v="2"/>
    <s v="spec10"/>
    <x v="6"/>
    <s v="N15G3f"/>
    <x v="6"/>
  </r>
  <r>
    <s v="r_AG_N15G3f_spec03"/>
    <n v="1"/>
    <n v="0"/>
    <n v="0"/>
    <n v="0"/>
    <n v="0"/>
    <n v="0"/>
    <n v="0"/>
    <n v="0"/>
    <x v="2"/>
    <s v="spec03"/>
    <x v="6"/>
    <s v="N15G3f"/>
    <x v="7"/>
  </r>
  <r>
    <s v="r_AG_N15G3f_spec18"/>
    <n v="1"/>
    <n v="1"/>
    <n v="1"/>
    <n v="1"/>
    <n v="1"/>
    <n v="1"/>
    <n v="1"/>
    <n v="1"/>
    <x v="2"/>
    <s v="spec18"/>
    <x v="6"/>
    <s v="N15G3f"/>
    <x v="8"/>
  </r>
  <r>
    <s v="r_BR_N15G3f_spec02"/>
    <n v="0"/>
    <n v="0"/>
    <n v="0"/>
    <n v="0"/>
    <n v="0"/>
    <n v="0"/>
    <n v="0"/>
    <n v="0"/>
    <x v="2"/>
    <s v="spec02"/>
    <x v="7"/>
    <s v="N15G3f"/>
    <x v="0"/>
  </r>
  <r>
    <s v="r_BR_N15G3f_spec01"/>
    <n v="1"/>
    <n v="0"/>
    <n v="0"/>
    <n v="0"/>
    <n v="0"/>
    <n v="0"/>
    <n v="0"/>
    <n v="0"/>
    <x v="2"/>
    <s v="spec01"/>
    <x v="7"/>
    <s v="N15G3f"/>
    <x v="1"/>
  </r>
  <r>
    <s v="r_BR_N15G3f_spec04"/>
    <n v="0"/>
    <n v="0"/>
    <n v="0"/>
    <n v="0"/>
    <n v="0"/>
    <n v="0"/>
    <n v="0"/>
    <n v="0"/>
    <x v="2"/>
    <s v="spec04"/>
    <x v="7"/>
    <s v="N15G3f"/>
    <x v="2"/>
  </r>
  <r>
    <s v="r_BR_N15G3f_spec07"/>
    <n v="0"/>
    <n v="0"/>
    <n v="0"/>
    <n v="0"/>
    <n v="0"/>
    <n v="0"/>
    <n v="0"/>
    <n v="0"/>
    <x v="2"/>
    <s v="spec07"/>
    <x v="7"/>
    <s v="N15G3f"/>
    <x v="3"/>
  </r>
  <r>
    <s v="r_BR_N15G3f_spec08"/>
    <n v="0"/>
    <n v="0"/>
    <n v="0"/>
    <n v="0"/>
    <n v="0"/>
    <n v="0"/>
    <n v="0"/>
    <n v="0"/>
    <x v="2"/>
    <s v="spec08"/>
    <x v="7"/>
    <s v="N15G3f"/>
    <x v="4"/>
  </r>
  <r>
    <s v="r_BR_N15G3f_spec09"/>
    <n v="0"/>
    <n v="0"/>
    <n v="0"/>
    <n v="0"/>
    <n v="0"/>
    <n v="0"/>
    <n v="0"/>
    <n v="0"/>
    <x v="2"/>
    <s v="spec09"/>
    <x v="7"/>
    <s v="N15G3f"/>
    <x v="5"/>
  </r>
  <r>
    <s v="r_BR_N15G3f_spec10"/>
    <n v="0"/>
    <n v="0"/>
    <n v="0"/>
    <n v="0"/>
    <n v="0"/>
    <n v="0"/>
    <n v="0"/>
    <n v="0"/>
    <x v="2"/>
    <s v="spec10"/>
    <x v="7"/>
    <s v="N15G3f"/>
    <x v="6"/>
  </r>
  <r>
    <s v="r_BR_N15G3f_spec03"/>
    <n v="1"/>
    <n v="1"/>
    <n v="1"/>
    <n v="1"/>
    <n v="1"/>
    <n v="1"/>
    <n v="1"/>
    <n v="1"/>
    <x v="2"/>
    <s v="spec03"/>
    <x v="7"/>
    <s v="N15G3f"/>
    <x v="7"/>
  </r>
  <r>
    <s v="r_BR_N15G3f_spec18"/>
    <n v="1"/>
    <n v="1"/>
    <n v="1"/>
    <n v="1"/>
    <n v="1"/>
    <n v="1"/>
    <n v="1"/>
    <n v="1"/>
    <x v="2"/>
    <s v="spec18"/>
    <x v="7"/>
    <s v="N15G3f"/>
    <x v="8"/>
  </r>
  <r>
    <s v="r_MX_N15G3f_spec02"/>
    <n v="0"/>
    <n v="0"/>
    <n v="0"/>
    <n v="0"/>
    <n v="0"/>
    <n v="0"/>
    <n v="0"/>
    <n v="0"/>
    <x v="2"/>
    <s v="spec02"/>
    <x v="8"/>
    <s v="N15G3f"/>
    <x v="0"/>
  </r>
  <r>
    <s v="r_MX_N15G3f_spec01"/>
    <n v="1"/>
    <n v="0"/>
    <n v="0"/>
    <n v="0"/>
    <n v="0"/>
    <n v="0"/>
    <n v="0"/>
    <n v="0"/>
    <x v="2"/>
    <s v="spec01"/>
    <x v="8"/>
    <s v="N15G3f"/>
    <x v="1"/>
  </r>
  <r>
    <s v="r_MX_N15G3f_spec04"/>
    <n v="1"/>
    <n v="1"/>
    <n v="1"/>
    <n v="1"/>
    <n v="1"/>
    <n v="1"/>
    <n v="1"/>
    <n v="1"/>
    <x v="2"/>
    <s v="spec04"/>
    <x v="8"/>
    <s v="N15G3f"/>
    <x v="2"/>
  </r>
  <r>
    <s v="r_MX_N15G3f_spec07"/>
    <n v="0"/>
    <n v="0"/>
    <n v="0"/>
    <n v="0"/>
    <n v="0"/>
    <n v="0"/>
    <n v="0"/>
    <n v="0"/>
    <x v="2"/>
    <s v="spec07"/>
    <x v="8"/>
    <s v="N15G3f"/>
    <x v="3"/>
  </r>
  <r>
    <s v="r_MX_N15G3f_spec08"/>
    <n v="0"/>
    <n v="0"/>
    <n v="0"/>
    <n v="0"/>
    <n v="1"/>
    <n v="1"/>
    <n v="1"/>
    <n v="1"/>
    <x v="2"/>
    <s v="spec08"/>
    <x v="8"/>
    <s v="N15G3f"/>
    <x v="4"/>
  </r>
  <r>
    <s v="r_MX_N15G3f_spec09"/>
    <n v="0"/>
    <n v="0"/>
    <n v="0"/>
    <n v="0"/>
    <n v="0"/>
    <n v="0"/>
    <n v="0"/>
    <n v="0"/>
    <x v="2"/>
    <s v="spec09"/>
    <x v="8"/>
    <s v="N15G3f"/>
    <x v="5"/>
  </r>
  <r>
    <s v="r_MX_N15G3f_spec10"/>
    <n v="0"/>
    <n v="0"/>
    <n v="0"/>
    <n v="0"/>
    <n v="0"/>
    <n v="0"/>
    <n v="0"/>
    <n v="0"/>
    <x v="2"/>
    <s v="spec10"/>
    <x v="8"/>
    <s v="N15G3f"/>
    <x v="6"/>
  </r>
  <r>
    <s v="r_MX_N15G3f_spec03"/>
    <n v="1"/>
    <n v="1"/>
    <n v="1"/>
    <n v="1"/>
    <n v="1"/>
    <n v="1"/>
    <n v="1"/>
    <n v="1"/>
    <x v="2"/>
    <s v="spec03"/>
    <x v="8"/>
    <s v="N15G3f"/>
    <x v="7"/>
  </r>
  <r>
    <s v="r_MX_N15G3f_spec18"/>
    <n v="1"/>
    <n v="1"/>
    <n v="1"/>
    <n v="1"/>
    <n v="1"/>
    <n v="1"/>
    <n v="1"/>
    <n v="1"/>
    <x v="2"/>
    <s v="spec18"/>
    <x v="8"/>
    <s v="N15G3f"/>
    <x v="8"/>
  </r>
  <r>
    <s v="r_CN_N15G3f_spec02"/>
    <n v="0"/>
    <n v="0"/>
    <n v="0"/>
    <n v="0"/>
    <n v="0"/>
    <n v="0"/>
    <n v="0"/>
    <n v="0"/>
    <x v="2"/>
    <s v="spec02"/>
    <x v="9"/>
    <s v="N15G3f"/>
    <x v="0"/>
  </r>
  <r>
    <s v="r_CN_N15G3f_spec01"/>
    <n v="1"/>
    <n v="1"/>
    <n v="1"/>
    <n v="1"/>
    <n v="1"/>
    <n v="1"/>
    <n v="1"/>
    <n v="1"/>
    <x v="2"/>
    <s v="spec01"/>
    <x v="9"/>
    <s v="N15G3f"/>
    <x v="1"/>
  </r>
  <r>
    <s v="r_CN_N15G3f_spec04"/>
    <n v="0"/>
    <n v="0"/>
    <n v="1"/>
    <n v="1"/>
    <n v="1"/>
    <n v="1"/>
    <n v="1"/>
    <n v="1"/>
    <x v="2"/>
    <s v="spec04"/>
    <x v="9"/>
    <s v="N15G3f"/>
    <x v="2"/>
  </r>
  <r>
    <s v="r_CN_N15G3f_spec07"/>
    <n v="0"/>
    <n v="0"/>
    <n v="0"/>
    <n v="0"/>
    <n v="0"/>
    <n v="0"/>
    <n v="0"/>
    <n v="0"/>
    <x v="2"/>
    <s v="spec07"/>
    <x v="9"/>
    <s v="N15G3f"/>
    <x v="3"/>
  </r>
  <r>
    <s v="r_CN_N15G3f_spec08"/>
    <n v="0"/>
    <n v="0"/>
    <n v="0"/>
    <n v="0"/>
    <n v="1"/>
    <n v="1"/>
    <n v="1"/>
    <n v="1"/>
    <x v="2"/>
    <s v="spec08"/>
    <x v="9"/>
    <s v="N15G3f"/>
    <x v="4"/>
  </r>
  <r>
    <s v="r_CN_N15G3f_spec09"/>
    <n v="0"/>
    <n v="0"/>
    <n v="0"/>
    <n v="0"/>
    <n v="0"/>
    <n v="0"/>
    <n v="0"/>
    <n v="0"/>
    <x v="2"/>
    <s v="spec09"/>
    <x v="9"/>
    <s v="N15G3f"/>
    <x v="5"/>
  </r>
  <r>
    <s v="r_CN_N15G3f_spec10"/>
    <n v="0"/>
    <n v="0"/>
    <n v="0"/>
    <n v="0"/>
    <n v="0"/>
    <n v="0"/>
    <n v="0"/>
    <n v="0"/>
    <x v="2"/>
    <s v="spec10"/>
    <x v="9"/>
    <s v="N15G3f"/>
    <x v="6"/>
  </r>
  <r>
    <s v="r_CN_N15G3f_spec03"/>
    <n v="0"/>
    <n v="0"/>
    <n v="0"/>
    <n v="0"/>
    <n v="0"/>
    <n v="0"/>
    <n v="0"/>
    <n v="0"/>
    <x v="2"/>
    <s v="spec03"/>
    <x v="9"/>
    <s v="N15G3f"/>
    <x v="7"/>
  </r>
  <r>
    <s v="r_CN_N15G3f_spec18"/>
    <n v="0"/>
    <n v="0"/>
    <n v="0"/>
    <n v="0"/>
    <n v="0"/>
    <n v="0"/>
    <n v="0"/>
    <n v="0"/>
    <x v="2"/>
    <s v="spec18"/>
    <x v="9"/>
    <s v="N15G3f"/>
    <x v="8"/>
  </r>
  <r>
    <s v="r_JP_N15G3f_spec02"/>
    <n v="0"/>
    <n v="0"/>
    <n v="0"/>
    <n v="0"/>
    <n v="0"/>
    <n v="0"/>
    <n v="0"/>
    <n v="0"/>
    <x v="2"/>
    <s v="spec02"/>
    <x v="10"/>
    <s v="N15G3f"/>
    <x v="0"/>
  </r>
  <r>
    <s v="r_JP_N15G3f_spec01"/>
    <n v="0"/>
    <n v="0"/>
    <n v="0"/>
    <n v="0"/>
    <n v="0"/>
    <n v="0"/>
    <n v="0"/>
    <n v="0"/>
    <x v="2"/>
    <s v="spec01"/>
    <x v="10"/>
    <s v="N15G3f"/>
    <x v="1"/>
  </r>
  <r>
    <s v="r_JP_N15G3f_spec04"/>
    <n v="1"/>
    <n v="1"/>
    <n v="1"/>
    <n v="1"/>
    <n v="1"/>
    <n v="1"/>
    <n v="1"/>
    <n v="1"/>
    <x v="2"/>
    <s v="spec04"/>
    <x v="10"/>
    <s v="N15G3f"/>
    <x v="2"/>
  </r>
  <r>
    <s v="r_JP_N15G3f_spec07"/>
    <n v="0"/>
    <n v="0"/>
    <n v="0"/>
    <n v="0"/>
    <n v="0"/>
    <n v="1"/>
    <n v="1"/>
    <n v="1"/>
    <x v="2"/>
    <s v="spec07"/>
    <x v="10"/>
    <s v="N15G3f"/>
    <x v="3"/>
  </r>
  <r>
    <s v="r_JP_N15G3f_spec08"/>
    <n v="0"/>
    <n v="0"/>
    <n v="0"/>
    <n v="0"/>
    <n v="0"/>
    <n v="0"/>
    <n v="0"/>
    <n v="0"/>
    <x v="2"/>
    <s v="spec08"/>
    <x v="10"/>
    <s v="N15G3f"/>
    <x v="4"/>
  </r>
  <r>
    <s v="r_JP_N15G3f_spec09"/>
    <n v="0"/>
    <n v="0"/>
    <n v="0"/>
    <n v="0"/>
    <n v="0"/>
    <n v="1"/>
    <n v="1"/>
    <n v="1"/>
    <x v="2"/>
    <s v="spec09"/>
    <x v="10"/>
    <s v="N15G3f"/>
    <x v="5"/>
  </r>
  <r>
    <s v="r_JP_N15G3f_spec10"/>
    <n v="0"/>
    <n v="0"/>
    <n v="0"/>
    <n v="0"/>
    <n v="0"/>
    <n v="0"/>
    <n v="0"/>
    <n v="0"/>
    <x v="2"/>
    <s v="spec10"/>
    <x v="10"/>
    <s v="N15G3f"/>
    <x v="6"/>
  </r>
  <r>
    <s v="r_JP_N15G3f_spec03"/>
    <n v="0"/>
    <n v="0"/>
    <n v="0"/>
    <n v="0"/>
    <n v="0"/>
    <n v="0"/>
    <n v="1"/>
    <n v="1"/>
    <x v="2"/>
    <s v="spec03"/>
    <x v="10"/>
    <s v="N15G3f"/>
    <x v="7"/>
  </r>
  <r>
    <s v="r_JP_N15G3f_spec18"/>
    <n v="0"/>
    <n v="0"/>
    <n v="0"/>
    <n v="0"/>
    <n v="1"/>
    <n v="1"/>
    <n v="1"/>
    <n v="1"/>
    <x v="2"/>
    <s v="spec18"/>
    <x v="10"/>
    <s v="N15G3f"/>
    <x v="8"/>
  </r>
  <r>
    <s v="r_AU_N15G3f_spec02"/>
    <n v="0"/>
    <n v="0"/>
    <n v="0"/>
    <n v="0"/>
    <n v="0"/>
    <n v="0"/>
    <n v="0"/>
    <n v="0"/>
    <x v="2"/>
    <s v="spec02"/>
    <x v="11"/>
    <s v="N15G3f"/>
    <x v="0"/>
  </r>
  <r>
    <s v="r_AU_N15G3f_spec01"/>
    <n v="0"/>
    <n v="0"/>
    <n v="0"/>
    <n v="0"/>
    <n v="0"/>
    <n v="0"/>
    <n v="0"/>
    <n v="0"/>
    <x v="2"/>
    <s v="spec01"/>
    <x v="11"/>
    <s v="N15G3f"/>
    <x v="1"/>
  </r>
  <r>
    <s v="r_AU_N15G3f_spec04"/>
    <n v="0"/>
    <n v="0"/>
    <n v="0"/>
    <n v="0"/>
    <n v="0"/>
    <n v="0"/>
    <n v="0"/>
    <n v="0"/>
    <x v="2"/>
    <s v="spec04"/>
    <x v="11"/>
    <s v="N15G3f"/>
    <x v="2"/>
  </r>
  <r>
    <s v="r_AU_N15G3f_spec07"/>
    <n v="0"/>
    <n v="0"/>
    <n v="0"/>
    <n v="0"/>
    <n v="0"/>
    <n v="0"/>
    <n v="0"/>
    <n v="0"/>
    <x v="2"/>
    <s v="spec07"/>
    <x v="11"/>
    <s v="N15G3f"/>
    <x v="3"/>
  </r>
  <r>
    <s v="r_AU_N15G3f_spec08"/>
    <n v="0"/>
    <n v="0"/>
    <n v="0"/>
    <n v="0"/>
    <n v="0"/>
    <n v="0"/>
    <n v="0"/>
    <n v="0"/>
    <x v="2"/>
    <s v="spec08"/>
    <x v="11"/>
    <s v="N15G3f"/>
    <x v="4"/>
  </r>
  <r>
    <s v="r_AU_N15G3f_spec09"/>
    <n v="0"/>
    <n v="0"/>
    <n v="0"/>
    <n v="0"/>
    <n v="0"/>
    <n v="0"/>
    <n v="0"/>
    <n v="0"/>
    <x v="2"/>
    <s v="spec09"/>
    <x v="11"/>
    <s v="N15G3f"/>
    <x v="5"/>
  </r>
  <r>
    <s v="r_AU_N15G3f_spec10"/>
    <n v="0"/>
    <n v="0"/>
    <n v="0"/>
    <n v="0"/>
    <n v="0"/>
    <n v="0"/>
    <n v="0"/>
    <n v="0"/>
    <x v="2"/>
    <s v="spec10"/>
    <x v="11"/>
    <s v="N15G3f"/>
    <x v="6"/>
  </r>
  <r>
    <s v="r_AU_N15G3f_spec03"/>
    <n v="0"/>
    <n v="0"/>
    <n v="0"/>
    <n v="0"/>
    <n v="0"/>
    <n v="0"/>
    <n v="0"/>
    <n v="0"/>
    <x v="2"/>
    <s v="spec03"/>
    <x v="11"/>
    <s v="N15G3f"/>
    <x v="7"/>
  </r>
  <r>
    <s v="r_AU_N15G3f_spec18"/>
    <n v="0"/>
    <n v="0"/>
    <n v="0"/>
    <n v="0"/>
    <n v="1"/>
    <n v="1"/>
    <n v="1"/>
    <n v="1"/>
    <x v="2"/>
    <s v="spec18"/>
    <x v="11"/>
    <s v="N15G3f"/>
    <x v="8"/>
  </r>
  <r>
    <s v="r_AT_N15G3f_spec02"/>
    <n v="0"/>
    <n v="0"/>
    <n v="0"/>
    <n v="0"/>
    <n v="0"/>
    <n v="0"/>
    <n v="0"/>
    <n v="0"/>
    <x v="2"/>
    <s v="spec02"/>
    <x v="12"/>
    <s v="N15G3f"/>
    <x v="0"/>
  </r>
  <r>
    <s v="r_AT_N15G3f_spec01"/>
    <n v="0"/>
    <n v="0"/>
    <n v="0"/>
    <n v="0"/>
    <n v="0"/>
    <n v="0"/>
    <n v="0"/>
    <n v="0"/>
    <x v="2"/>
    <s v="spec01"/>
    <x v="12"/>
    <s v="N15G3f"/>
    <x v="1"/>
  </r>
  <r>
    <s v="r_AT_N15G3f_spec04"/>
    <n v="1"/>
    <n v="1"/>
    <n v="1"/>
    <n v="1"/>
    <n v="1"/>
    <n v="1"/>
    <n v="1"/>
    <n v="1"/>
    <x v="2"/>
    <s v="spec04"/>
    <x v="12"/>
    <s v="N15G3f"/>
    <x v="2"/>
  </r>
  <r>
    <s v="r_AT_N15G3f_spec07"/>
    <n v="0"/>
    <n v="0"/>
    <n v="0"/>
    <n v="0"/>
    <n v="0"/>
    <n v="0"/>
    <n v="0"/>
    <n v="0"/>
    <x v="2"/>
    <s v="spec07"/>
    <x v="12"/>
    <s v="N15G3f"/>
    <x v="3"/>
  </r>
  <r>
    <s v="r_AT_N15G3f_spec08"/>
    <n v="0"/>
    <n v="0"/>
    <n v="0"/>
    <n v="0"/>
    <n v="0"/>
    <n v="0"/>
    <n v="1"/>
    <n v="1"/>
    <x v="2"/>
    <s v="spec08"/>
    <x v="12"/>
    <s v="N15G3f"/>
    <x v="4"/>
  </r>
  <r>
    <s v="r_AT_N15G3f_spec09"/>
    <n v="0"/>
    <n v="0"/>
    <n v="0"/>
    <n v="0"/>
    <n v="0"/>
    <n v="0"/>
    <n v="0"/>
    <n v="1"/>
    <x v="2"/>
    <s v="spec09"/>
    <x v="12"/>
    <s v="N15G3f"/>
    <x v="5"/>
  </r>
  <r>
    <s v="r_AT_N15G3f_spec10"/>
    <n v="0"/>
    <n v="0"/>
    <n v="0"/>
    <n v="0"/>
    <n v="0"/>
    <n v="0"/>
    <n v="0"/>
    <n v="0"/>
    <x v="2"/>
    <s v="spec10"/>
    <x v="12"/>
    <s v="N15G3f"/>
    <x v="6"/>
  </r>
  <r>
    <s v="r_AT_N15G3f_spec03"/>
    <n v="1"/>
    <n v="1"/>
    <n v="1"/>
    <n v="1"/>
    <n v="1"/>
    <n v="1"/>
    <n v="1"/>
    <n v="1"/>
    <x v="2"/>
    <s v="spec03"/>
    <x v="12"/>
    <s v="N15G3f"/>
    <x v="7"/>
  </r>
  <r>
    <s v="r_AT_N15G3f_spec18"/>
    <n v="1"/>
    <n v="1"/>
    <n v="1"/>
    <n v="1"/>
    <n v="1"/>
    <n v="1"/>
    <n v="1"/>
    <n v="1"/>
    <x v="2"/>
    <s v="spec18"/>
    <x v="12"/>
    <s v="N15G3f"/>
    <x v="8"/>
  </r>
  <r>
    <s v="r_IN_N15G3f_spec02"/>
    <n v="0"/>
    <n v="0"/>
    <n v="0"/>
    <n v="0"/>
    <n v="0"/>
    <n v="0"/>
    <n v="0"/>
    <n v="0"/>
    <x v="2"/>
    <s v="spec02"/>
    <x v="13"/>
    <s v="N15G3f"/>
    <x v="0"/>
  </r>
  <r>
    <s v="r_IN_N15G3f_spec01"/>
    <n v="1"/>
    <n v="1"/>
    <n v="1"/>
    <n v="1"/>
    <n v="1"/>
    <n v="0"/>
    <n v="0"/>
    <n v="0"/>
    <x v="2"/>
    <s v="spec01"/>
    <x v="13"/>
    <s v="N15G3f"/>
    <x v="1"/>
  </r>
  <r>
    <s v="r_IN_N15G3f_spec04"/>
    <n v="1"/>
    <n v="1"/>
    <n v="1"/>
    <n v="1"/>
    <n v="1"/>
    <n v="1"/>
    <n v="1"/>
    <n v="1"/>
    <x v="2"/>
    <s v="spec04"/>
    <x v="13"/>
    <s v="N15G3f"/>
    <x v="2"/>
  </r>
  <r>
    <s v="r_IN_N15G3f_spec07"/>
    <n v="0"/>
    <n v="0"/>
    <n v="0"/>
    <n v="0"/>
    <n v="0"/>
    <n v="0"/>
    <n v="0"/>
    <n v="0"/>
    <x v="2"/>
    <s v="spec07"/>
    <x v="13"/>
    <s v="N15G3f"/>
    <x v="3"/>
  </r>
  <r>
    <s v="r_IN_N15G3f_spec08"/>
    <n v="0"/>
    <n v="0"/>
    <n v="0"/>
    <n v="0"/>
    <n v="0"/>
    <n v="0"/>
    <n v="0"/>
    <n v="0"/>
    <x v="2"/>
    <s v="spec08"/>
    <x v="13"/>
    <s v="N15G3f"/>
    <x v="4"/>
  </r>
  <r>
    <s v="r_IN_N15G3f_spec09"/>
    <n v="0"/>
    <n v="0"/>
    <n v="0"/>
    <n v="0"/>
    <n v="0"/>
    <n v="0"/>
    <n v="0"/>
    <n v="0"/>
    <x v="2"/>
    <s v="spec09"/>
    <x v="13"/>
    <s v="N15G3f"/>
    <x v="5"/>
  </r>
  <r>
    <s v="r_IN_N15G3f_spec10"/>
    <n v="0"/>
    <n v="0"/>
    <n v="0"/>
    <n v="0"/>
    <n v="0"/>
    <n v="0"/>
    <n v="0"/>
    <n v="0"/>
    <x v="2"/>
    <s v="spec10"/>
    <x v="13"/>
    <s v="N15G3f"/>
    <x v="6"/>
  </r>
  <r>
    <s v="r_IN_N15G3f_spec03"/>
    <n v="0"/>
    <n v="1"/>
    <n v="0"/>
    <n v="1"/>
    <n v="1"/>
    <n v="1"/>
    <n v="0"/>
    <n v="0"/>
    <x v="2"/>
    <s v="spec03"/>
    <x v="13"/>
    <s v="N15G3f"/>
    <x v="7"/>
  </r>
  <r>
    <s v="r_IN_N15G3f_spec18"/>
    <n v="0"/>
    <n v="1"/>
    <n v="1"/>
    <n v="1"/>
    <n v="1"/>
    <n v="0"/>
    <n v="0"/>
    <n v="0"/>
    <x v="2"/>
    <s v="spec18"/>
    <x v="13"/>
    <s v="N15G3f"/>
    <x v="8"/>
  </r>
  <r>
    <s v="r_CH_N15G3f_spec02"/>
    <n v="0"/>
    <n v="0"/>
    <n v="0"/>
    <n v="0"/>
    <n v="0"/>
    <n v="0"/>
    <n v="0"/>
    <n v="0"/>
    <x v="2"/>
    <s v="spec02"/>
    <x v="14"/>
    <s v="N15G3f"/>
    <x v="0"/>
  </r>
  <r>
    <s v="r_CH_N15G3f_spec01"/>
    <n v="1"/>
    <n v="1"/>
    <n v="0"/>
    <n v="0"/>
    <n v="0"/>
    <n v="1"/>
    <n v="1"/>
    <n v="0"/>
    <x v="2"/>
    <s v="spec01"/>
    <x v="14"/>
    <s v="N15G3f"/>
    <x v="1"/>
  </r>
  <r>
    <s v="r_CH_N15G3f_spec04"/>
    <n v="0"/>
    <n v="0"/>
    <n v="0"/>
    <n v="0"/>
    <n v="0"/>
    <n v="0"/>
    <n v="0"/>
    <n v="0"/>
    <x v="2"/>
    <s v="spec04"/>
    <x v="14"/>
    <s v="N15G3f"/>
    <x v="2"/>
  </r>
  <r>
    <s v="r_CH_N15G3f_spec07"/>
    <n v="0"/>
    <n v="0"/>
    <n v="0"/>
    <n v="0"/>
    <n v="0"/>
    <n v="0"/>
    <n v="0"/>
    <n v="0"/>
    <x v="2"/>
    <s v="spec07"/>
    <x v="14"/>
    <s v="N15G3f"/>
    <x v="3"/>
  </r>
  <r>
    <s v="r_CH_N15G3f_spec08"/>
    <n v="0"/>
    <n v="0"/>
    <n v="0"/>
    <n v="0"/>
    <n v="0"/>
    <n v="0"/>
    <n v="0"/>
    <n v="0"/>
    <x v="2"/>
    <s v="spec08"/>
    <x v="14"/>
    <s v="N15G3f"/>
    <x v="4"/>
  </r>
  <r>
    <s v="r_CH_N15G3f_spec09"/>
    <n v="0"/>
    <n v="0"/>
    <n v="0"/>
    <n v="0"/>
    <n v="0"/>
    <n v="0"/>
    <n v="0"/>
    <n v="0"/>
    <x v="2"/>
    <s v="spec09"/>
    <x v="14"/>
    <s v="N15G3f"/>
    <x v="5"/>
  </r>
  <r>
    <s v="r_CH_N15G3f_spec10"/>
    <n v="0"/>
    <n v="0"/>
    <n v="0"/>
    <n v="0"/>
    <n v="0"/>
    <n v="0"/>
    <n v="0"/>
    <n v="0"/>
    <x v="2"/>
    <s v="spec10"/>
    <x v="14"/>
    <s v="N15G3f"/>
    <x v="6"/>
  </r>
  <r>
    <s v="r_CH_N15G3f_spec03"/>
    <n v="0"/>
    <n v="0"/>
    <n v="0"/>
    <n v="0"/>
    <n v="0"/>
    <n v="0"/>
    <n v="0"/>
    <n v="0"/>
    <x v="2"/>
    <s v="spec03"/>
    <x v="14"/>
    <s v="N15G3f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B3306-6D6E-4A1A-B9D8-43C48400EB71}" name="PivotTable1" cacheId="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P34" firstHeaderRow="1" firstDataRow="2" firstDataCol="1"/>
  <pivotFields count="14">
    <pivotField showAll="0" defaultSubtotal="0"/>
    <pivotField dataField="1"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axis="axisRow" showAll="0" defaultSubtotal="0">
      <items count="3">
        <item x="0"/>
        <item x="1"/>
        <item x="2"/>
      </items>
    </pivotField>
    <pivotField showAll="0" defaultSubtotal="0"/>
    <pivotField axis="axisCol" showAll="0" defaultSubtotal="0">
      <items count="15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</items>
    </pivotField>
    <pivotField showAll="0" defaultSubtotal="0"/>
    <pivotField axis="axisRow" subtotalTop="0" showAll="0" defaultSubtotal="0">
      <items count="9">
        <item x="0"/>
        <item x="1"/>
        <item x="7"/>
        <item x="2"/>
        <item x="8"/>
        <item x="3"/>
        <item x="4"/>
        <item x="5"/>
        <item x="6"/>
      </items>
    </pivotField>
  </pivotFields>
  <rowFields count="2">
    <field x="9"/>
    <field x="13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Sum of T_1" fld="1" baseField="0" baseItem="0"/>
  </dataFields>
  <formats count="12">
    <format dxfId="35">
      <pivotArea outline="0" collapsedLevelsAreSubtotals="1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11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9" type="button" dataOnly="0" labelOnly="1" outline="0" axis="axisRow" fieldPosition="0"/>
    </format>
    <format dxfId="28">
      <pivotArea dataOnly="0" labelOnly="1" fieldPosition="0">
        <references count="1">
          <reference field="9" count="0"/>
        </references>
      </pivotArea>
    </format>
    <format dxfId="27">
      <pivotArea dataOnly="0" labelOnly="1" fieldPosition="0">
        <references count="2">
          <reference field="9" count="1" selected="0">
            <x v="0"/>
          </reference>
          <reference field="13" count="0"/>
        </references>
      </pivotArea>
    </format>
    <format dxfId="26">
      <pivotArea dataOnly="0" labelOnly="1" fieldPosition="0">
        <references count="2">
          <reference field="9" count="1" selected="0">
            <x v="1"/>
          </reference>
          <reference field="13" count="0"/>
        </references>
      </pivotArea>
    </format>
    <format dxfId="25">
      <pivotArea dataOnly="0" labelOnly="1" fieldPosition="0">
        <references count="2">
          <reference field="9" count="1" selected="0">
            <x v="2"/>
          </reference>
          <reference field="13" count="0"/>
        </references>
      </pivotArea>
    </format>
    <format dxfId="24">
      <pivotArea dataOnly="0" labelOnly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B370A-947E-480C-ABC1-2B1594566164}" name="PivotTable3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3:BC35" firstHeaderRow="1" firstDataRow="2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6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  <item t="default"/>
      </items>
    </pivotField>
    <pivotField showAll="0"/>
    <pivotField axis="axisRow" showAll="0">
      <items count="10">
        <item x="0"/>
        <item x="1"/>
        <item x="7"/>
        <item x="2"/>
        <item x="8"/>
        <item x="3"/>
        <item x="4"/>
        <item x="5"/>
        <item x="6"/>
        <item t="default"/>
      </items>
    </pivotField>
  </pivotFields>
  <rowFields count="2">
    <field x="9"/>
    <field x="13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_1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5936D-AA12-4C88-84FF-F317A9DC884A}" name="PivotTable2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AI35" firstHeaderRow="1" firstDataRow="2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6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  <item t="default"/>
      </items>
    </pivotField>
    <pivotField showAll="0"/>
    <pivotField axis="axisRow" showAll="0">
      <items count="11">
        <item x="0"/>
        <item x="1"/>
        <item x="7"/>
        <item x="2"/>
        <item x="8"/>
        <item x="3"/>
        <item x="4"/>
        <item x="5"/>
        <item x="6"/>
        <item m="1" x="9"/>
        <item t="default"/>
      </items>
    </pivotField>
  </pivotFields>
  <rowFields count="2">
    <field x="9"/>
    <field x="13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_1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C9908-AC26-4207-9624-D48CFF17D01C}" name="PivotTable2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AI35" firstHeaderRow="1" firstDataRow="2" firstDataCol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6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  <item t="default"/>
      </items>
    </pivotField>
    <pivotField showAll="0"/>
    <pivotField axis="axisRow" showAll="0">
      <items count="11">
        <item x="0"/>
        <item x="1"/>
        <item x="7"/>
        <item x="2"/>
        <item x="8"/>
        <item x="3"/>
        <item x="4"/>
        <item x="5"/>
        <item x="6"/>
        <item m="1" x="9"/>
        <item t="default"/>
      </items>
    </pivotField>
  </pivotFields>
  <rowFields count="2">
    <field x="9"/>
    <field x="13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_4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807E6-893D-478E-B1C7-AE465F3ED279}" name="PivotTable3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3:BC35" firstHeaderRow="1" firstDataRow="2" firstDataCol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6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  <item t="default"/>
      </items>
    </pivotField>
    <pivotField showAll="0"/>
    <pivotField axis="axisRow" showAll="0">
      <items count="10">
        <item x="0"/>
        <item x="1"/>
        <item x="7"/>
        <item x="2"/>
        <item x="8"/>
        <item x="3"/>
        <item x="4"/>
        <item x="5"/>
        <item x="6"/>
        <item t="default"/>
      </items>
    </pivotField>
  </pivotFields>
  <rowFields count="2">
    <field x="9"/>
    <field x="13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_4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668A0-85C6-4A39-AFFC-AD86FF10AE24}" name="PivotTable1" cacheId="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P34" firstHeaderRow="1" firstDataRow="2" firstDataCol="1"/>
  <pivotFields count="14">
    <pivotField showAll="0" defaultSubtotal="0"/>
    <pivotField numFmtId="2" showAll="0" defaultSubtotal="0"/>
    <pivotField numFmtId="2" showAll="0" defaultSubtotal="0"/>
    <pivotField numFmtId="2" showAll="0" defaultSubtotal="0"/>
    <pivotField dataField="1"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axis="axisRow" showAll="0" defaultSubtotal="0">
      <items count="3">
        <item x="0"/>
        <item x="1"/>
        <item x="2"/>
      </items>
    </pivotField>
    <pivotField showAll="0" defaultSubtotal="0"/>
    <pivotField axis="axisCol" showAll="0" defaultSubtotal="0">
      <items count="15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</items>
    </pivotField>
    <pivotField showAll="0" defaultSubtotal="0"/>
    <pivotField axis="axisRow" subtotalTop="0" showAll="0" defaultSubtotal="0">
      <items count="9">
        <item x="0"/>
        <item x="1"/>
        <item x="7"/>
        <item x="2"/>
        <item x="8"/>
        <item x="3"/>
        <item x="4"/>
        <item x="5"/>
        <item x="6"/>
      </items>
    </pivotField>
  </pivotFields>
  <rowFields count="2">
    <field x="9"/>
    <field x="13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Sum of T_4" fld="4" baseField="0" baseItem="0"/>
  </dataFields>
  <formats count="12"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11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9" type="button" dataOnly="0" labelOnly="1" outline="0" axis="axisRow" fieldPosition="0"/>
    </format>
    <format dxfId="16">
      <pivotArea dataOnly="0" labelOnly="1" fieldPosition="0">
        <references count="1">
          <reference field="9" count="0"/>
        </references>
      </pivotArea>
    </format>
    <format dxfId="15">
      <pivotArea dataOnly="0" labelOnly="1" fieldPosition="0">
        <references count="2">
          <reference field="9" count="1" selected="0">
            <x v="0"/>
          </reference>
          <reference field="13" count="0"/>
        </references>
      </pivotArea>
    </format>
    <format dxfId="14">
      <pivotArea dataOnly="0" labelOnly="1" fieldPosition="0">
        <references count="2">
          <reference field="9" count="1" selected="0">
            <x v="1"/>
          </reference>
          <reference field="13" count="0"/>
        </references>
      </pivotArea>
    </format>
    <format dxfId="13">
      <pivotArea dataOnly="0" labelOnly="1" fieldPosition="0">
        <references count="2">
          <reference field="9" count="1" selected="0">
            <x v="2"/>
          </reference>
          <reference field="13" count="0"/>
        </references>
      </pivotArea>
    </format>
    <format dxfId="12">
      <pivotArea dataOnly="0" labelOnly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0079F-A9A9-455E-8FCD-DC3E528A5AC5}" name="PivotTable1" cacheId="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P34" firstHeaderRow="1" firstDataRow="2" firstDataCol="1"/>
  <pivotFields count="14">
    <pivotField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numFmtId="2" showAll="0" defaultSubtotal="0"/>
    <pivotField dataField="1" numFmtId="2" showAll="0" defaultSubtotal="0"/>
    <pivotField axis="axisRow" showAll="0" defaultSubtotal="0">
      <items count="3">
        <item x="0"/>
        <item x="1"/>
        <item x="2"/>
      </items>
    </pivotField>
    <pivotField showAll="0" defaultSubtotal="0"/>
    <pivotField axis="axisCol" showAll="0" defaultSubtotal="0">
      <items count="15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</items>
    </pivotField>
    <pivotField showAll="0" defaultSubtotal="0"/>
    <pivotField axis="axisRow" subtotalTop="0" showAll="0" defaultSubtotal="0">
      <items count="9">
        <item x="0"/>
        <item x="1"/>
        <item x="7"/>
        <item x="2"/>
        <item x="8"/>
        <item x="3"/>
        <item x="4"/>
        <item x="5"/>
        <item x="6"/>
      </items>
    </pivotField>
  </pivotFields>
  <rowFields count="2">
    <field x="9"/>
    <field x="13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Sum of T_8" fld="8" baseField="0" baseItem="0"/>
  </dataFields>
  <formats count="12"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1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9" type="button" dataOnly="0" labelOnly="1" outline="0" axis="axisRow" fieldPosition="0"/>
    </format>
    <format dxfId="4">
      <pivotArea dataOnly="0" labelOnly="1" fieldPosition="0">
        <references count="1">
          <reference field="9" count="0"/>
        </references>
      </pivotArea>
    </format>
    <format dxfId="3">
      <pivotArea dataOnly="0" labelOnly="1" fieldPosition="0">
        <references count="2">
          <reference field="9" count="1" selected="0">
            <x v="0"/>
          </reference>
          <reference field="13" count="0"/>
        </references>
      </pivotArea>
    </format>
    <format dxfId="2">
      <pivotArea dataOnly="0" labelOnly="1" fieldPosition="0">
        <references count="2">
          <reference field="9" count="1" selected="0">
            <x v="1"/>
          </reference>
          <reference field="13" count="0"/>
        </references>
      </pivotArea>
    </format>
    <format dxfId="1">
      <pivotArea dataOnly="0" labelOnly="1" fieldPosition="0">
        <references count="2">
          <reference field="9" count="1" selected="0">
            <x v="2"/>
          </reference>
          <reference field="13" count="0"/>
        </references>
      </pivotArea>
    </format>
    <format dxfId="0">
      <pivotArea dataOnly="0" labelOnly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B688D-EE43-49F6-84EA-0BE9F1E35BCC}" name="PivotTable3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3:BC35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6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  <item t="default"/>
      </items>
    </pivotField>
    <pivotField showAll="0"/>
    <pivotField axis="axisRow" showAll="0">
      <items count="10">
        <item x="0"/>
        <item x="1"/>
        <item x="7"/>
        <item x="2"/>
        <item x="8"/>
        <item x="3"/>
        <item x="4"/>
        <item x="5"/>
        <item x="6"/>
        <item t="default"/>
      </items>
    </pivotField>
  </pivotFields>
  <rowFields count="2">
    <field x="9"/>
    <field x="13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_8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53BD1-CF64-4DD6-8BCF-A58B3440A57D}" name="PivotTable2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AI35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6">
        <item x="6"/>
        <item x="12"/>
        <item x="11"/>
        <item x="7"/>
        <item x="5"/>
        <item x="14"/>
        <item x="9"/>
        <item x="0"/>
        <item x="1"/>
        <item x="3"/>
        <item x="13"/>
        <item x="2"/>
        <item x="10"/>
        <item x="8"/>
        <item x="4"/>
        <item t="default"/>
      </items>
    </pivotField>
    <pivotField showAll="0"/>
    <pivotField axis="axisRow" showAll="0">
      <items count="11">
        <item x="0"/>
        <item x="1"/>
        <item x="7"/>
        <item x="2"/>
        <item x="8"/>
        <item x="3"/>
        <item x="4"/>
        <item x="5"/>
        <item x="6"/>
        <item m="1" x="9"/>
        <item t="default"/>
      </items>
    </pivotField>
  </pivotFields>
  <rowFields count="2">
    <field x="9"/>
    <field x="13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T_8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DB0C-C899-4A22-AA30-C282E15CA2DF}">
  <dimension ref="B2"/>
  <sheetViews>
    <sheetView tabSelected="1" workbookViewId="0">
      <selection activeCell="H12" sqref="H12"/>
    </sheetView>
  </sheetViews>
  <sheetFormatPr defaultRowHeight="15" x14ac:dyDescent="0.25"/>
  <sheetData>
    <row r="2" spans="2:2" x14ac:dyDescent="0.25">
      <c r="B2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6"/>
  <sheetViews>
    <sheetView workbookViewId="0">
      <selection activeCell="N347" sqref="N347"/>
    </sheetView>
  </sheetViews>
  <sheetFormatPr defaultRowHeight="15" x14ac:dyDescent="0.25"/>
  <cols>
    <col min="1" max="1" width="24.28515625" bestFit="1" customWidth="1"/>
    <col min="2" max="9" width="12" bestFit="1" customWidth="1"/>
    <col min="10" max="10" width="9.140625" bestFit="1" customWidth="1"/>
    <col min="11" max="11" width="10.42578125" bestFit="1" customWidth="1"/>
    <col min="12" max="12" width="10.28515625" bestFit="1" customWidth="1"/>
    <col min="13" max="13" width="14.28515625" bestFit="1" customWidth="1"/>
  </cols>
  <sheetData>
    <row r="1" spans="1:14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  <c r="N1" t="s">
        <v>260</v>
      </c>
    </row>
    <row r="2" spans="1:14" x14ac:dyDescent="0.25">
      <c r="A2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t="s">
        <v>198</v>
      </c>
      <c r="K2" t="s">
        <v>202</v>
      </c>
      <c r="L2" t="s">
        <v>209</v>
      </c>
      <c r="M2" t="s">
        <v>225</v>
      </c>
      <c r="N2" t="str">
        <f t="shared" ref="N2:N65" si="0">VLOOKUP(K2,modelNames,2,FALSE)</f>
        <v>ZS</v>
      </c>
    </row>
    <row r="3" spans="1:14" x14ac:dyDescent="0.25">
      <c r="A3" t="s">
        <v>2</v>
      </c>
      <c r="B3" s="1">
        <v>0.98348555357054523</v>
      </c>
      <c r="C3" s="1">
        <v>1.0152793229018211</v>
      </c>
      <c r="D3" s="1">
        <v>0.97763965670963904</v>
      </c>
      <c r="E3" s="1">
        <v>0.94603800282527284</v>
      </c>
      <c r="F3" s="1">
        <v>1.0033708621559667</v>
      </c>
      <c r="G3" s="1">
        <v>0.99149067849820749</v>
      </c>
      <c r="H3" s="1">
        <v>0.96123830709860014</v>
      </c>
      <c r="I3" s="1">
        <v>0.97644870739288692</v>
      </c>
      <c r="J3" t="s">
        <v>198</v>
      </c>
      <c r="K3" t="s">
        <v>203</v>
      </c>
      <c r="L3" t="s">
        <v>209</v>
      </c>
      <c r="M3" t="s">
        <v>225</v>
      </c>
      <c r="N3" t="str">
        <f t="shared" si="0"/>
        <v>ZS\&amp;POOL</v>
      </c>
    </row>
    <row r="4" spans="1:14" x14ac:dyDescent="0.25">
      <c r="A4" t="s">
        <v>3</v>
      </c>
      <c r="B4" s="1">
        <v>0.98034768179068654</v>
      </c>
      <c r="C4" s="1">
        <v>1.0427681689668302</v>
      </c>
      <c r="D4" s="1">
        <v>0.99952551817815405</v>
      </c>
      <c r="E4" s="1">
        <v>0.95175094420789252</v>
      </c>
      <c r="F4" s="1">
        <v>1.0109871355361242</v>
      </c>
      <c r="G4" s="1">
        <v>0.98720471657796072</v>
      </c>
      <c r="H4" s="1">
        <v>0.96381848790752966</v>
      </c>
      <c r="I4" s="1">
        <v>1.0351922154559967</v>
      </c>
      <c r="J4" t="s">
        <v>198</v>
      </c>
      <c r="K4" t="s">
        <v>204</v>
      </c>
      <c r="L4" t="s">
        <v>209</v>
      </c>
      <c r="M4" t="s">
        <v>225</v>
      </c>
      <c r="N4" t="str">
        <f t="shared" si="0"/>
        <v>ZSGL</v>
      </c>
    </row>
    <row r="5" spans="1:14" x14ac:dyDescent="0.25">
      <c r="A5" t="s">
        <v>298</v>
      </c>
      <c r="B5" s="1">
        <v>1.0870202777003379</v>
      </c>
      <c r="C5" s="1">
        <v>1.2250269897739696</v>
      </c>
      <c r="D5" s="1">
        <v>1.1593299251618423</v>
      </c>
      <c r="E5" s="1">
        <v>1.2454871798571168</v>
      </c>
      <c r="F5" s="1">
        <v>1.3786238483609048</v>
      </c>
      <c r="G5" s="1">
        <v>1.2670782291426046</v>
      </c>
      <c r="H5" s="1">
        <v>1.3518406064178503</v>
      </c>
      <c r="I5" s="1">
        <v>1.4410400642766066</v>
      </c>
      <c r="J5" t="s">
        <v>198</v>
      </c>
      <c r="K5" t="s">
        <v>239</v>
      </c>
      <c r="L5" t="s">
        <v>209</v>
      </c>
      <c r="M5" t="s">
        <v>225</v>
      </c>
      <c r="N5" t="str">
        <f t="shared" si="0"/>
        <v>BFCS</v>
      </c>
    </row>
    <row r="6" spans="1:14" x14ac:dyDescent="0.25">
      <c r="A6" t="s">
        <v>299</v>
      </c>
      <c r="B6" s="1">
        <v>0.97689222645915563</v>
      </c>
      <c r="C6" s="1">
        <v>1.038844681178273</v>
      </c>
      <c r="D6" s="1">
        <v>1.015873109800282</v>
      </c>
      <c r="E6" s="1">
        <v>0.92118022099916508</v>
      </c>
      <c r="F6" s="1">
        <v>0.96297030956051011</v>
      </c>
      <c r="G6" s="1">
        <v>0.95828230852404073</v>
      </c>
      <c r="H6" s="1">
        <v>0.91321373339734568</v>
      </c>
      <c r="I6" s="1">
        <v>1.0155248886593105</v>
      </c>
      <c r="J6" t="s">
        <v>198</v>
      </c>
      <c r="K6" t="s">
        <v>241</v>
      </c>
      <c r="L6" t="s">
        <v>209</v>
      </c>
      <c r="M6" t="s">
        <v>225</v>
      </c>
      <c r="N6" t="str">
        <f t="shared" si="0"/>
        <v>SSSS</v>
      </c>
    </row>
    <row r="7" spans="1:14" x14ac:dyDescent="0.25">
      <c r="A7" t="s">
        <v>4</v>
      </c>
      <c r="B7" s="1">
        <v>0.94960430089779202</v>
      </c>
      <c r="C7" s="1">
        <v>1.0073412028300128</v>
      </c>
      <c r="D7" s="1">
        <v>0.97637513553042654</v>
      </c>
      <c r="E7" s="1">
        <v>0.98778440166667691</v>
      </c>
      <c r="F7" s="1">
        <v>0.99466192403319476</v>
      </c>
      <c r="G7" s="1">
        <v>1.0457973779075846</v>
      </c>
      <c r="H7" s="1">
        <v>1.0448649213895274</v>
      </c>
      <c r="I7" s="1">
        <v>1.0135860450278693</v>
      </c>
      <c r="J7" t="s">
        <v>198</v>
      </c>
      <c r="K7" t="s">
        <v>206</v>
      </c>
      <c r="L7" t="s">
        <v>209</v>
      </c>
      <c r="M7" t="s">
        <v>225</v>
      </c>
      <c r="N7" t="str">
        <f t="shared" si="0"/>
        <v>BMS</v>
      </c>
    </row>
    <row r="8" spans="1:14" x14ac:dyDescent="0.25">
      <c r="A8" t="s">
        <v>261</v>
      </c>
      <c r="B8" s="1">
        <v>0.95542129334075476</v>
      </c>
      <c r="C8" s="1">
        <v>1.8127124792913387</v>
      </c>
      <c r="D8" s="1">
        <v>1.8514791008020333</v>
      </c>
      <c r="E8" s="1">
        <v>1.8715608294773423</v>
      </c>
      <c r="F8" s="1">
        <v>1.9616715133907037</v>
      </c>
      <c r="G8" s="1">
        <v>2.047732766918358</v>
      </c>
      <c r="H8" s="1">
        <v>2.0206027145445948</v>
      </c>
      <c r="I8" s="1">
        <v>2.0896048620045242</v>
      </c>
      <c r="J8" t="s">
        <v>198</v>
      </c>
      <c r="K8" t="s">
        <v>207</v>
      </c>
      <c r="L8" t="s">
        <v>209</v>
      </c>
      <c r="M8" t="s">
        <v>225</v>
      </c>
      <c r="N8" t="str">
        <f t="shared" si="0"/>
        <v>CC</v>
      </c>
    </row>
    <row r="9" spans="1:14" x14ac:dyDescent="0.25">
      <c r="A9" t="s">
        <v>300</v>
      </c>
      <c r="B9" s="1">
        <v>1.0274714885673768</v>
      </c>
      <c r="C9" s="1">
        <v>1.0456869464064829</v>
      </c>
      <c r="D9" s="1">
        <v>1.0273625739794643</v>
      </c>
      <c r="E9" s="1">
        <v>0.98028204526862772</v>
      </c>
      <c r="F9" s="1">
        <v>0.97391618097409982</v>
      </c>
      <c r="G9" s="1">
        <v>0.98071175089112406</v>
      </c>
      <c r="H9" s="1">
        <v>0.98293780817063536</v>
      </c>
      <c r="I9" s="1">
        <v>0.99156273534829631</v>
      </c>
      <c r="J9" t="s">
        <v>198</v>
      </c>
      <c r="K9" t="s">
        <v>233</v>
      </c>
      <c r="L9" t="s">
        <v>209</v>
      </c>
      <c r="M9" t="s">
        <v>225</v>
      </c>
      <c r="N9" t="str">
        <f t="shared" si="0"/>
        <v>POOL</v>
      </c>
    </row>
    <row r="10" spans="1:14" x14ac:dyDescent="0.25">
      <c r="A10" t="s">
        <v>5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t="s">
        <v>198</v>
      </c>
      <c r="K10" t="s">
        <v>202</v>
      </c>
      <c r="L10" t="s">
        <v>210</v>
      </c>
      <c r="M10" t="s">
        <v>225</v>
      </c>
      <c r="N10" t="str">
        <f t="shared" si="0"/>
        <v>ZS</v>
      </c>
    </row>
    <row r="11" spans="1:14" x14ac:dyDescent="0.25">
      <c r="A11" t="s">
        <v>6</v>
      </c>
      <c r="B11" s="1">
        <v>1.0114353077091363</v>
      </c>
      <c r="C11" s="1">
        <v>1.0112038484071275</v>
      </c>
      <c r="D11" s="1">
        <v>1.048978308845161</v>
      </c>
      <c r="E11" s="1">
        <v>1.0030992005503527</v>
      </c>
      <c r="F11" s="1">
        <v>0.95884273865231195</v>
      </c>
      <c r="G11" s="1">
        <v>1.0050542419251105</v>
      </c>
      <c r="H11" s="1">
        <v>0.94965967115044458</v>
      </c>
      <c r="I11" s="1">
        <v>0.97820838341303229</v>
      </c>
      <c r="J11" t="s">
        <v>198</v>
      </c>
      <c r="K11" t="s">
        <v>203</v>
      </c>
      <c r="L11" t="s">
        <v>210</v>
      </c>
      <c r="M11" t="s">
        <v>225</v>
      </c>
      <c r="N11" t="str">
        <f t="shared" si="0"/>
        <v>ZS\&amp;POOL</v>
      </c>
    </row>
    <row r="12" spans="1:14" x14ac:dyDescent="0.25">
      <c r="A12" t="s">
        <v>7</v>
      </c>
      <c r="B12" s="1">
        <v>0.98259732652042764</v>
      </c>
      <c r="C12" s="1">
        <v>1.0484339293859624</v>
      </c>
      <c r="D12" s="1">
        <v>1.0806964740281033</v>
      </c>
      <c r="E12" s="1">
        <v>1.006572888942501</v>
      </c>
      <c r="F12" s="1">
        <v>0.96033722288508649</v>
      </c>
      <c r="G12" s="1">
        <v>1.0232132844547634</v>
      </c>
      <c r="H12" s="1">
        <v>1.0096423472153238</v>
      </c>
      <c r="I12" s="1">
        <v>1.0355854388900403</v>
      </c>
      <c r="J12" t="s">
        <v>198</v>
      </c>
      <c r="K12" t="s">
        <v>204</v>
      </c>
      <c r="L12" t="s">
        <v>210</v>
      </c>
      <c r="M12" t="s">
        <v>225</v>
      </c>
      <c r="N12" t="str">
        <f t="shared" si="0"/>
        <v>ZSGL</v>
      </c>
    </row>
    <row r="13" spans="1:14" x14ac:dyDescent="0.25">
      <c r="A13" t="s">
        <v>301</v>
      </c>
      <c r="B13" s="1">
        <v>1.1909050606584437</v>
      </c>
      <c r="C13" s="1">
        <v>1.5158822206441374</v>
      </c>
      <c r="D13" s="1">
        <v>1.6274828594593138</v>
      </c>
      <c r="E13" s="1">
        <v>1.6696785702455768</v>
      </c>
      <c r="F13" s="1">
        <v>1.6504254777500984</v>
      </c>
      <c r="G13" s="1">
        <v>1.6558829234784593</v>
      </c>
      <c r="H13" s="1">
        <v>1.5986419205227331</v>
      </c>
      <c r="I13" s="1">
        <v>1.6971585019384132</v>
      </c>
      <c r="J13" t="s">
        <v>198</v>
      </c>
      <c r="K13" t="s">
        <v>239</v>
      </c>
      <c r="L13" t="s">
        <v>210</v>
      </c>
      <c r="M13" t="s">
        <v>225</v>
      </c>
      <c r="N13" t="str">
        <f t="shared" si="0"/>
        <v>BFCS</v>
      </c>
    </row>
    <row r="14" spans="1:14" x14ac:dyDescent="0.25">
      <c r="A14" t="s">
        <v>302</v>
      </c>
      <c r="B14" s="1">
        <v>1.5719902971369097</v>
      </c>
      <c r="C14" s="1">
        <v>1.2729421376051309</v>
      </c>
      <c r="D14" s="1">
        <v>1.2724827995126413</v>
      </c>
      <c r="E14" s="1">
        <v>1.1896797788627196</v>
      </c>
      <c r="F14" s="1">
        <v>1.1276078610777389</v>
      </c>
      <c r="G14" s="1">
        <v>1.1544937810043447</v>
      </c>
      <c r="H14" s="1">
        <v>1.0816237053907989</v>
      </c>
      <c r="I14" s="1">
        <v>1.1444509397696998</v>
      </c>
      <c r="J14" t="s">
        <v>198</v>
      </c>
      <c r="K14" t="s">
        <v>241</v>
      </c>
      <c r="L14" t="s">
        <v>210</v>
      </c>
      <c r="M14" t="s">
        <v>225</v>
      </c>
      <c r="N14" t="str">
        <f t="shared" si="0"/>
        <v>SSSS</v>
      </c>
    </row>
    <row r="15" spans="1:14" x14ac:dyDescent="0.25">
      <c r="A15" t="s">
        <v>8</v>
      </c>
      <c r="B15" s="1">
        <v>1.0269538218390895</v>
      </c>
      <c r="C15" s="1">
        <v>1.0529413022567822</v>
      </c>
      <c r="D15" s="1">
        <v>1.099808392116062</v>
      </c>
      <c r="E15" s="1">
        <v>1.0533523213214784</v>
      </c>
      <c r="F15" s="1">
        <v>1.0631976354679866</v>
      </c>
      <c r="G15" s="1">
        <v>1.1130386120745159</v>
      </c>
      <c r="H15" s="1">
        <v>1.0857154232347135</v>
      </c>
      <c r="I15" s="1">
        <v>1.0525822480185187</v>
      </c>
      <c r="J15" t="s">
        <v>198</v>
      </c>
      <c r="K15" t="s">
        <v>206</v>
      </c>
      <c r="L15" t="s">
        <v>210</v>
      </c>
      <c r="M15" t="s">
        <v>225</v>
      </c>
      <c r="N15" t="str">
        <f t="shared" si="0"/>
        <v>BMS</v>
      </c>
    </row>
    <row r="16" spans="1:14" x14ac:dyDescent="0.25">
      <c r="A16" t="s">
        <v>262</v>
      </c>
      <c r="B16" s="1">
        <v>1.3380793773641702</v>
      </c>
      <c r="C16" s="1">
        <v>2.9071066379816095</v>
      </c>
      <c r="D16" s="1">
        <v>2.9424000204467369</v>
      </c>
      <c r="E16" s="1">
        <v>2.9235863979281964</v>
      </c>
      <c r="F16" s="1">
        <v>2.8784244199459592</v>
      </c>
      <c r="G16" s="1">
        <v>3.0447714829319912</v>
      </c>
      <c r="H16" s="1">
        <v>2.943590005966259</v>
      </c>
      <c r="I16" s="1">
        <v>3.1213898450416808</v>
      </c>
      <c r="J16" t="s">
        <v>198</v>
      </c>
      <c r="K16" t="s">
        <v>207</v>
      </c>
      <c r="L16" t="s">
        <v>210</v>
      </c>
      <c r="M16" t="s">
        <v>225</v>
      </c>
      <c r="N16" t="str">
        <f t="shared" si="0"/>
        <v>CC</v>
      </c>
    </row>
    <row r="17" spans="1:14" x14ac:dyDescent="0.25">
      <c r="A17" t="s">
        <v>303</v>
      </c>
      <c r="B17" s="1">
        <v>1.0218915833322446</v>
      </c>
      <c r="C17" s="1">
        <v>1.1015293881462116</v>
      </c>
      <c r="D17" s="1">
        <v>1.0530886910072608</v>
      </c>
      <c r="E17" s="1">
        <v>1.0630023162891014</v>
      </c>
      <c r="F17" s="1">
        <v>1.0124433537280833</v>
      </c>
      <c r="G17" s="1">
        <v>1.0427443965866883</v>
      </c>
      <c r="H17" s="1">
        <v>1.0173300827566631</v>
      </c>
      <c r="I17" s="1">
        <v>1.0179109810346088</v>
      </c>
      <c r="J17" t="s">
        <v>198</v>
      </c>
      <c r="K17" t="s">
        <v>233</v>
      </c>
      <c r="L17" t="s">
        <v>210</v>
      </c>
      <c r="M17" t="s">
        <v>225</v>
      </c>
      <c r="N17" t="str">
        <f t="shared" si="0"/>
        <v>POOL</v>
      </c>
    </row>
    <row r="18" spans="1:14" x14ac:dyDescent="0.25">
      <c r="A18" t="s">
        <v>9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t="s">
        <v>198</v>
      </c>
      <c r="K18" t="s">
        <v>202</v>
      </c>
      <c r="L18" t="s">
        <v>211</v>
      </c>
      <c r="M18" t="s">
        <v>225</v>
      </c>
      <c r="N18" t="str">
        <f t="shared" si="0"/>
        <v>ZS</v>
      </c>
    </row>
    <row r="19" spans="1:14" x14ac:dyDescent="0.25">
      <c r="A19" t="s">
        <v>10</v>
      </c>
      <c r="B19" s="1">
        <v>0.99230434491739439</v>
      </c>
      <c r="C19" s="1">
        <v>1.0089268377901039</v>
      </c>
      <c r="D19" s="1">
        <v>1.0308277500209491</v>
      </c>
      <c r="E19" s="1">
        <v>0.96634885956770933</v>
      </c>
      <c r="F19" s="1">
        <v>1.0175641393188071</v>
      </c>
      <c r="G19" s="1">
        <v>1.0244490703163189</v>
      </c>
      <c r="H19" s="1">
        <v>1.0233472790823626</v>
      </c>
      <c r="I19" s="1">
        <v>0.99094646961732757</v>
      </c>
      <c r="J19" t="s">
        <v>198</v>
      </c>
      <c r="K19" t="s">
        <v>203</v>
      </c>
      <c r="L19" t="s">
        <v>211</v>
      </c>
      <c r="M19" t="s">
        <v>225</v>
      </c>
      <c r="N19" t="str">
        <f t="shared" si="0"/>
        <v>ZS\&amp;POOL</v>
      </c>
    </row>
    <row r="20" spans="1:14" x14ac:dyDescent="0.25">
      <c r="A20" t="s">
        <v>11</v>
      </c>
      <c r="B20" s="1">
        <v>1.0351912981248861</v>
      </c>
      <c r="C20" s="1">
        <v>0.98201228952465902</v>
      </c>
      <c r="D20" s="1">
        <v>0.99033264593245052</v>
      </c>
      <c r="E20" s="1">
        <v>0.95509312446016648</v>
      </c>
      <c r="F20" s="1">
        <v>1.005444691541743</v>
      </c>
      <c r="G20" s="1">
        <v>0.97894899965528648</v>
      </c>
      <c r="H20" s="1">
        <v>1.0255531753114888</v>
      </c>
      <c r="I20" s="1">
        <v>0.98061468658102802</v>
      </c>
      <c r="J20" t="s">
        <v>198</v>
      </c>
      <c r="K20" t="s">
        <v>204</v>
      </c>
      <c r="L20" t="s">
        <v>211</v>
      </c>
      <c r="M20" t="s">
        <v>225</v>
      </c>
      <c r="N20" t="str">
        <f t="shared" si="0"/>
        <v>ZSGL</v>
      </c>
    </row>
    <row r="21" spans="1:14" x14ac:dyDescent="0.25">
      <c r="A21" t="s">
        <v>304</v>
      </c>
      <c r="B21" s="1">
        <v>1.180361029980032</v>
      </c>
      <c r="C21" s="1">
        <v>1.4241681730212297</v>
      </c>
      <c r="D21" s="1">
        <v>1.4002828294852516</v>
      </c>
      <c r="E21" s="1">
        <v>1.4766908753171866</v>
      </c>
      <c r="F21" s="1">
        <v>1.5633189822343285</v>
      </c>
      <c r="G21" s="1">
        <v>1.427439313285767</v>
      </c>
      <c r="H21" s="1">
        <v>1.458928118937332</v>
      </c>
      <c r="I21" s="1">
        <v>1.4016911872348592</v>
      </c>
      <c r="J21" t="s">
        <v>198</v>
      </c>
      <c r="K21" t="s">
        <v>239</v>
      </c>
      <c r="L21" t="s">
        <v>211</v>
      </c>
      <c r="M21" t="s">
        <v>225</v>
      </c>
      <c r="N21" t="str">
        <f t="shared" si="0"/>
        <v>BFCS</v>
      </c>
    </row>
    <row r="22" spans="1:14" x14ac:dyDescent="0.25">
      <c r="A22" t="s">
        <v>305</v>
      </c>
      <c r="B22" s="1">
        <v>1.5859191812669626</v>
      </c>
      <c r="C22" s="1">
        <v>1.3944281600383677</v>
      </c>
      <c r="D22" s="1">
        <v>1.4142767673826633</v>
      </c>
      <c r="E22" s="1">
        <v>1.3658581874551003</v>
      </c>
      <c r="F22" s="1">
        <v>1.3968830095942397</v>
      </c>
      <c r="G22" s="1">
        <v>1.3571197179838468</v>
      </c>
      <c r="H22" s="1">
        <v>1.3473722451897141</v>
      </c>
      <c r="I22" s="1">
        <v>1.3734818433261076</v>
      </c>
      <c r="J22" t="s">
        <v>198</v>
      </c>
      <c r="K22" t="s">
        <v>241</v>
      </c>
      <c r="L22" t="s">
        <v>211</v>
      </c>
      <c r="M22" t="s">
        <v>225</v>
      </c>
      <c r="N22" t="str">
        <f t="shared" si="0"/>
        <v>SSSS</v>
      </c>
    </row>
    <row r="23" spans="1:14" x14ac:dyDescent="0.25">
      <c r="A23" t="s">
        <v>12</v>
      </c>
      <c r="B23" s="1">
        <v>1.0651262544104456</v>
      </c>
      <c r="C23" s="1">
        <v>0.96135597312299603</v>
      </c>
      <c r="D23" s="1">
        <v>1.0277853546398354</v>
      </c>
      <c r="E23" s="1">
        <v>0.98187321310353237</v>
      </c>
      <c r="F23" s="1">
        <v>1.0757646688648899</v>
      </c>
      <c r="G23" s="1">
        <v>1.0123099898780989</v>
      </c>
      <c r="H23" s="1">
        <v>1.0332426127850798</v>
      </c>
      <c r="I23" s="1">
        <v>1.0142399814506387</v>
      </c>
      <c r="J23" t="s">
        <v>198</v>
      </c>
      <c r="K23" t="s">
        <v>206</v>
      </c>
      <c r="L23" t="s">
        <v>211</v>
      </c>
      <c r="M23" t="s">
        <v>225</v>
      </c>
      <c r="N23" t="str">
        <f t="shared" si="0"/>
        <v>BMS</v>
      </c>
    </row>
    <row r="24" spans="1:14" x14ac:dyDescent="0.25">
      <c r="A24" t="s">
        <v>263</v>
      </c>
      <c r="B24" s="1">
        <v>1.1491412784031974</v>
      </c>
      <c r="C24" s="1">
        <v>2.4935386963654294</v>
      </c>
      <c r="D24" s="1">
        <v>2.5306714260611058</v>
      </c>
      <c r="E24" s="1">
        <v>2.5486762511439816</v>
      </c>
      <c r="F24" s="1">
        <v>2.6526599994510431</v>
      </c>
      <c r="G24" s="1">
        <v>2.6268660651234903</v>
      </c>
      <c r="H24" s="1">
        <v>2.6704499795908814</v>
      </c>
      <c r="I24" s="1">
        <v>2.6369889010182668</v>
      </c>
      <c r="J24" t="s">
        <v>198</v>
      </c>
      <c r="K24" t="s">
        <v>207</v>
      </c>
      <c r="L24" t="s">
        <v>211</v>
      </c>
      <c r="M24" t="s">
        <v>225</v>
      </c>
      <c r="N24" t="str">
        <f t="shared" si="0"/>
        <v>CC</v>
      </c>
    </row>
    <row r="25" spans="1:14" x14ac:dyDescent="0.25">
      <c r="A25" t="s">
        <v>306</v>
      </c>
      <c r="B25" s="1">
        <v>0.94436144821106804</v>
      </c>
      <c r="C25" s="1">
        <v>0.93917831016352571</v>
      </c>
      <c r="D25" s="1">
        <v>0.98418497511974978</v>
      </c>
      <c r="E25" s="1">
        <v>0.93608005810945105</v>
      </c>
      <c r="F25" s="1">
        <v>0.96264896222207053</v>
      </c>
      <c r="G25" s="1">
        <v>0.92826962582321193</v>
      </c>
      <c r="H25" s="1">
        <v>0.95201199854623175</v>
      </c>
      <c r="I25" s="1">
        <v>0.91867913231335541</v>
      </c>
      <c r="J25" t="s">
        <v>198</v>
      </c>
      <c r="K25" t="s">
        <v>233</v>
      </c>
      <c r="L25" t="s">
        <v>211</v>
      </c>
      <c r="M25" t="s">
        <v>225</v>
      </c>
      <c r="N25" t="str">
        <f t="shared" si="0"/>
        <v>POOL</v>
      </c>
    </row>
    <row r="26" spans="1:14" x14ac:dyDescent="0.25">
      <c r="A26" t="s">
        <v>13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t="s">
        <v>198</v>
      </c>
      <c r="K26" t="s">
        <v>202</v>
      </c>
      <c r="L26" t="s">
        <v>212</v>
      </c>
      <c r="M26" t="s">
        <v>225</v>
      </c>
      <c r="N26" t="str">
        <f t="shared" si="0"/>
        <v>ZS</v>
      </c>
    </row>
    <row r="27" spans="1:14" x14ac:dyDescent="0.25">
      <c r="A27" t="s">
        <v>14</v>
      </c>
      <c r="B27" s="1">
        <v>0.94480218843963004</v>
      </c>
      <c r="C27" s="1">
        <v>0.96305747240755435</v>
      </c>
      <c r="D27" s="1">
        <v>0.93222968221331282</v>
      </c>
      <c r="E27" s="1">
        <v>0.98427858038271709</v>
      </c>
      <c r="F27" s="1">
        <v>1.0033264598352978</v>
      </c>
      <c r="G27" s="1">
        <v>0.99930383226715236</v>
      </c>
      <c r="H27" s="1">
        <v>1.0262820499649319</v>
      </c>
      <c r="I27" s="1">
        <v>0.9869811893979975</v>
      </c>
      <c r="J27" t="s">
        <v>198</v>
      </c>
      <c r="K27" t="s">
        <v>203</v>
      </c>
      <c r="L27" t="s">
        <v>212</v>
      </c>
      <c r="M27" t="s">
        <v>225</v>
      </c>
      <c r="N27" t="str">
        <f t="shared" si="0"/>
        <v>ZS\&amp;POOL</v>
      </c>
    </row>
    <row r="28" spans="1:14" x14ac:dyDescent="0.25">
      <c r="A28" t="s">
        <v>15</v>
      </c>
      <c r="B28" s="1">
        <v>0.99195289461127845</v>
      </c>
      <c r="C28" s="1">
        <v>1.0350470078610388</v>
      </c>
      <c r="D28" s="1">
        <v>0.96252880172549005</v>
      </c>
      <c r="E28" s="1">
        <v>1.021436720911904</v>
      </c>
      <c r="F28" s="1">
        <v>1.0054846248617781</v>
      </c>
      <c r="G28" s="1">
        <v>1.0305644735368726</v>
      </c>
      <c r="H28" s="1">
        <v>0.99909794335720115</v>
      </c>
      <c r="I28" s="1">
        <v>1.0013203277549299</v>
      </c>
      <c r="J28" t="s">
        <v>198</v>
      </c>
      <c r="K28" t="s">
        <v>204</v>
      </c>
      <c r="L28" t="s">
        <v>212</v>
      </c>
      <c r="M28" t="s">
        <v>225</v>
      </c>
      <c r="N28" t="str">
        <f t="shared" si="0"/>
        <v>ZSGL</v>
      </c>
    </row>
    <row r="29" spans="1:14" x14ac:dyDescent="0.25">
      <c r="A29" t="s">
        <v>307</v>
      </c>
      <c r="B29" s="1">
        <v>1.1249102229402277</v>
      </c>
      <c r="C29" s="1">
        <v>1.1882418157121242</v>
      </c>
      <c r="D29" s="1">
        <v>1.1861572044361326</v>
      </c>
      <c r="E29" s="1">
        <v>1.3250955633466484</v>
      </c>
      <c r="F29" s="1">
        <v>1.4258331966217201</v>
      </c>
      <c r="G29" s="1">
        <v>1.3375666507993722</v>
      </c>
      <c r="H29" s="1">
        <v>1.3928775336073596</v>
      </c>
      <c r="I29" s="1">
        <v>1.3082953174379937</v>
      </c>
      <c r="J29" t="s">
        <v>198</v>
      </c>
      <c r="K29" t="s">
        <v>239</v>
      </c>
      <c r="L29" t="s">
        <v>212</v>
      </c>
      <c r="M29" t="s">
        <v>225</v>
      </c>
      <c r="N29" t="str">
        <f t="shared" si="0"/>
        <v>BFCS</v>
      </c>
    </row>
    <row r="30" spans="1:14" x14ac:dyDescent="0.25">
      <c r="A30" t="s">
        <v>308</v>
      </c>
      <c r="B30" s="1">
        <v>1.2145326948393611</v>
      </c>
      <c r="C30" s="1">
        <v>1.186946272265571</v>
      </c>
      <c r="D30" s="1">
        <v>1.0383568779659698</v>
      </c>
      <c r="E30" s="1">
        <v>1.1138061404164028</v>
      </c>
      <c r="F30" s="1">
        <v>1.1280645732225201</v>
      </c>
      <c r="G30" s="1">
        <v>1.0781002625904517</v>
      </c>
      <c r="H30" s="1">
        <v>1.0865115969357626</v>
      </c>
      <c r="I30" s="1">
        <v>1.0675814630347307</v>
      </c>
      <c r="J30" t="s">
        <v>198</v>
      </c>
      <c r="K30" t="s">
        <v>241</v>
      </c>
      <c r="L30" t="s">
        <v>212</v>
      </c>
      <c r="M30" t="s">
        <v>225</v>
      </c>
      <c r="N30" t="str">
        <f t="shared" si="0"/>
        <v>SSSS</v>
      </c>
    </row>
    <row r="31" spans="1:14" x14ac:dyDescent="0.25">
      <c r="A31" t="s">
        <v>16</v>
      </c>
      <c r="B31" s="1">
        <v>1.0332376002823884</v>
      </c>
      <c r="C31" s="1">
        <v>1.0540504713941137</v>
      </c>
      <c r="D31" s="1">
        <v>0.95718836144502961</v>
      </c>
      <c r="E31" s="1">
        <v>1.0245502210255795</v>
      </c>
      <c r="F31" s="1">
        <v>1.0685479684262431</v>
      </c>
      <c r="G31" s="1">
        <v>1.0805080709277135</v>
      </c>
      <c r="H31" s="1">
        <v>1.0733645970303738</v>
      </c>
      <c r="I31" s="1">
        <v>1.0090246929409534</v>
      </c>
      <c r="J31" t="s">
        <v>198</v>
      </c>
      <c r="K31" t="s">
        <v>206</v>
      </c>
      <c r="L31" t="s">
        <v>212</v>
      </c>
      <c r="M31" t="s">
        <v>225</v>
      </c>
      <c r="N31" t="str">
        <f t="shared" si="0"/>
        <v>BMS</v>
      </c>
    </row>
    <row r="32" spans="1:14" x14ac:dyDescent="0.25">
      <c r="A32" t="s">
        <v>264</v>
      </c>
      <c r="B32" s="1">
        <v>1.1692020695718626</v>
      </c>
      <c r="C32" s="1">
        <v>2.0435181426382645</v>
      </c>
      <c r="D32" s="1">
        <v>1.9634576698601676</v>
      </c>
      <c r="E32" s="1">
        <v>2.1256482670187355</v>
      </c>
      <c r="F32" s="1">
        <v>2.1810618359321237</v>
      </c>
      <c r="G32" s="1">
        <v>2.1786103525328646</v>
      </c>
      <c r="H32" s="1">
        <v>2.2553532685975344</v>
      </c>
      <c r="I32" s="1">
        <v>2.0782177579255987</v>
      </c>
      <c r="J32" t="s">
        <v>198</v>
      </c>
      <c r="K32" t="s">
        <v>207</v>
      </c>
      <c r="L32" t="s">
        <v>212</v>
      </c>
      <c r="M32" t="s">
        <v>225</v>
      </c>
      <c r="N32" t="str">
        <f t="shared" si="0"/>
        <v>CC</v>
      </c>
    </row>
    <row r="33" spans="1:14" x14ac:dyDescent="0.25">
      <c r="A33" t="s">
        <v>309</v>
      </c>
      <c r="B33" s="1">
        <v>0.98192290605732258</v>
      </c>
      <c r="C33" s="1">
        <v>1.0170509219224149</v>
      </c>
      <c r="D33" s="1">
        <v>0.9598091642728237</v>
      </c>
      <c r="E33" s="1">
        <v>1.0195139771875246</v>
      </c>
      <c r="F33" s="1">
        <v>1.002167442055373</v>
      </c>
      <c r="G33" s="1">
        <v>0.98102985614474103</v>
      </c>
      <c r="H33" s="1">
        <v>1.0268989032310425</v>
      </c>
      <c r="I33" s="1">
        <v>0.97898265870917189</v>
      </c>
      <c r="J33" t="s">
        <v>198</v>
      </c>
      <c r="K33" t="s">
        <v>233</v>
      </c>
      <c r="L33" t="s">
        <v>212</v>
      </c>
      <c r="M33" t="s">
        <v>225</v>
      </c>
      <c r="N33" t="str">
        <f t="shared" si="0"/>
        <v>POOL</v>
      </c>
    </row>
    <row r="34" spans="1:14" x14ac:dyDescent="0.25">
      <c r="A34" t="s">
        <v>17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t="s">
        <v>198</v>
      </c>
      <c r="K34" t="s">
        <v>202</v>
      </c>
      <c r="L34" t="s">
        <v>213</v>
      </c>
      <c r="M34" t="s">
        <v>225</v>
      </c>
      <c r="N34" t="str">
        <f t="shared" si="0"/>
        <v>ZS</v>
      </c>
    </row>
    <row r="35" spans="1:14" x14ac:dyDescent="0.25">
      <c r="A35" t="s">
        <v>18</v>
      </c>
      <c r="B35" s="1">
        <v>0.97684480839439158</v>
      </c>
      <c r="C35" s="1">
        <v>0.99926802013952998</v>
      </c>
      <c r="D35" s="1">
        <v>1.0056979294694315</v>
      </c>
      <c r="E35" s="1">
        <v>1.0186020870446397</v>
      </c>
      <c r="F35" s="1">
        <v>0.95579385426945807</v>
      </c>
      <c r="G35" s="1">
        <v>0.95590798193953552</v>
      </c>
      <c r="H35" s="1">
        <v>0.96525999652375238</v>
      </c>
      <c r="I35" s="1">
        <v>1.045824665134558</v>
      </c>
      <c r="J35" t="s">
        <v>198</v>
      </c>
      <c r="K35" t="s">
        <v>203</v>
      </c>
      <c r="L35" t="s">
        <v>213</v>
      </c>
      <c r="M35" t="s">
        <v>225</v>
      </c>
      <c r="N35" t="str">
        <f t="shared" si="0"/>
        <v>ZS\&amp;POOL</v>
      </c>
    </row>
    <row r="36" spans="1:14" x14ac:dyDescent="0.25">
      <c r="A36" t="s">
        <v>19</v>
      </c>
      <c r="B36" s="1">
        <v>1.0551832490093909</v>
      </c>
      <c r="C36" s="1">
        <v>1.0290362481373883</v>
      </c>
      <c r="D36" s="1">
        <v>1.0278304385144672</v>
      </c>
      <c r="E36" s="1">
        <v>1.0501491741885929</v>
      </c>
      <c r="F36" s="1">
        <v>0.96483385443400582</v>
      </c>
      <c r="G36" s="1">
        <v>0.99238590381949754</v>
      </c>
      <c r="H36" s="1">
        <v>1.0096101324720346</v>
      </c>
      <c r="I36" s="1">
        <v>1.0193945077996023</v>
      </c>
      <c r="J36" t="s">
        <v>198</v>
      </c>
      <c r="K36" t="s">
        <v>204</v>
      </c>
      <c r="L36" t="s">
        <v>213</v>
      </c>
      <c r="M36" t="s">
        <v>225</v>
      </c>
      <c r="N36" t="str">
        <f t="shared" si="0"/>
        <v>ZSGL</v>
      </c>
    </row>
    <row r="37" spans="1:14" x14ac:dyDescent="0.25">
      <c r="A37" t="s">
        <v>310</v>
      </c>
      <c r="B37" s="1">
        <v>1.1187150039558722</v>
      </c>
      <c r="C37" s="1">
        <v>1.2820467546447309</v>
      </c>
      <c r="D37" s="1">
        <v>1.4814552788160849</v>
      </c>
      <c r="E37" s="1">
        <v>1.4325054326556823</v>
      </c>
      <c r="F37" s="1">
        <v>1.4434007593610769</v>
      </c>
      <c r="G37" s="1">
        <v>1.5097582168984203</v>
      </c>
      <c r="H37" s="1">
        <v>1.5401476506782616</v>
      </c>
      <c r="I37" s="1">
        <v>1.5652719605640975</v>
      </c>
      <c r="J37" t="s">
        <v>198</v>
      </c>
      <c r="K37" t="s">
        <v>239</v>
      </c>
      <c r="L37" t="s">
        <v>213</v>
      </c>
      <c r="M37" t="s">
        <v>225</v>
      </c>
      <c r="N37" t="str">
        <f t="shared" si="0"/>
        <v>BFCS</v>
      </c>
    </row>
    <row r="38" spans="1:14" x14ac:dyDescent="0.25">
      <c r="A38" t="s">
        <v>311</v>
      </c>
      <c r="B38" s="1">
        <v>1.3670399900986636</v>
      </c>
      <c r="C38" s="1">
        <v>1.1373785541313439</v>
      </c>
      <c r="D38" s="1">
        <v>1.0735690170572425</v>
      </c>
      <c r="E38" s="1">
        <v>1.0705434983161151</v>
      </c>
      <c r="F38" s="1">
        <v>1.0190518115824192</v>
      </c>
      <c r="G38" s="1">
        <v>0.99801534791703705</v>
      </c>
      <c r="H38" s="1">
        <v>0.99201069100768036</v>
      </c>
      <c r="I38" s="1">
        <v>1.0504998451337202</v>
      </c>
      <c r="J38" t="s">
        <v>198</v>
      </c>
      <c r="K38" t="s">
        <v>241</v>
      </c>
      <c r="L38" t="s">
        <v>213</v>
      </c>
      <c r="M38" t="s">
        <v>225</v>
      </c>
      <c r="N38" t="str">
        <f t="shared" si="0"/>
        <v>SSSS</v>
      </c>
    </row>
    <row r="39" spans="1:14" x14ac:dyDescent="0.25">
      <c r="A39" t="s">
        <v>20</v>
      </c>
      <c r="B39" s="1">
        <v>1.2739911295637925</v>
      </c>
      <c r="C39" s="1">
        <v>1.0395134101402126</v>
      </c>
      <c r="D39" s="1">
        <v>1.1080502583154261</v>
      </c>
      <c r="E39" s="1">
        <v>1.0662325949710627</v>
      </c>
      <c r="F39" s="1">
        <v>1.0366306036076538</v>
      </c>
      <c r="G39" s="1">
        <v>1.0425561533820846</v>
      </c>
      <c r="H39" s="1">
        <v>1.0350151555395846</v>
      </c>
      <c r="I39" s="1">
        <v>1.1136725800913283</v>
      </c>
      <c r="J39" t="s">
        <v>198</v>
      </c>
      <c r="K39" t="s">
        <v>206</v>
      </c>
      <c r="L39" t="s">
        <v>213</v>
      </c>
      <c r="M39" t="s">
        <v>225</v>
      </c>
      <c r="N39" t="str">
        <f t="shared" si="0"/>
        <v>BMS</v>
      </c>
    </row>
    <row r="40" spans="1:14" x14ac:dyDescent="0.25">
      <c r="A40" t="s">
        <v>265</v>
      </c>
      <c r="B40" s="1">
        <v>1.3024205655235672</v>
      </c>
      <c r="C40" s="1">
        <v>2.4392353036131311</v>
      </c>
      <c r="D40" s="1">
        <v>2.5884520018409414</v>
      </c>
      <c r="E40" s="1">
        <v>2.644711935827325</v>
      </c>
      <c r="F40" s="1">
        <v>2.5452746887013209</v>
      </c>
      <c r="G40" s="1">
        <v>2.7241738337487158</v>
      </c>
      <c r="H40" s="1">
        <v>2.7647538195313892</v>
      </c>
      <c r="I40" s="1">
        <v>2.7907531578618516</v>
      </c>
      <c r="J40" t="s">
        <v>198</v>
      </c>
      <c r="K40" t="s">
        <v>207</v>
      </c>
      <c r="L40" t="s">
        <v>213</v>
      </c>
      <c r="M40" t="s">
        <v>225</v>
      </c>
      <c r="N40" t="str">
        <f t="shared" si="0"/>
        <v>CC</v>
      </c>
    </row>
    <row r="41" spans="1:14" x14ac:dyDescent="0.25">
      <c r="A41" t="s">
        <v>312</v>
      </c>
      <c r="B41" s="1">
        <v>1.0751259427269555</v>
      </c>
      <c r="C41" s="1">
        <v>1.0551819168586254</v>
      </c>
      <c r="D41" s="1">
        <v>1.0765470697231228</v>
      </c>
      <c r="E41" s="1">
        <v>1.0314282716022727</v>
      </c>
      <c r="F41" s="1">
        <v>1.0122057250023411</v>
      </c>
      <c r="G41" s="1">
        <v>1.0320498613909495</v>
      </c>
      <c r="H41" s="1">
        <v>1.0253444923315771</v>
      </c>
      <c r="I41" s="1">
        <v>1.0079232227085082</v>
      </c>
      <c r="J41" t="s">
        <v>198</v>
      </c>
      <c r="K41" t="s">
        <v>233</v>
      </c>
      <c r="L41" t="s">
        <v>213</v>
      </c>
      <c r="M41" t="s">
        <v>225</v>
      </c>
      <c r="N41" t="str">
        <f t="shared" si="0"/>
        <v>POOL</v>
      </c>
    </row>
    <row r="42" spans="1:14" x14ac:dyDescent="0.25">
      <c r="A42" t="s">
        <v>21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t="s">
        <v>198</v>
      </c>
      <c r="K42" t="s">
        <v>202</v>
      </c>
      <c r="L42" t="s">
        <v>214</v>
      </c>
      <c r="M42" t="s">
        <v>225</v>
      </c>
      <c r="N42" t="str">
        <f t="shared" si="0"/>
        <v>ZS</v>
      </c>
    </row>
    <row r="43" spans="1:14" x14ac:dyDescent="0.25">
      <c r="A43" t="s">
        <v>22</v>
      </c>
      <c r="B43" s="1">
        <v>0.93757502067393395</v>
      </c>
      <c r="C43" s="1">
        <v>0.98012750736747256</v>
      </c>
      <c r="D43" s="1">
        <v>0.92645180216120093</v>
      </c>
      <c r="E43" s="1">
        <v>0.87446648460607268</v>
      </c>
      <c r="F43" s="1">
        <v>0.93300657145653743</v>
      </c>
      <c r="G43" s="1">
        <v>0.91713683959532311</v>
      </c>
      <c r="H43" s="1">
        <v>0.97597178202176416</v>
      </c>
      <c r="I43" s="1">
        <v>0.94559530162844974</v>
      </c>
      <c r="J43" t="s">
        <v>198</v>
      </c>
      <c r="K43" t="s">
        <v>203</v>
      </c>
      <c r="L43" t="s">
        <v>214</v>
      </c>
      <c r="M43" t="s">
        <v>225</v>
      </c>
      <c r="N43" t="str">
        <f t="shared" si="0"/>
        <v>ZS\&amp;POOL</v>
      </c>
    </row>
    <row r="44" spans="1:14" x14ac:dyDescent="0.25">
      <c r="A44" t="s">
        <v>23</v>
      </c>
      <c r="B44" s="1">
        <v>0.93750440636757904</v>
      </c>
      <c r="C44" s="1">
        <v>1.0065957062125219</v>
      </c>
      <c r="D44" s="1">
        <v>1.0070632971446114</v>
      </c>
      <c r="E44" s="1">
        <v>0.98212149009238869</v>
      </c>
      <c r="F44" s="1">
        <v>1.0650405758091386</v>
      </c>
      <c r="G44" s="1">
        <v>1.1081180648969633</v>
      </c>
      <c r="H44" s="1">
        <v>1.0228652416919168</v>
      </c>
      <c r="I44" s="1">
        <v>1.0111440693973754</v>
      </c>
      <c r="J44" t="s">
        <v>198</v>
      </c>
      <c r="K44" t="s">
        <v>204</v>
      </c>
      <c r="L44" t="s">
        <v>214</v>
      </c>
      <c r="M44" t="s">
        <v>225</v>
      </c>
      <c r="N44" t="str">
        <f t="shared" si="0"/>
        <v>ZSGL</v>
      </c>
    </row>
    <row r="45" spans="1:14" x14ac:dyDescent="0.25">
      <c r="A45" t="s">
        <v>313</v>
      </c>
      <c r="B45" s="1">
        <v>0.97524116265668659</v>
      </c>
      <c r="C45" s="1">
        <v>1.2292466112476081</v>
      </c>
      <c r="D45" s="1">
        <v>1.2587494421369003</v>
      </c>
      <c r="E45" s="1">
        <v>1.2492319643004597</v>
      </c>
      <c r="F45" s="1">
        <v>1.2956737457652161</v>
      </c>
      <c r="G45" s="1">
        <v>1.3793461123231074</v>
      </c>
      <c r="H45" s="1">
        <v>1.5197007960218223</v>
      </c>
      <c r="I45" s="1">
        <v>1.4381750555041592</v>
      </c>
      <c r="J45" t="s">
        <v>198</v>
      </c>
      <c r="K45" t="s">
        <v>239</v>
      </c>
      <c r="L45" t="s">
        <v>214</v>
      </c>
      <c r="M45" t="s">
        <v>225</v>
      </c>
      <c r="N45" t="str">
        <f t="shared" si="0"/>
        <v>BFCS</v>
      </c>
    </row>
    <row r="46" spans="1:14" x14ac:dyDescent="0.25">
      <c r="A46" t="s">
        <v>314</v>
      </c>
      <c r="B46" s="1">
        <v>1.3187127647704193</v>
      </c>
      <c r="C46" s="1">
        <v>1.1199467409188417</v>
      </c>
      <c r="D46" s="1">
        <v>1.0406881422625209</v>
      </c>
      <c r="E46" s="1">
        <v>1.0513314283387485</v>
      </c>
      <c r="F46" s="1">
        <v>1.1230488559774825</v>
      </c>
      <c r="G46" s="1">
        <v>1.1168979113811723</v>
      </c>
      <c r="H46" s="1">
        <v>1.1588686273943152</v>
      </c>
      <c r="I46" s="1">
        <v>1.0992577675839832</v>
      </c>
      <c r="J46" t="s">
        <v>198</v>
      </c>
      <c r="K46" t="s">
        <v>241</v>
      </c>
      <c r="L46" t="s">
        <v>214</v>
      </c>
      <c r="M46" t="s">
        <v>225</v>
      </c>
      <c r="N46" t="str">
        <f t="shared" si="0"/>
        <v>SSSS</v>
      </c>
    </row>
    <row r="47" spans="1:14" x14ac:dyDescent="0.25">
      <c r="A47" t="s">
        <v>24</v>
      </c>
      <c r="B47" s="1">
        <v>0.89395105357894067</v>
      </c>
      <c r="C47" s="1">
        <v>1.093995967786622</v>
      </c>
      <c r="D47" s="1">
        <v>1.0500904994406017</v>
      </c>
      <c r="E47" s="1">
        <v>0.98586741349445051</v>
      </c>
      <c r="F47" s="1">
        <v>1.0785062429301837</v>
      </c>
      <c r="G47" s="1">
        <v>1.0953904018424954</v>
      </c>
      <c r="H47" s="1">
        <v>1.1418233857155962</v>
      </c>
      <c r="I47" s="1">
        <v>1.1105719820901849</v>
      </c>
      <c r="J47" t="s">
        <v>198</v>
      </c>
      <c r="K47" t="s">
        <v>206</v>
      </c>
      <c r="L47" t="s">
        <v>214</v>
      </c>
      <c r="M47" t="s">
        <v>225</v>
      </c>
      <c r="N47" t="str">
        <f t="shared" si="0"/>
        <v>BMS</v>
      </c>
    </row>
    <row r="48" spans="1:14" x14ac:dyDescent="0.25">
      <c r="A48" t="s">
        <v>266</v>
      </c>
      <c r="B48" s="1">
        <v>0.9653837380739434</v>
      </c>
      <c r="C48" s="1">
        <v>2.2801517652350527</v>
      </c>
      <c r="D48" s="1">
        <v>2.3649453528983191</v>
      </c>
      <c r="E48" s="1">
        <v>2.4113492281116615</v>
      </c>
      <c r="F48" s="1">
        <v>2.5407020558577265</v>
      </c>
      <c r="G48" s="1">
        <v>2.5253120298154674</v>
      </c>
      <c r="H48" s="1">
        <v>2.664690853395165</v>
      </c>
      <c r="I48" s="1">
        <v>2.6125115804941794</v>
      </c>
      <c r="J48" t="s">
        <v>198</v>
      </c>
      <c r="K48" t="s">
        <v>207</v>
      </c>
      <c r="L48" t="s">
        <v>214</v>
      </c>
      <c r="M48" t="s">
        <v>225</v>
      </c>
      <c r="N48" t="str">
        <f t="shared" si="0"/>
        <v>CC</v>
      </c>
    </row>
    <row r="49" spans="1:14" x14ac:dyDescent="0.25">
      <c r="A49" t="s">
        <v>315</v>
      </c>
      <c r="B49" s="1">
        <v>0.96592140471450449</v>
      </c>
      <c r="C49" s="1">
        <v>1.056772770618176</v>
      </c>
      <c r="D49" s="1">
        <v>1.018109530706786</v>
      </c>
      <c r="E49" s="1">
        <v>1.0015555479833198</v>
      </c>
      <c r="F49" s="1">
        <v>1.0511644623178034</v>
      </c>
      <c r="G49" s="1">
        <v>0.97914202126968042</v>
      </c>
      <c r="H49" s="1">
        <v>1.0226870914019088</v>
      </c>
      <c r="I49" s="1">
        <v>1.0207695678139954</v>
      </c>
      <c r="J49" t="s">
        <v>198</v>
      </c>
      <c r="K49" t="s">
        <v>233</v>
      </c>
      <c r="L49" t="s">
        <v>214</v>
      </c>
      <c r="M49" t="s">
        <v>225</v>
      </c>
      <c r="N49" t="str">
        <f t="shared" si="0"/>
        <v>POOL</v>
      </c>
    </row>
    <row r="50" spans="1:14" x14ac:dyDescent="0.25">
      <c r="A50" t="s">
        <v>25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t="s">
        <v>198</v>
      </c>
      <c r="K50" t="s">
        <v>202</v>
      </c>
      <c r="L50" t="s">
        <v>215</v>
      </c>
      <c r="M50" t="s">
        <v>225</v>
      </c>
      <c r="N50" t="str">
        <f t="shared" si="0"/>
        <v>ZS</v>
      </c>
    </row>
    <row r="51" spans="1:14" x14ac:dyDescent="0.25">
      <c r="A51" t="s">
        <v>26</v>
      </c>
      <c r="B51" s="1">
        <v>0.95114289269584784</v>
      </c>
      <c r="C51" s="1">
        <v>0.97080938799134497</v>
      </c>
      <c r="D51" s="1">
        <v>0.9485113568443192</v>
      </c>
      <c r="E51" s="1">
        <v>0.99446076699982244</v>
      </c>
      <c r="F51" s="1">
        <v>1.0400824044851895</v>
      </c>
      <c r="G51" s="1">
        <v>1.0188868748221283</v>
      </c>
      <c r="H51" s="1">
        <v>0.94491215890097691</v>
      </c>
      <c r="I51" s="1">
        <v>0.97532116671975455</v>
      </c>
      <c r="J51" t="s">
        <v>198</v>
      </c>
      <c r="K51" t="s">
        <v>203</v>
      </c>
      <c r="L51" t="s">
        <v>215</v>
      </c>
      <c r="M51" t="s">
        <v>225</v>
      </c>
      <c r="N51" t="str">
        <f t="shared" si="0"/>
        <v>ZS\&amp;POOL</v>
      </c>
    </row>
    <row r="52" spans="1:14" x14ac:dyDescent="0.25">
      <c r="A52" t="s">
        <v>27</v>
      </c>
      <c r="B52" s="1">
        <v>0.98353692520356117</v>
      </c>
      <c r="C52" s="1">
        <v>0.98008614364261948</v>
      </c>
      <c r="D52" s="1">
        <v>0.95757838548989527</v>
      </c>
      <c r="E52" s="1">
        <v>0.9723965919359997</v>
      </c>
      <c r="F52" s="1">
        <v>1.0141369965072728</v>
      </c>
      <c r="G52" s="1">
        <v>0.98738167814036326</v>
      </c>
      <c r="H52" s="1">
        <v>0.96747826803111825</v>
      </c>
      <c r="I52" s="1">
        <v>0.99777266126164998</v>
      </c>
      <c r="J52" t="s">
        <v>198</v>
      </c>
      <c r="K52" t="s">
        <v>204</v>
      </c>
      <c r="L52" t="s">
        <v>215</v>
      </c>
      <c r="M52" t="s">
        <v>225</v>
      </c>
      <c r="N52" t="str">
        <f t="shared" si="0"/>
        <v>ZSGL</v>
      </c>
    </row>
    <row r="53" spans="1:14" x14ac:dyDescent="0.25">
      <c r="A53" t="s">
        <v>316</v>
      </c>
      <c r="B53" s="1">
        <v>1.2083172217063725</v>
      </c>
      <c r="C53" s="1">
        <v>1.279550271514722</v>
      </c>
      <c r="D53" s="1">
        <v>1.2086678854174127</v>
      </c>
      <c r="E53" s="1">
        <v>1.264368812301139</v>
      </c>
      <c r="F53" s="1">
        <v>1.332909913901581</v>
      </c>
      <c r="G53" s="1">
        <v>1.2786169535789933</v>
      </c>
      <c r="H53" s="1">
        <v>1.2531398301533723</v>
      </c>
      <c r="I53" s="1">
        <v>1.3226492289622931</v>
      </c>
      <c r="J53" t="s">
        <v>198</v>
      </c>
      <c r="K53" t="s">
        <v>239</v>
      </c>
      <c r="L53" t="s">
        <v>215</v>
      </c>
      <c r="M53" t="s">
        <v>225</v>
      </c>
      <c r="N53" t="str">
        <f t="shared" si="0"/>
        <v>BFCS</v>
      </c>
    </row>
    <row r="54" spans="1:14" x14ac:dyDescent="0.25">
      <c r="A54" t="s">
        <v>317</v>
      </c>
      <c r="B54" s="1">
        <v>1.0808375334893841</v>
      </c>
      <c r="C54" s="1">
        <v>1.182994362248744</v>
      </c>
      <c r="D54" s="1">
        <v>1.2001690786205546</v>
      </c>
      <c r="E54" s="1">
        <v>1.2639177335514873</v>
      </c>
      <c r="F54" s="1">
        <v>1.3079352388380641</v>
      </c>
      <c r="G54" s="1">
        <v>1.2799271820980629</v>
      </c>
      <c r="H54" s="1">
        <v>1.1921961556786971</v>
      </c>
      <c r="I54" s="1">
        <v>1.2844330764774885</v>
      </c>
      <c r="J54" t="s">
        <v>198</v>
      </c>
      <c r="K54" t="s">
        <v>241</v>
      </c>
      <c r="L54" t="s">
        <v>215</v>
      </c>
      <c r="M54" t="s">
        <v>225</v>
      </c>
      <c r="N54" t="str">
        <f t="shared" si="0"/>
        <v>SSSS</v>
      </c>
    </row>
    <row r="55" spans="1:14" x14ac:dyDescent="0.25">
      <c r="A55" t="s">
        <v>28</v>
      </c>
      <c r="B55" s="1">
        <v>1.1351914140991719</v>
      </c>
      <c r="C55" s="1">
        <v>1.0835024225316858</v>
      </c>
      <c r="D55" s="1">
        <v>1.0709041744320005</v>
      </c>
      <c r="E55" s="1">
        <v>1.1412506937604587</v>
      </c>
      <c r="F55" s="1">
        <v>1.1301701218392013</v>
      </c>
      <c r="G55" s="1">
        <v>1.1133008107463456</v>
      </c>
      <c r="H55" s="1">
        <v>1.0788539241764787</v>
      </c>
      <c r="I55" s="1">
        <v>1.1497666828511754</v>
      </c>
      <c r="J55" t="s">
        <v>198</v>
      </c>
      <c r="K55" t="s">
        <v>206</v>
      </c>
      <c r="L55" t="s">
        <v>215</v>
      </c>
      <c r="M55" t="s">
        <v>225</v>
      </c>
      <c r="N55" t="str">
        <f t="shared" si="0"/>
        <v>BMS</v>
      </c>
    </row>
    <row r="56" spans="1:14" x14ac:dyDescent="0.25">
      <c r="A56" t="s">
        <v>267</v>
      </c>
      <c r="B56" s="1">
        <v>1.3834784123153043</v>
      </c>
      <c r="C56" s="1">
        <v>1.4435030724201949</v>
      </c>
      <c r="D56" s="1">
        <v>1.4668802959595386</v>
      </c>
      <c r="E56" s="1">
        <v>1.5727412085770041</v>
      </c>
      <c r="F56" s="1">
        <v>1.6238078305400552</v>
      </c>
      <c r="G56" s="1">
        <v>1.5381900236954922</v>
      </c>
      <c r="H56" s="1">
        <v>1.4236180175651267</v>
      </c>
      <c r="I56" s="1">
        <v>1.5116900945680722</v>
      </c>
      <c r="J56" t="s">
        <v>198</v>
      </c>
      <c r="K56" t="s">
        <v>207</v>
      </c>
      <c r="L56" t="s">
        <v>215</v>
      </c>
      <c r="M56" t="s">
        <v>225</v>
      </c>
      <c r="N56" t="str">
        <f t="shared" si="0"/>
        <v>CC</v>
      </c>
    </row>
    <row r="57" spans="1:14" x14ac:dyDescent="0.25">
      <c r="A57" t="s">
        <v>318</v>
      </c>
      <c r="B57" s="1">
        <v>1.0289112846378505</v>
      </c>
      <c r="C57" s="1">
        <v>1.0019827198644384</v>
      </c>
      <c r="D57" s="1">
        <v>0.98293916433874107</v>
      </c>
      <c r="E57" s="1">
        <v>1.0656614178376551</v>
      </c>
      <c r="F57" s="1">
        <v>1.0439528760268095</v>
      </c>
      <c r="G57" s="1">
        <v>1.016721976141947</v>
      </c>
      <c r="H57" s="1">
        <v>0.96108492628106756</v>
      </c>
      <c r="I57" s="1">
        <v>0.98124594108286534</v>
      </c>
      <c r="J57" t="s">
        <v>198</v>
      </c>
      <c r="K57" t="s">
        <v>233</v>
      </c>
      <c r="L57" t="s">
        <v>215</v>
      </c>
      <c r="M57" t="s">
        <v>225</v>
      </c>
      <c r="N57" t="str">
        <f t="shared" si="0"/>
        <v>POOL</v>
      </c>
    </row>
    <row r="58" spans="1:14" x14ac:dyDescent="0.25">
      <c r="A58" t="s">
        <v>29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t="s">
        <v>198</v>
      </c>
      <c r="K58" t="s">
        <v>202</v>
      </c>
      <c r="L58" t="s">
        <v>216</v>
      </c>
      <c r="M58" t="s">
        <v>225</v>
      </c>
      <c r="N58" t="str">
        <f t="shared" si="0"/>
        <v>ZS</v>
      </c>
    </row>
    <row r="59" spans="1:14" x14ac:dyDescent="0.25">
      <c r="A59" t="s">
        <v>30</v>
      </c>
      <c r="B59" s="1">
        <v>1.0320539214812448</v>
      </c>
      <c r="C59" s="1">
        <v>1.0631752970026134</v>
      </c>
      <c r="D59" s="1">
        <v>0.95316589564627074</v>
      </c>
      <c r="E59" s="1">
        <v>0.96865397040857282</v>
      </c>
      <c r="F59" s="1">
        <v>1.017717419368896</v>
      </c>
      <c r="G59" s="1">
        <v>1.0710857193699637</v>
      </c>
      <c r="H59" s="1">
        <v>1.0665144118821395</v>
      </c>
      <c r="I59" s="1">
        <v>0.99973154018863475</v>
      </c>
      <c r="J59" t="s">
        <v>198</v>
      </c>
      <c r="K59" t="s">
        <v>203</v>
      </c>
      <c r="L59" t="s">
        <v>216</v>
      </c>
      <c r="M59" t="s">
        <v>225</v>
      </c>
      <c r="N59" t="str">
        <f t="shared" si="0"/>
        <v>ZS\&amp;POOL</v>
      </c>
    </row>
    <row r="60" spans="1:14" x14ac:dyDescent="0.25">
      <c r="A60" t="s">
        <v>31</v>
      </c>
      <c r="B60" s="1">
        <v>1.0627137471415258</v>
      </c>
      <c r="C60" s="1">
        <v>1.0366411595357505</v>
      </c>
      <c r="D60" s="1">
        <v>0.97888432703810935</v>
      </c>
      <c r="E60" s="1">
        <v>1.0202421130681081</v>
      </c>
      <c r="F60" s="1">
        <v>1.0003902189696492</v>
      </c>
      <c r="G60" s="1">
        <v>1.0735693248757971</v>
      </c>
      <c r="H60" s="1">
        <v>1.0008611737809208</v>
      </c>
      <c r="I60" s="1">
        <v>0.99778909106518399</v>
      </c>
      <c r="J60" t="s">
        <v>198</v>
      </c>
      <c r="K60" t="s">
        <v>204</v>
      </c>
      <c r="L60" t="s">
        <v>216</v>
      </c>
      <c r="M60" t="s">
        <v>225</v>
      </c>
      <c r="N60" t="str">
        <f t="shared" si="0"/>
        <v>ZSGL</v>
      </c>
    </row>
    <row r="61" spans="1:14" x14ac:dyDescent="0.25">
      <c r="A61" t="s">
        <v>319</v>
      </c>
      <c r="B61" s="1">
        <v>2.0791737369262506</v>
      </c>
      <c r="C61" s="1">
        <v>2.160672660638236</v>
      </c>
      <c r="D61" s="1">
        <v>2.0115123800436705</v>
      </c>
      <c r="E61" s="1">
        <v>2.0857643873871354</v>
      </c>
      <c r="F61" s="1">
        <v>2.1519665049149244</v>
      </c>
      <c r="G61" s="1">
        <v>2.1256390335288327</v>
      </c>
      <c r="H61" s="1">
        <v>2.1164271369097842</v>
      </c>
      <c r="I61" s="1">
        <v>2.0986461421053551</v>
      </c>
      <c r="J61" t="s">
        <v>198</v>
      </c>
      <c r="K61" t="s">
        <v>239</v>
      </c>
      <c r="L61" t="s">
        <v>216</v>
      </c>
      <c r="M61" t="s">
        <v>225</v>
      </c>
      <c r="N61" t="str">
        <f t="shared" si="0"/>
        <v>BFCS</v>
      </c>
    </row>
    <row r="62" spans="1:14" x14ac:dyDescent="0.25">
      <c r="A62" t="s">
        <v>320</v>
      </c>
      <c r="B62" s="1">
        <v>7.3873684519028862</v>
      </c>
      <c r="C62" s="1">
        <v>7.650922571536884</v>
      </c>
      <c r="D62" s="1">
        <v>7.1439091011584006</v>
      </c>
      <c r="E62" s="1">
        <v>7.3802587270349411</v>
      </c>
      <c r="F62" s="1">
        <v>7.5199278039031752</v>
      </c>
      <c r="G62" s="1">
        <v>7.7983289162861382</v>
      </c>
      <c r="H62" s="1">
        <v>7.4427370007155487</v>
      </c>
      <c r="I62" s="1">
        <v>7.3946120338005814</v>
      </c>
      <c r="J62" t="s">
        <v>198</v>
      </c>
      <c r="K62" t="s">
        <v>241</v>
      </c>
      <c r="L62" t="s">
        <v>216</v>
      </c>
      <c r="M62" t="s">
        <v>225</v>
      </c>
      <c r="N62" t="str">
        <f t="shared" si="0"/>
        <v>SSSS</v>
      </c>
    </row>
    <row r="63" spans="1:14" x14ac:dyDescent="0.25">
      <c r="A63" t="s">
        <v>32</v>
      </c>
      <c r="B63" s="1">
        <v>1.2345860186351694</v>
      </c>
      <c r="C63" s="1">
        <v>1.1078387514584833</v>
      </c>
      <c r="D63" s="1">
        <v>1.0244375268206929</v>
      </c>
      <c r="E63" s="1">
        <v>1.1057238589031859</v>
      </c>
      <c r="F63" s="1">
        <v>1.0459356658857417</v>
      </c>
      <c r="G63" s="1">
        <v>1.179167442411251</v>
      </c>
      <c r="H63" s="1">
        <v>1.064433471956058</v>
      </c>
      <c r="I63" s="1">
        <v>1.1381642603665256</v>
      </c>
      <c r="J63" t="s">
        <v>198</v>
      </c>
      <c r="K63" t="s">
        <v>206</v>
      </c>
      <c r="L63" t="s">
        <v>216</v>
      </c>
      <c r="M63" t="s">
        <v>225</v>
      </c>
      <c r="N63" t="str">
        <f t="shared" si="0"/>
        <v>BMS</v>
      </c>
    </row>
    <row r="64" spans="1:14" x14ac:dyDescent="0.25">
      <c r="A64" t="s">
        <v>268</v>
      </c>
      <c r="B64" s="1">
        <v>3.0230590085842817</v>
      </c>
      <c r="C64" s="1">
        <v>2.0991470892755544</v>
      </c>
      <c r="D64" s="1">
        <v>1.9209500898419729</v>
      </c>
      <c r="E64" s="1">
        <v>2.0705214186112197</v>
      </c>
      <c r="F64" s="1">
        <v>2.1079228600839004</v>
      </c>
      <c r="G64" s="1">
        <v>2.2166137444146692</v>
      </c>
      <c r="H64" s="1">
        <v>2.1975107753688565</v>
      </c>
      <c r="I64" s="1">
        <v>2.2609338692941909</v>
      </c>
      <c r="J64" t="s">
        <v>198</v>
      </c>
      <c r="K64" t="s">
        <v>207</v>
      </c>
      <c r="L64" t="s">
        <v>216</v>
      </c>
      <c r="M64" t="s">
        <v>225</v>
      </c>
      <c r="N64" t="str">
        <f t="shared" si="0"/>
        <v>CC</v>
      </c>
    </row>
    <row r="65" spans="1:14" x14ac:dyDescent="0.25">
      <c r="A65" t="s">
        <v>321</v>
      </c>
      <c r="B65" s="1">
        <v>1.0284574417789913</v>
      </c>
      <c r="C65" s="1">
        <v>1.1202646456258172</v>
      </c>
      <c r="D65" s="1">
        <v>0.96438687155559222</v>
      </c>
      <c r="E65" s="1">
        <v>1.0047161666333031</v>
      </c>
      <c r="F65" s="1">
        <v>1.0138339725539816</v>
      </c>
      <c r="G65" s="1">
        <v>1.0539451011849716</v>
      </c>
      <c r="H65" s="1">
        <v>0.97295237259156375</v>
      </c>
      <c r="I65" s="1">
        <v>0.99855408832880732</v>
      </c>
      <c r="J65" t="s">
        <v>198</v>
      </c>
      <c r="K65" t="s">
        <v>233</v>
      </c>
      <c r="L65" t="s">
        <v>216</v>
      </c>
      <c r="M65" t="s">
        <v>225</v>
      </c>
      <c r="N65" t="str">
        <f t="shared" si="0"/>
        <v>POOL</v>
      </c>
    </row>
    <row r="66" spans="1:14" x14ac:dyDescent="0.25">
      <c r="A66" t="s">
        <v>33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t="s">
        <v>198</v>
      </c>
      <c r="K66" t="s">
        <v>202</v>
      </c>
      <c r="L66" t="s">
        <v>217</v>
      </c>
      <c r="M66" t="s">
        <v>225</v>
      </c>
      <c r="N66" t="str">
        <f t="shared" ref="N66:N129" si="1">VLOOKUP(K66,modelNames,2,FALSE)</f>
        <v>ZS</v>
      </c>
    </row>
    <row r="67" spans="1:14" x14ac:dyDescent="0.25">
      <c r="A67" t="s">
        <v>34</v>
      </c>
      <c r="B67" s="1">
        <v>1.0050588896893986</v>
      </c>
      <c r="C67" s="1">
        <v>1.0199699177481263</v>
      </c>
      <c r="D67" s="1">
        <v>1.0317703106390137</v>
      </c>
      <c r="E67" s="1">
        <v>1.0040422576515691</v>
      </c>
      <c r="F67" s="1">
        <v>1.0614121049467662</v>
      </c>
      <c r="G67" s="1">
        <v>0.98625800456449741</v>
      </c>
      <c r="H67" s="1">
        <v>1.0028790985961222</v>
      </c>
      <c r="I67" s="1">
        <v>0.96905314220997785</v>
      </c>
      <c r="J67" t="s">
        <v>198</v>
      </c>
      <c r="K67" t="s">
        <v>203</v>
      </c>
      <c r="L67" t="s">
        <v>217</v>
      </c>
      <c r="M67" t="s">
        <v>225</v>
      </c>
      <c r="N67" t="str">
        <f t="shared" si="1"/>
        <v>ZS\&amp;POOL</v>
      </c>
    </row>
    <row r="68" spans="1:14" x14ac:dyDescent="0.25">
      <c r="A68" t="s">
        <v>35</v>
      </c>
      <c r="B68" s="1">
        <v>1.0675061848088607</v>
      </c>
      <c r="C68" s="1">
        <v>1.0644716765650166</v>
      </c>
      <c r="D68" s="1">
        <v>1.0820348858853452</v>
      </c>
      <c r="E68" s="1">
        <v>0.9904410189281091</v>
      </c>
      <c r="F68" s="1">
        <v>1.0755805343666527</v>
      </c>
      <c r="G68" s="1">
        <v>1.0789865102805056</v>
      </c>
      <c r="H68" s="1">
        <v>1.0327082841081319</v>
      </c>
      <c r="I68" s="1">
        <v>1.0056035173352031</v>
      </c>
      <c r="J68" t="s">
        <v>198</v>
      </c>
      <c r="K68" t="s">
        <v>204</v>
      </c>
      <c r="L68" t="s">
        <v>217</v>
      </c>
      <c r="M68" t="s">
        <v>225</v>
      </c>
      <c r="N68" t="str">
        <f t="shared" si="1"/>
        <v>ZSGL</v>
      </c>
    </row>
    <row r="69" spans="1:14" x14ac:dyDescent="0.25">
      <c r="A69" t="s">
        <v>322</v>
      </c>
      <c r="B69" s="1">
        <v>1.2236175221417442</v>
      </c>
      <c r="C69" s="1">
        <v>1.5974596393064482</v>
      </c>
      <c r="D69" s="1">
        <v>1.544706794382505</v>
      </c>
      <c r="E69" s="1">
        <v>1.59289665515326</v>
      </c>
      <c r="F69" s="1">
        <v>1.7129607022946178</v>
      </c>
      <c r="G69" s="1">
        <v>1.5717833134863297</v>
      </c>
      <c r="H69" s="1">
        <v>1.6446489792577852</v>
      </c>
      <c r="I69" s="1">
        <v>1.4798157012244575</v>
      </c>
      <c r="J69" t="s">
        <v>198</v>
      </c>
      <c r="K69" t="s">
        <v>239</v>
      </c>
      <c r="L69" t="s">
        <v>217</v>
      </c>
      <c r="M69" t="s">
        <v>225</v>
      </c>
      <c r="N69" t="str">
        <f t="shared" si="1"/>
        <v>BFCS</v>
      </c>
    </row>
    <row r="70" spans="1:14" x14ac:dyDescent="0.25">
      <c r="A70" t="s">
        <v>323</v>
      </c>
      <c r="B70" s="1">
        <v>2.5094338147092925</v>
      </c>
      <c r="C70" s="1">
        <v>2.4562146382452816</v>
      </c>
      <c r="D70" s="1">
        <v>2.3547081986019465</v>
      </c>
      <c r="E70" s="1">
        <v>2.3283404315559593</v>
      </c>
      <c r="F70" s="1">
        <v>2.4580861897213353</v>
      </c>
      <c r="G70" s="1">
        <v>2.4030320168644677</v>
      </c>
      <c r="H70" s="1">
        <v>2.437963297125608</v>
      </c>
      <c r="I70" s="1">
        <v>2.3437211907792217</v>
      </c>
      <c r="J70" t="s">
        <v>198</v>
      </c>
      <c r="K70" t="s">
        <v>241</v>
      </c>
      <c r="L70" t="s">
        <v>217</v>
      </c>
      <c r="M70" t="s">
        <v>225</v>
      </c>
      <c r="N70" t="str">
        <f t="shared" si="1"/>
        <v>SSSS</v>
      </c>
    </row>
    <row r="71" spans="1:14" x14ac:dyDescent="0.25">
      <c r="A71" t="s">
        <v>36</v>
      </c>
      <c r="B71" s="1">
        <v>0.98606292223685277</v>
      </c>
      <c r="C71" s="1">
        <v>1.0312924166491533</v>
      </c>
      <c r="D71" s="1">
        <v>1.0305146886279453</v>
      </c>
      <c r="E71" s="1">
        <v>0.9762809376356496</v>
      </c>
      <c r="F71" s="1">
        <v>1.0501671439523477</v>
      </c>
      <c r="G71" s="1">
        <v>1.0583616480218985</v>
      </c>
      <c r="H71" s="1">
        <v>1.0631807911277213</v>
      </c>
      <c r="I71" s="1">
        <v>1.035394679376042</v>
      </c>
      <c r="J71" t="s">
        <v>198</v>
      </c>
      <c r="K71" t="s">
        <v>206</v>
      </c>
      <c r="L71" t="s">
        <v>217</v>
      </c>
      <c r="M71" t="s">
        <v>225</v>
      </c>
      <c r="N71" t="str">
        <f t="shared" si="1"/>
        <v>BMS</v>
      </c>
    </row>
    <row r="72" spans="1:14" x14ac:dyDescent="0.25">
      <c r="A72" t="s">
        <v>269</v>
      </c>
      <c r="B72" s="1">
        <v>1.4521383048859045</v>
      </c>
      <c r="C72" s="1">
        <v>2.0461430261484979</v>
      </c>
      <c r="D72" s="1">
        <v>2.0446637873575191</v>
      </c>
      <c r="E72" s="1">
        <v>2.0362128565173578</v>
      </c>
      <c r="F72" s="1">
        <v>2.1954584115799989</v>
      </c>
      <c r="G72" s="1">
        <v>2.0807802829474755</v>
      </c>
      <c r="H72" s="1">
        <v>2.1383615782293286</v>
      </c>
      <c r="I72" s="1">
        <v>2.0306383119608302</v>
      </c>
      <c r="J72" t="s">
        <v>198</v>
      </c>
      <c r="K72" t="s">
        <v>207</v>
      </c>
      <c r="L72" t="s">
        <v>217</v>
      </c>
      <c r="M72" t="s">
        <v>225</v>
      </c>
      <c r="N72" t="str">
        <f t="shared" si="1"/>
        <v>CC</v>
      </c>
    </row>
    <row r="73" spans="1:14" x14ac:dyDescent="0.25">
      <c r="A73" t="s">
        <v>324</v>
      </c>
      <c r="B73" s="1">
        <v>1.0922042075955729</v>
      </c>
      <c r="C73" s="1">
        <v>1.0980340589296409</v>
      </c>
      <c r="D73" s="1">
        <v>1.0365963312179562</v>
      </c>
      <c r="E73" s="1">
        <v>1.0473490844264348</v>
      </c>
      <c r="F73" s="1">
        <v>1.086240068410701</v>
      </c>
      <c r="G73" s="1">
        <v>1.0298509930062527</v>
      </c>
      <c r="H73" s="1">
        <v>1.0360431489479829</v>
      </c>
      <c r="I73" s="1">
        <v>1.0169221814682645</v>
      </c>
      <c r="J73" t="s">
        <v>198</v>
      </c>
      <c r="K73" t="s">
        <v>233</v>
      </c>
      <c r="L73" t="s">
        <v>217</v>
      </c>
      <c r="M73" t="s">
        <v>225</v>
      </c>
      <c r="N73" t="str">
        <f t="shared" si="1"/>
        <v>POOL</v>
      </c>
    </row>
    <row r="74" spans="1:14" x14ac:dyDescent="0.25">
      <c r="A74" t="s">
        <v>37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t="s">
        <v>198</v>
      </c>
      <c r="K74" t="s">
        <v>202</v>
      </c>
      <c r="L74" t="s">
        <v>218</v>
      </c>
      <c r="M74" t="s">
        <v>225</v>
      </c>
      <c r="N74" t="str">
        <f t="shared" si="1"/>
        <v>ZS</v>
      </c>
    </row>
    <row r="75" spans="1:14" x14ac:dyDescent="0.25">
      <c r="A75" t="s">
        <v>38</v>
      </c>
      <c r="B75" s="1">
        <v>1.0153323540581993</v>
      </c>
      <c r="C75" s="1">
        <v>0.9830770356955677</v>
      </c>
      <c r="D75" s="1">
        <v>0.92640796209103438</v>
      </c>
      <c r="E75" s="1">
        <v>1.0294925973862439</v>
      </c>
      <c r="F75" s="1">
        <v>1.0166734423299177</v>
      </c>
      <c r="G75" s="1">
        <v>1.0547283776533876</v>
      </c>
      <c r="H75" s="1">
        <v>1.0287029831931855</v>
      </c>
      <c r="I75" s="1">
        <v>1.0101350753059697</v>
      </c>
      <c r="J75" t="s">
        <v>198</v>
      </c>
      <c r="K75" t="s">
        <v>203</v>
      </c>
      <c r="L75" t="s">
        <v>218</v>
      </c>
      <c r="M75" t="s">
        <v>225</v>
      </c>
      <c r="N75" t="str">
        <f t="shared" si="1"/>
        <v>ZS\&amp;POOL</v>
      </c>
    </row>
    <row r="76" spans="1:14" x14ac:dyDescent="0.25">
      <c r="A76" t="s">
        <v>39</v>
      </c>
      <c r="B76" s="1">
        <v>0.93465547028648888</v>
      </c>
      <c r="C76" s="1">
        <v>1.0002480352849477</v>
      </c>
      <c r="D76" s="1">
        <v>0.93120877657045242</v>
      </c>
      <c r="E76" s="1">
        <v>1.0265380888821631</v>
      </c>
      <c r="F76" s="1">
        <v>1.0176288375439104</v>
      </c>
      <c r="G76" s="1">
        <v>1.0449720556417772</v>
      </c>
      <c r="H76" s="1">
        <v>1.0668616432649469</v>
      </c>
      <c r="I76" s="1">
        <v>1.0127999516129362</v>
      </c>
      <c r="J76" t="s">
        <v>198</v>
      </c>
      <c r="K76" t="s">
        <v>204</v>
      </c>
      <c r="L76" t="s">
        <v>218</v>
      </c>
      <c r="M76" t="s">
        <v>225</v>
      </c>
      <c r="N76" t="str">
        <f t="shared" si="1"/>
        <v>ZSGL</v>
      </c>
    </row>
    <row r="77" spans="1:14" x14ac:dyDescent="0.25">
      <c r="A77" t="s">
        <v>325</v>
      </c>
      <c r="B77" s="1">
        <v>1.0593454598247096</v>
      </c>
      <c r="C77" s="1">
        <v>1.186474420352535</v>
      </c>
      <c r="D77" s="1">
        <v>1.1108524093765186</v>
      </c>
      <c r="E77" s="1">
        <v>1.3346864369817284</v>
      </c>
      <c r="F77" s="1">
        <v>1.1969992375845449</v>
      </c>
      <c r="G77" s="1">
        <v>1.2514592898104351</v>
      </c>
      <c r="H77" s="1">
        <v>1.1349914559709346</v>
      </c>
      <c r="I77" s="1">
        <v>1.21077775615489</v>
      </c>
      <c r="J77" t="s">
        <v>198</v>
      </c>
      <c r="K77" t="s">
        <v>239</v>
      </c>
      <c r="L77" t="s">
        <v>218</v>
      </c>
      <c r="M77" t="s">
        <v>225</v>
      </c>
      <c r="N77" t="str">
        <f t="shared" si="1"/>
        <v>BFCS</v>
      </c>
    </row>
    <row r="78" spans="1:14" x14ac:dyDescent="0.25">
      <c r="A78" t="s">
        <v>326</v>
      </c>
      <c r="B78" s="1">
        <v>1.2404732219346111</v>
      </c>
      <c r="C78" s="1">
        <v>1.1766539170045516</v>
      </c>
      <c r="D78" s="1">
        <v>1.0137977598363233</v>
      </c>
      <c r="E78" s="1">
        <v>1.1165698026280422</v>
      </c>
      <c r="F78" s="1">
        <v>1.0306348405049146</v>
      </c>
      <c r="G78" s="1">
        <v>1.1006891908726475</v>
      </c>
      <c r="H78" s="1">
        <v>1.0143682635940565</v>
      </c>
      <c r="I78" s="1">
        <v>1.0770896434284507</v>
      </c>
      <c r="J78" t="s">
        <v>198</v>
      </c>
      <c r="K78" t="s">
        <v>241</v>
      </c>
      <c r="L78" t="s">
        <v>218</v>
      </c>
      <c r="M78" t="s">
        <v>225</v>
      </c>
      <c r="N78" t="str">
        <f t="shared" si="1"/>
        <v>SSSS</v>
      </c>
    </row>
    <row r="79" spans="1:14" x14ac:dyDescent="0.25">
      <c r="A79" t="s">
        <v>40</v>
      </c>
      <c r="B79" s="1">
        <v>1.141842644525235</v>
      </c>
      <c r="C79" s="1">
        <v>1.0913693360065557</v>
      </c>
      <c r="D79" s="1">
        <v>1.0166094655781481</v>
      </c>
      <c r="E79" s="1">
        <v>1.1559206349902142</v>
      </c>
      <c r="F79" s="1">
        <v>1.085482603402947</v>
      </c>
      <c r="G79" s="1">
        <v>1.1316050650736813</v>
      </c>
      <c r="H79" s="1">
        <v>1.0375208019187654</v>
      </c>
      <c r="I79" s="1">
        <v>1.0435262096174163</v>
      </c>
      <c r="J79" t="s">
        <v>198</v>
      </c>
      <c r="K79" t="s">
        <v>206</v>
      </c>
      <c r="L79" t="s">
        <v>218</v>
      </c>
      <c r="M79" t="s">
        <v>225</v>
      </c>
      <c r="N79" t="str">
        <f t="shared" si="1"/>
        <v>BMS</v>
      </c>
    </row>
    <row r="80" spans="1:14" x14ac:dyDescent="0.25">
      <c r="A80" t="s">
        <v>270</v>
      </c>
      <c r="B80" s="1">
        <v>1.0777907155318769</v>
      </c>
      <c r="C80" s="1">
        <v>1.7318581338706671</v>
      </c>
      <c r="D80" s="1">
        <v>1.6300131961286115</v>
      </c>
      <c r="E80" s="1">
        <v>1.7882394687458094</v>
      </c>
      <c r="F80" s="1">
        <v>1.664998325514649</v>
      </c>
      <c r="G80" s="1">
        <v>1.6734061157966484</v>
      </c>
      <c r="H80" s="1">
        <v>1.5666415396064624</v>
      </c>
      <c r="I80" s="1">
        <v>1.647826547688044</v>
      </c>
      <c r="J80" t="s">
        <v>198</v>
      </c>
      <c r="K80" t="s">
        <v>207</v>
      </c>
      <c r="L80" t="s">
        <v>218</v>
      </c>
      <c r="M80" t="s">
        <v>225</v>
      </c>
      <c r="N80" t="str">
        <f t="shared" si="1"/>
        <v>CC</v>
      </c>
    </row>
    <row r="81" spans="1:14" x14ac:dyDescent="0.25">
      <c r="A81" t="s">
        <v>327</v>
      </c>
      <c r="B81" s="1">
        <v>0.95240023292347009</v>
      </c>
      <c r="C81" s="1">
        <v>0.93747607780876507</v>
      </c>
      <c r="D81" s="1">
        <v>0.89855048235418145</v>
      </c>
      <c r="E81" s="1">
        <v>1.0294822413214411</v>
      </c>
      <c r="F81" s="1">
        <v>1.0368936302795042</v>
      </c>
      <c r="G81" s="1">
        <v>1.0345025314237133</v>
      </c>
      <c r="H81" s="1">
        <v>1.0405184511874175</v>
      </c>
      <c r="I81" s="1">
        <v>0.9986333105806936</v>
      </c>
      <c r="J81" t="s">
        <v>198</v>
      </c>
      <c r="K81" t="s">
        <v>233</v>
      </c>
      <c r="L81" t="s">
        <v>218</v>
      </c>
      <c r="M81" t="s">
        <v>225</v>
      </c>
      <c r="N81" t="str">
        <f t="shared" si="1"/>
        <v>POOL</v>
      </c>
    </row>
    <row r="82" spans="1:14" x14ac:dyDescent="0.25">
      <c r="A82" t="s">
        <v>41</v>
      </c>
      <c r="B82" s="1">
        <v>1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t="s">
        <v>198</v>
      </c>
      <c r="K82" t="s">
        <v>202</v>
      </c>
      <c r="L82" t="s">
        <v>219</v>
      </c>
      <c r="M82" t="s">
        <v>225</v>
      </c>
      <c r="N82" t="str">
        <f t="shared" si="1"/>
        <v>ZS</v>
      </c>
    </row>
    <row r="83" spans="1:14" x14ac:dyDescent="0.25">
      <c r="A83" t="s">
        <v>42</v>
      </c>
      <c r="B83" s="1">
        <v>0.94981655575615564</v>
      </c>
      <c r="C83" s="1">
        <v>0.99500238327488855</v>
      </c>
      <c r="D83" s="1">
        <v>0.97541021649285964</v>
      </c>
      <c r="E83" s="1">
        <v>0.97085483282806051</v>
      </c>
      <c r="F83" s="1">
        <v>0.96040197119921678</v>
      </c>
      <c r="G83" s="1">
        <v>0.98245672820302554</v>
      </c>
      <c r="H83" s="1">
        <v>0.9718794710826999</v>
      </c>
      <c r="I83" s="1">
        <v>1.0338432360836807</v>
      </c>
      <c r="J83" t="s">
        <v>198</v>
      </c>
      <c r="K83" t="s">
        <v>203</v>
      </c>
      <c r="L83" t="s">
        <v>219</v>
      </c>
      <c r="M83" t="s">
        <v>225</v>
      </c>
      <c r="N83" t="str">
        <f t="shared" si="1"/>
        <v>ZS\&amp;POOL</v>
      </c>
    </row>
    <row r="84" spans="1:14" x14ac:dyDescent="0.25">
      <c r="A84" t="s">
        <v>43</v>
      </c>
      <c r="B84" s="1">
        <v>0.96258353758175741</v>
      </c>
      <c r="C84" s="1">
        <v>0.97430827735248715</v>
      </c>
      <c r="D84" s="1">
        <v>0.93400163137917247</v>
      </c>
      <c r="E84" s="1">
        <v>0.99944620997260436</v>
      </c>
      <c r="F84" s="1">
        <v>0.98715346010241745</v>
      </c>
      <c r="G84" s="1">
        <v>0.97941582352341316</v>
      </c>
      <c r="H84" s="1">
        <v>1.0090967484367561</v>
      </c>
      <c r="I84" s="1">
        <v>1.0136461369879493</v>
      </c>
      <c r="J84" t="s">
        <v>198</v>
      </c>
      <c r="K84" t="s">
        <v>204</v>
      </c>
      <c r="L84" t="s">
        <v>219</v>
      </c>
      <c r="M84" t="s">
        <v>225</v>
      </c>
      <c r="N84" t="str">
        <f t="shared" si="1"/>
        <v>ZSGL</v>
      </c>
    </row>
    <row r="85" spans="1:14" x14ac:dyDescent="0.25">
      <c r="A85" t="s">
        <v>328</v>
      </c>
      <c r="B85" s="1">
        <v>0.97796365399066654</v>
      </c>
      <c r="C85" s="1">
        <v>1.0395732032069753</v>
      </c>
      <c r="D85" s="1">
        <v>1.085576613409174</v>
      </c>
      <c r="E85" s="1">
        <v>1.2960179832056571</v>
      </c>
      <c r="F85" s="1">
        <v>1.1981757756989109</v>
      </c>
      <c r="G85" s="1">
        <v>1.1603125755452723</v>
      </c>
      <c r="H85" s="1">
        <v>1.2049860294307442</v>
      </c>
      <c r="I85" s="1">
        <v>1.1731344518828475</v>
      </c>
      <c r="J85" t="s">
        <v>198</v>
      </c>
      <c r="K85" t="s">
        <v>239</v>
      </c>
      <c r="L85" t="s">
        <v>219</v>
      </c>
      <c r="M85" t="s">
        <v>225</v>
      </c>
      <c r="N85" t="str">
        <f t="shared" si="1"/>
        <v>BFCS</v>
      </c>
    </row>
    <row r="86" spans="1:14" x14ac:dyDescent="0.25">
      <c r="A86" t="s">
        <v>329</v>
      </c>
      <c r="B86" s="1">
        <v>0.99760555107412974</v>
      </c>
      <c r="C86" s="1">
        <v>0.96970936964126708</v>
      </c>
      <c r="D86" s="1">
        <v>0.91979303801692114</v>
      </c>
      <c r="E86" s="1">
        <v>0.96144149008282842</v>
      </c>
      <c r="F86" s="1">
        <v>0.94080416533477806</v>
      </c>
      <c r="G86" s="1">
        <v>0.91631393261974547</v>
      </c>
      <c r="H86" s="1">
        <v>0.9923793717873669</v>
      </c>
      <c r="I86" s="1">
        <v>1.0556388029679906</v>
      </c>
      <c r="J86" t="s">
        <v>198</v>
      </c>
      <c r="K86" t="s">
        <v>241</v>
      </c>
      <c r="L86" t="s">
        <v>219</v>
      </c>
      <c r="M86" t="s">
        <v>225</v>
      </c>
      <c r="N86" t="str">
        <f t="shared" si="1"/>
        <v>SSSS</v>
      </c>
    </row>
    <row r="87" spans="1:14" x14ac:dyDescent="0.25">
      <c r="A87" t="s">
        <v>44</v>
      </c>
      <c r="B87" s="1">
        <v>1.0209338942222077</v>
      </c>
      <c r="C87" s="1">
        <v>0.97213334393411333</v>
      </c>
      <c r="D87" s="1">
        <v>0.94736662569378016</v>
      </c>
      <c r="E87" s="1">
        <v>0.93184222770620051</v>
      </c>
      <c r="F87" s="1">
        <v>0.95924324227638236</v>
      </c>
      <c r="G87" s="1">
        <v>0.95118249470218241</v>
      </c>
      <c r="H87" s="1">
        <v>1.0010957333599471</v>
      </c>
      <c r="I87" s="1">
        <v>1.0391981205132754</v>
      </c>
      <c r="J87" t="s">
        <v>198</v>
      </c>
      <c r="K87" t="s">
        <v>206</v>
      </c>
      <c r="L87" t="s">
        <v>219</v>
      </c>
      <c r="M87" t="s">
        <v>225</v>
      </c>
      <c r="N87" t="str">
        <f t="shared" si="1"/>
        <v>BMS</v>
      </c>
    </row>
    <row r="88" spans="1:14" x14ac:dyDescent="0.25">
      <c r="A88" t="s">
        <v>271</v>
      </c>
      <c r="B88" s="1">
        <v>1.0578210734478954</v>
      </c>
      <c r="C88" s="1">
        <v>1.9426247419893039</v>
      </c>
      <c r="D88" s="1">
        <v>1.8971145179976248</v>
      </c>
      <c r="E88" s="1">
        <v>2.181127325426194</v>
      </c>
      <c r="F88" s="1">
        <v>2.0360052696288831</v>
      </c>
      <c r="G88" s="1">
        <v>2.0586135601596709</v>
      </c>
      <c r="H88" s="1">
        <v>2.0725426644023552</v>
      </c>
      <c r="I88" s="1">
        <v>2.0578579466012705</v>
      </c>
      <c r="J88" t="s">
        <v>198</v>
      </c>
      <c r="K88" t="s">
        <v>207</v>
      </c>
      <c r="L88" t="s">
        <v>219</v>
      </c>
      <c r="M88" t="s">
        <v>225</v>
      </c>
      <c r="N88" t="str">
        <f t="shared" si="1"/>
        <v>CC</v>
      </c>
    </row>
    <row r="89" spans="1:14" x14ac:dyDescent="0.25">
      <c r="A89" t="s">
        <v>330</v>
      </c>
      <c r="B89" s="1">
        <v>0.95459657930831876</v>
      </c>
      <c r="C89" s="1">
        <v>0.98309996424136559</v>
      </c>
      <c r="D89" s="1">
        <v>0.92182120452020821</v>
      </c>
      <c r="E89" s="1">
        <v>0.96710227172685681</v>
      </c>
      <c r="F89" s="1">
        <v>0.91564345875373021</v>
      </c>
      <c r="G89" s="1">
        <v>0.96709124468186525</v>
      </c>
      <c r="H89" s="1">
        <v>0.98411404118725088</v>
      </c>
      <c r="I89" s="1">
        <v>0.97040283630061452</v>
      </c>
      <c r="J89" t="s">
        <v>198</v>
      </c>
      <c r="K89" t="s">
        <v>233</v>
      </c>
      <c r="L89" t="s">
        <v>219</v>
      </c>
      <c r="M89" t="s">
        <v>225</v>
      </c>
      <c r="N89" t="str">
        <f t="shared" si="1"/>
        <v>POOL</v>
      </c>
    </row>
    <row r="90" spans="1:14" x14ac:dyDescent="0.25">
      <c r="A90" t="s">
        <v>45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t="s">
        <v>198</v>
      </c>
      <c r="K90" t="s">
        <v>202</v>
      </c>
      <c r="L90" t="s">
        <v>220</v>
      </c>
      <c r="M90" t="s">
        <v>225</v>
      </c>
      <c r="N90" t="str">
        <f t="shared" si="1"/>
        <v>ZS</v>
      </c>
    </row>
    <row r="91" spans="1:14" x14ac:dyDescent="0.25">
      <c r="A91" t="s">
        <v>46</v>
      </c>
      <c r="B91" s="1">
        <v>0.95389224225053904</v>
      </c>
      <c r="C91" s="1">
        <v>0.96604088109660347</v>
      </c>
      <c r="D91" s="1">
        <v>1.0116972691322037</v>
      </c>
      <c r="E91" s="1">
        <v>0.89750743039405612</v>
      </c>
      <c r="F91" s="1">
        <v>1.0361439980121674</v>
      </c>
      <c r="G91" s="1">
        <v>1.017209512235014</v>
      </c>
      <c r="H91" s="1">
        <v>0.98608422131203832</v>
      </c>
      <c r="I91" s="1">
        <v>1.0073262458802781</v>
      </c>
      <c r="J91" t="s">
        <v>198</v>
      </c>
      <c r="K91" t="s">
        <v>203</v>
      </c>
      <c r="L91" t="s">
        <v>220</v>
      </c>
      <c r="M91" t="s">
        <v>225</v>
      </c>
      <c r="N91" t="str">
        <f t="shared" si="1"/>
        <v>ZS\&amp;POOL</v>
      </c>
    </row>
    <row r="92" spans="1:14" x14ac:dyDescent="0.25">
      <c r="A92" t="s">
        <v>47</v>
      </c>
      <c r="B92" s="1">
        <v>0.97383063917283985</v>
      </c>
      <c r="C92" s="1">
        <v>0.95484883678437871</v>
      </c>
      <c r="D92" s="1">
        <v>1.0514772980179647</v>
      </c>
      <c r="E92" s="1">
        <v>0.97120272488549697</v>
      </c>
      <c r="F92" s="1">
        <v>1.0549809826557397</v>
      </c>
      <c r="G92" s="1">
        <v>1.0731478372993339</v>
      </c>
      <c r="H92" s="1">
        <v>1.0701499590773589</v>
      </c>
      <c r="I92" s="1">
        <v>1.1260594359903686</v>
      </c>
      <c r="J92" t="s">
        <v>198</v>
      </c>
      <c r="K92" t="s">
        <v>204</v>
      </c>
      <c r="L92" t="s">
        <v>220</v>
      </c>
      <c r="M92" t="s">
        <v>225</v>
      </c>
      <c r="N92" t="str">
        <f t="shared" si="1"/>
        <v>ZSGL</v>
      </c>
    </row>
    <row r="93" spans="1:14" x14ac:dyDescent="0.25">
      <c r="A93" t="s">
        <v>331</v>
      </c>
      <c r="B93" s="1">
        <v>1.1018861008055474</v>
      </c>
      <c r="C93" s="1">
        <v>1.4369799905847322</v>
      </c>
      <c r="D93" s="1">
        <v>1.5595529021867816</v>
      </c>
      <c r="E93" s="1">
        <v>1.4944329132673515</v>
      </c>
      <c r="F93" s="1">
        <v>1.641925365959932</v>
      </c>
      <c r="G93" s="1">
        <v>1.6347957907029373</v>
      </c>
      <c r="H93" s="1">
        <v>1.6112909957718837</v>
      </c>
      <c r="I93" s="1">
        <v>1.4845855518678812</v>
      </c>
      <c r="J93" t="s">
        <v>198</v>
      </c>
      <c r="K93" t="s">
        <v>239</v>
      </c>
      <c r="L93" t="s">
        <v>220</v>
      </c>
      <c r="M93" t="s">
        <v>225</v>
      </c>
      <c r="N93" t="str">
        <f t="shared" si="1"/>
        <v>BFCS</v>
      </c>
    </row>
    <row r="94" spans="1:14" x14ac:dyDescent="0.25">
      <c r="A94" t="s">
        <v>332</v>
      </c>
      <c r="B94" s="1">
        <v>1.3625278125388338</v>
      </c>
      <c r="C94" s="1">
        <v>1.2212826296614301</v>
      </c>
      <c r="D94" s="1">
        <v>1.1193712965717695</v>
      </c>
      <c r="E94" s="1">
        <v>0.99490113423380899</v>
      </c>
      <c r="F94" s="1">
        <v>1.1482834214383137</v>
      </c>
      <c r="G94" s="1">
        <v>1.2365175068554934</v>
      </c>
      <c r="H94" s="1">
        <v>1.2091917267986505</v>
      </c>
      <c r="I94" s="1">
        <v>1.2630273400352445</v>
      </c>
      <c r="J94" t="s">
        <v>198</v>
      </c>
      <c r="K94" t="s">
        <v>241</v>
      </c>
      <c r="L94" t="s">
        <v>220</v>
      </c>
      <c r="M94" t="s">
        <v>225</v>
      </c>
      <c r="N94" t="str">
        <f t="shared" si="1"/>
        <v>SSSS</v>
      </c>
    </row>
    <row r="95" spans="1:14" x14ac:dyDescent="0.25">
      <c r="A95" t="s">
        <v>48</v>
      </c>
      <c r="B95" s="1">
        <v>1.2002131792546791</v>
      </c>
      <c r="C95" s="1">
        <v>1.2186650198876561</v>
      </c>
      <c r="D95" s="1">
        <v>1.1876188371223915</v>
      </c>
      <c r="E95" s="1">
        <v>1.115987816141385</v>
      </c>
      <c r="F95" s="1">
        <v>1.2402555426199968</v>
      </c>
      <c r="G95" s="1">
        <v>1.2581350579608024</v>
      </c>
      <c r="H95" s="1">
        <v>1.257005073004658</v>
      </c>
      <c r="I95" s="1">
        <v>1.2703792523172994</v>
      </c>
      <c r="J95" t="s">
        <v>198</v>
      </c>
      <c r="K95" t="s">
        <v>206</v>
      </c>
      <c r="L95" t="s">
        <v>220</v>
      </c>
      <c r="M95" t="s">
        <v>225</v>
      </c>
      <c r="N95" t="str">
        <f t="shared" si="1"/>
        <v>BMS</v>
      </c>
    </row>
    <row r="96" spans="1:14" x14ac:dyDescent="0.25">
      <c r="A96" t="s">
        <v>272</v>
      </c>
      <c r="B96" s="1">
        <v>1.4438188266833694</v>
      </c>
      <c r="C96" s="1">
        <v>2.6500819968763407</v>
      </c>
      <c r="D96" s="1">
        <v>3.02278798748852</v>
      </c>
      <c r="E96" s="1">
        <v>2.6536685296940852</v>
      </c>
      <c r="F96" s="1">
        <v>3.194154973925976</v>
      </c>
      <c r="G96" s="1">
        <v>3.2528369399896615</v>
      </c>
      <c r="H96" s="1">
        <v>3.2620617816627786</v>
      </c>
      <c r="I96" s="1">
        <v>3.2478877083957478</v>
      </c>
      <c r="J96" t="s">
        <v>198</v>
      </c>
      <c r="K96" t="s">
        <v>207</v>
      </c>
      <c r="L96" t="s">
        <v>220</v>
      </c>
      <c r="M96" t="s">
        <v>225</v>
      </c>
      <c r="N96" t="str">
        <f t="shared" si="1"/>
        <v>CC</v>
      </c>
    </row>
    <row r="97" spans="1:14" x14ac:dyDescent="0.25">
      <c r="A97" t="s">
        <v>333</v>
      </c>
      <c r="B97" s="1">
        <v>1.0053837111982722</v>
      </c>
      <c r="C97" s="1">
        <v>1.0354819930122445</v>
      </c>
      <c r="D97" s="1">
        <v>1.1396998687042699</v>
      </c>
      <c r="E97" s="1">
        <v>0.98845453785316606</v>
      </c>
      <c r="F97" s="1">
        <v>1.0448828504520198</v>
      </c>
      <c r="G97" s="1">
        <v>1.1950922172476108</v>
      </c>
      <c r="H97" s="1">
        <v>1.1028104487491508</v>
      </c>
      <c r="I97" s="1">
        <v>1.0545384384960028</v>
      </c>
      <c r="J97" t="s">
        <v>198</v>
      </c>
      <c r="K97" t="s">
        <v>233</v>
      </c>
      <c r="L97" t="s">
        <v>220</v>
      </c>
      <c r="M97" t="s">
        <v>225</v>
      </c>
      <c r="N97" t="str">
        <f t="shared" si="1"/>
        <v>POOL</v>
      </c>
    </row>
    <row r="98" spans="1:14" x14ac:dyDescent="0.25">
      <c r="A98" t="s">
        <v>49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t="s">
        <v>198</v>
      </c>
      <c r="K98" t="s">
        <v>202</v>
      </c>
      <c r="L98" t="s">
        <v>221</v>
      </c>
      <c r="M98" t="s">
        <v>225</v>
      </c>
      <c r="N98" t="str">
        <f t="shared" si="1"/>
        <v>ZS</v>
      </c>
    </row>
    <row r="99" spans="1:14" x14ac:dyDescent="0.25">
      <c r="A99" t="s">
        <v>50</v>
      </c>
      <c r="B99" s="1">
        <v>1.0028989321302284</v>
      </c>
      <c r="C99" s="1">
        <v>0.95674061949234002</v>
      </c>
      <c r="D99" s="1">
        <v>1.031706864979163</v>
      </c>
      <c r="E99" s="1">
        <v>0.98973557005109913</v>
      </c>
      <c r="F99" s="1">
        <v>1.0608051980658946</v>
      </c>
      <c r="G99" s="1">
        <v>0.99010564092401154</v>
      </c>
      <c r="H99" s="1">
        <v>0.93980341532852207</v>
      </c>
      <c r="I99" s="1">
        <v>1.0459231543608745</v>
      </c>
      <c r="J99" t="s">
        <v>198</v>
      </c>
      <c r="K99" t="s">
        <v>203</v>
      </c>
      <c r="L99" t="s">
        <v>221</v>
      </c>
      <c r="M99" t="s">
        <v>225</v>
      </c>
      <c r="N99" t="str">
        <f t="shared" si="1"/>
        <v>ZS\&amp;POOL</v>
      </c>
    </row>
    <row r="100" spans="1:14" x14ac:dyDescent="0.25">
      <c r="A100" t="s">
        <v>51</v>
      </c>
      <c r="B100" s="1">
        <v>1.0075906574592577</v>
      </c>
      <c r="C100" s="1">
        <v>0.94010271799277623</v>
      </c>
      <c r="D100" s="1">
        <v>1.0439060511544558</v>
      </c>
      <c r="E100" s="1">
        <v>0.99281438069984829</v>
      </c>
      <c r="F100" s="1">
        <v>0.98000336048252767</v>
      </c>
      <c r="G100" s="1">
        <v>0.99489261580324384</v>
      </c>
      <c r="H100" s="1">
        <v>0.97009340408474343</v>
      </c>
      <c r="I100" s="1">
        <v>1.0006439477090356</v>
      </c>
      <c r="J100" t="s">
        <v>198</v>
      </c>
      <c r="K100" t="s">
        <v>204</v>
      </c>
      <c r="L100" t="s">
        <v>221</v>
      </c>
      <c r="M100" t="s">
        <v>225</v>
      </c>
      <c r="N100" t="str">
        <f t="shared" si="1"/>
        <v>ZSGL</v>
      </c>
    </row>
    <row r="101" spans="1:14" x14ac:dyDescent="0.25">
      <c r="A101" t="s">
        <v>334</v>
      </c>
      <c r="B101" s="1">
        <v>1.0028062751862263</v>
      </c>
      <c r="C101" s="1">
        <v>1.1562989819761065</v>
      </c>
      <c r="D101" s="1">
        <v>1.2782935627933469</v>
      </c>
      <c r="E101" s="1">
        <v>1.0753039780975417</v>
      </c>
      <c r="F101" s="1">
        <v>1.2761396756047514</v>
      </c>
      <c r="G101" s="1">
        <v>1.2636115729353987</v>
      </c>
      <c r="H101" s="1">
        <v>1.2642215758066626</v>
      </c>
      <c r="I101" s="1">
        <v>1.3949549365278593</v>
      </c>
      <c r="J101" t="s">
        <v>198</v>
      </c>
      <c r="K101" t="s">
        <v>239</v>
      </c>
      <c r="L101" t="s">
        <v>221</v>
      </c>
      <c r="M101" t="s">
        <v>225</v>
      </c>
      <c r="N101" t="str">
        <f t="shared" si="1"/>
        <v>BFCS</v>
      </c>
    </row>
    <row r="102" spans="1:14" x14ac:dyDescent="0.25">
      <c r="A102" t="s">
        <v>335</v>
      </c>
      <c r="B102" s="1">
        <v>0.99108183203039024</v>
      </c>
      <c r="C102" s="1">
        <v>1.0029067454850942</v>
      </c>
      <c r="D102" s="1">
        <v>1.0147379813142885</v>
      </c>
      <c r="E102" s="1">
        <v>1.064950619045671</v>
      </c>
      <c r="F102" s="1">
        <v>0.99624918659202899</v>
      </c>
      <c r="G102" s="1">
        <v>0.96401091664789285</v>
      </c>
      <c r="H102" s="1">
        <v>0.99251428196913094</v>
      </c>
      <c r="I102" s="1">
        <v>1.0422808471427247</v>
      </c>
      <c r="J102" t="s">
        <v>198</v>
      </c>
      <c r="K102" t="s">
        <v>241</v>
      </c>
      <c r="L102" t="s">
        <v>221</v>
      </c>
      <c r="M102" t="s">
        <v>225</v>
      </c>
      <c r="N102" t="str">
        <f t="shared" si="1"/>
        <v>SSSS</v>
      </c>
    </row>
    <row r="103" spans="1:14" x14ac:dyDescent="0.25">
      <c r="A103" t="s">
        <v>52</v>
      </c>
      <c r="B103" s="1">
        <v>1.0193197642889462</v>
      </c>
      <c r="C103" s="1">
        <v>0.96256325217502214</v>
      </c>
      <c r="D103" s="1">
        <v>1.0436040288435868</v>
      </c>
      <c r="E103" s="1">
        <v>1.0007663326531249</v>
      </c>
      <c r="F103" s="1">
        <v>1.0951780523468206</v>
      </c>
      <c r="G103" s="1">
        <v>0.99743723794641981</v>
      </c>
      <c r="H103" s="1">
        <v>0.98845640914280963</v>
      </c>
      <c r="I103" s="1">
        <v>1.0223983930349048</v>
      </c>
      <c r="J103" t="s">
        <v>198</v>
      </c>
      <c r="K103" t="s">
        <v>206</v>
      </c>
      <c r="L103" t="s">
        <v>221</v>
      </c>
      <c r="M103" t="s">
        <v>225</v>
      </c>
      <c r="N103" t="str">
        <f t="shared" si="1"/>
        <v>BMS</v>
      </c>
    </row>
    <row r="104" spans="1:14" x14ac:dyDescent="0.25">
      <c r="A104" t="s">
        <v>273</v>
      </c>
      <c r="B104" s="1">
        <v>1.0310585374396397</v>
      </c>
      <c r="C104" s="1">
        <v>1.5446018894890894</v>
      </c>
      <c r="D104" s="1">
        <v>1.7184278529196109</v>
      </c>
      <c r="E104" s="1">
        <v>1.6081776797835514</v>
      </c>
      <c r="F104" s="1">
        <v>1.6115397716990076</v>
      </c>
      <c r="G104" s="1">
        <v>1.8568859154393849</v>
      </c>
      <c r="H104" s="1">
        <v>1.7842402957735075</v>
      </c>
      <c r="I104" s="1">
        <v>1.999655675999346</v>
      </c>
      <c r="J104" t="s">
        <v>198</v>
      </c>
      <c r="K104" t="s">
        <v>207</v>
      </c>
      <c r="L104" t="s">
        <v>221</v>
      </c>
      <c r="M104" t="s">
        <v>225</v>
      </c>
      <c r="N104" t="str">
        <f t="shared" si="1"/>
        <v>CC</v>
      </c>
    </row>
    <row r="105" spans="1:14" x14ac:dyDescent="0.25">
      <c r="A105" t="s">
        <v>336</v>
      </c>
      <c r="B105" s="1">
        <v>1.0103056619732749</v>
      </c>
      <c r="C105" s="1">
        <v>1.0123437663582522</v>
      </c>
      <c r="D105" s="1">
        <v>0.97122700036280762</v>
      </c>
      <c r="E105" s="1">
        <v>0.98121177650125635</v>
      </c>
      <c r="F105" s="1">
        <v>1.0007698227630424</v>
      </c>
      <c r="G105" s="1">
        <v>0.99969494063874975</v>
      </c>
      <c r="H105" s="1">
        <v>0.9632698020096726</v>
      </c>
      <c r="I105" s="1">
        <v>1.0581447324377793</v>
      </c>
      <c r="J105" t="s">
        <v>198</v>
      </c>
      <c r="K105" t="s">
        <v>233</v>
      </c>
      <c r="L105" t="s">
        <v>221</v>
      </c>
      <c r="M105" t="s">
        <v>225</v>
      </c>
      <c r="N105" t="str">
        <f t="shared" si="1"/>
        <v>POOL</v>
      </c>
    </row>
    <row r="106" spans="1:14" x14ac:dyDescent="0.25">
      <c r="A106" t="s">
        <v>53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t="s">
        <v>198</v>
      </c>
      <c r="K106" t="s">
        <v>202</v>
      </c>
      <c r="L106" t="s">
        <v>222</v>
      </c>
      <c r="M106" t="s">
        <v>225</v>
      </c>
      <c r="N106" t="str">
        <f t="shared" si="1"/>
        <v>ZS</v>
      </c>
    </row>
    <row r="107" spans="1:14" x14ac:dyDescent="0.25">
      <c r="A107" t="s">
        <v>54</v>
      </c>
      <c r="B107" s="1">
        <v>1.0292380948749891</v>
      </c>
      <c r="C107" s="1">
        <v>1.0078962450675806</v>
      </c>
      <c r="D107" s="1">
        <v>0.94840646709241072</v>
      </c>
      <c r="E107" s="1">
        <v>0.89293650574376393</v>
      </c>
      <c r="F107" s="1">
        <v>0.98539621755103035</v>
      </c>
      <c r="G107" s="1">
        <v>1.0281557000831838</v>
      </c>
      <c r="H107" s="1">
        <v>0.93278762049689579</v>
      </c>
      <c r="I107" s="1">
        <v>0.93021655034730544</v>
      </c>
      <c r="J107" t="s">
        <v>198</v>
      </c>
      <c r="K107" t="s">
        <v>203</v>
      </c>
      <c r="L107" t="s">
        <v>222</v>
      </c>
      <c r="M107" t="s">
        <v>225</v>
      </c>
      <c r="N107" t="str">
        <f t="shared" si="1"/>
        <v>ZS\&amp;POOL</v>
      </c>
    </row>
    <row r="108" spans="1:14" x14ac:dyDescent="0.25">
      <c r="A108" t="s">
        <v>55</v>
      </c>
      <c r="B108" s="1">
        <v>1.0120456005849499</v>
      </c>
      <c r="C108" s="1">
        <v>1.0546977424223363</v>
      </c>
      <c r="D108" s="1">
        <v>0.99261035272360065</v>
      </c>
      <c r="E108" s="1">
        <v>0.96388695359905607</v>
      </c>
      <c r="F108" s="1">
        <v>0.99883801755651369</v>
      </c>
      <c r="G108" s="1">
        <v>0.9889572490851064</v>
      </c>
      <c r="H108" s="1">
        <v>0.94614362874586111</v>
      </c>
      <c r="I108" s="1">
        <v>0.90521498698902636</v>
      </c>
      <c r="J108" t="s">
        <v>198</v>
      </c>
      <c r="K108" t="s">
        <v>204</v>
      </c>
      <c r="L108" t="s">
        <v>222</v>
      </c>
      <c r="M108" t="s">
        <v>225</v>
      </c>
      <c r="N108" t="str">
        <f t="shared" si="1"/>
        <v>ZSGL</v>
      </c>
    </row>
    <row r="109" spans="1:14" x14ac:dyDescent="0.25">
      <c r="A109" t="s">
        <v>337</v>
      </c>
      <c r="B109" s="1">
        <v>1.0926657084814229</v>
      </c>
      <c r="C109" s="1">
        <v>1.0852286553441026</v>
      </c>
      <c r="D109" s="1">
        <v>1.0520912797042548</v>
      </c>
      <c r="E109" s="1">
        <v>1.1403201544022117</v>
      </c>
      <c r="F109" s="1">
        <v>1.0835283551910218</v>
      </c>
      <c r="G109" s="1">
        <v>1.1510827543212825</v>
      </c>
      <c r="H109" s="1">
        <v>1.1127825707679104</v>
      </c>
      <c r="I109" s="1">
        <v>1.0168672672091752</v>
      </c>
      <c r="J109" t="s">
        <v>198</v>
      </c>
      <c r="K109" t="s">
        <v>239</v>
      </c>
      <c r="L109" t="s">
        <v>222</v>
      </c>
      <c r="M109" t="s">
        <v>225</v>
      </c>
      <c r="N109" t="str">
        <f t="shared" si="1"/>
        <v>BFCS</v>
      </c>
    </row>
    <row r="110" spans="1:14" x14ac:dyDescent="0.25">
      <c r="A110" t="s">
        <v>338</v>
      </c>
      <c r="B110" s="1">
        <v>1.3284926434864213</v>
      </c>
      <c r="C110" s="1">
        <v>1.2971812067106645</v>
      </c>
      <c r="D110" s="1">
        <v>1.3169917623382261</v>
      </c>
      <c r="E110" s="1">
        <v>1.3180766126005816</v>
      </c>
      <c r="F110" s="1">
        <v>1.3291462046656422</v>
      </c>
      <c r="G110" s="1">
        <v>1.4515163028062827</v>
      </c>
      <c r="H110" s="1">
        <v>1.4453961178618147</v>
      </c>
      <c r="I110" s="1">
        <v>1.201770963820078</v>
      </c>
      <c r="J110" t="s">
        <v>198</v>
      </c>
      <c r="K110" t="s">
        <v>241</v>
      </c>
      <c r="L110" t="s">
        <v>222</v>
      </c>
      <c r="M110" t="s">
        <v>225</v>
      </c>
      <c r="N110" t="str">
        <f t="shared" si="1"/>
        <v>SSSS</v>
      </c>
    </row>
    <row r="111" spans="1:14" x14ac:dyDescent="0.25">
      <c r="A111" t="s">
        <v>56</v>
      </c>
      <c r="B111" s="1">
        <v>0.98122481301809195</v>
      </c>
      <c r="C111" s="1">
        <v>1.0708966367973332</v>
      </c>
      <c r="D111" s="1">
        <v>1.069285693710917</v>
      </c>
      <c r="E111" s="1">
        <v>0.92021658815877572</v>
      </c>
      <c r="F111" s="1">
        <v>0.92864832458639235</v>
      </c>
      <c r="G111" s="1">
        <v>1.1270601244962435</v>
      </c>
      <c r="H111" s="1">
        <v>0.97253750946154327</v>
      </c>
      <c r="I111" s="1">
        <v>0.94660519448501335</v>
      </c>
      <c r="J111" t="s">
        <v>198</v>
      </c>
      <c r="K111" t="s">
        <v>206</v>
      </c>
      <c r="L111" t="s">
        <v>222</v>
      </c>
      <c r="M111" t="s">
        <v>225</v>
      </c>
      <c r="N111" t="str">
        <f t="shared" si="1"/>
        <v>BMS</v>
      </c>
    </row>
    <row r="112" spans="1:14" x14ac:dyDescent="0.25">
      <c r="A112" t="s">
        <v>274</v>
      </c>
      <c r="B112" s="1">
        <v>1.0323706566444375</v>
      </c>
      <c r="C112" s="1">
        <v>1.4543639332808636</v>
      </c>
      <c r="D112" s="1">
        <v>1.4103818121435161</v>
      </c>
      <c r="E112" s="1">
        <v>1.400164253866707</v>
      </c>
      <c r="F112" s="1">
        <v>1.4762091447793455</v>
      </c>
      <c r="G112" s="1">
        <v>1.5471328902241803</v>
      </c>
      <c r="H112" s="1">
        <v>1.4990401204136916</v>
      </c>
      <c r="I112" s="1">
        <v>1.4044603775092039</v>
      </c>
      <c r="J112" t="s">
        <v>198</v>
      </c>
      <c r="K112" t="s">
        <v>207</v>
      </c>
      <c r="L112" t="s">
        <v>222</v>
      </c>
      <c r="M112" t="s">
        <v>225</v>
      </c>
      <c r="N112" t="str">
        <f t="shared" si="1"/>
        <v>CC</v>
      </c>
    </row>
    <row r="113" spans="1:14" x14ac:dyDescent="0.25">
      <c r="A113" t="s">
        <v>339</v>
      </c>
      <c r="B113" s="1">
        <v>0.98907706729045541</v>
      </c>
      <c r="C113" s="1">
        <v>1.1009858436783069</v>
      </c>
      <c r="D113" s="1">
        <v>0.96808813783184855</v>
      </c>
      <c r="E113" s="1">
        <v>0.97612110574220579</v>
      </c>
      <c r="F113" s="1">
        <v>0.93516983117447461</v>
      </c>
      <c r="G113" s="1">
        <v>1.0835100819030896</v>
      </c>
      <c r="H113" s="1">
        <v>0.96790407826099267</v>
      </c>
      <c r="I113" s="1">
        <v>0.88024050235612405</v>
      </c>
      <c r="J113" t="s">
        <v>198</v>
      </c>
      <c r="K113" t="s">
        <v>233</v>
      </c>
      <c r="L113" t="s">
        <v>222</v>
      </c>
      <c r="M113" t="s">
        <v>225</v>
      </c>
      <c r="N113" t="str">
        <f t="shared" si="1"/>
        <v>POOL</v>
      </c>
    </row>
    <row r="114" spans="1:14" x14ac:dyDescent="0.25">
      <c r="A114" t="s">
        <v>57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t="s">
        <v>198</v>
      </c>
      <c r="K114" t="s">
        <v>202</v>
      </c>
      <c r="L114" t="s">
        <v>223</v>
      </c>
      <c r="M114" t="s">
        <v>225</v>
      </c>
      <c r="N114" t="str">
        <f t="shared" si="1"/>
        <v>ZS</v>
      </c>
    </row>
    <row r="115" spans="1:14" x14ac:dyDescent="0.25">
      <c r="A115" t="s">
        <v>58</v>
      </c>
      <c r="B115" s="1">
        <v>1.0496528559426641</v>
      </c>
      <c r="C115" s="1">
        <v>1.0731108594220091</v>
      </c>
      <c r="D115" s="1">
        <v>0.99505255631180967</v>
      </c>
      <c r="E115" s="1">
        <v>1.0249387618055639</v>
      </c>
      <c r="F115" s="1">
        <v>0.96447643786632431</v>
      </c>
      <c r="G115" s="1">
        <v>0.98651495164870318</v>
      </c>
      <c r="H115" s="1">
        <v>0.9790921693555269</v>
      </c>
      <c r="I115" s="1">
        <v>0.99722278549604415</v>
      </c>
      <c r="J115" t="s">
        <v>198</v>
      </c>
      <c r="K115" t="s">
        <v>203</v>
      </c>
      <c r="L115" t="s">
        <v>223</v>
      </c>
      <c r="M115" t="s">
        <v>225</v>
      </c>
      <c r="N115" t="str">
        <f t="shared" si="1"/>
        <v>ZS\&amp;POOL</v>
      </c>
    </row>
    <row r="116" spans="1:14" x14ac:dyDescent="0.25">
      <c r="A116" t="s">
        <v>59</v>
      </c>
      <c r="B116" s="1">
        <v>1.0177386974254761</v>
      </c>
      <c r="C116" s="1">
        <v>1.0517421385788899</v>
      </c>
      <c r="D116" s="1">
        <v>0.99026302238405894</v>
      </c>
      <c r="E116" s="1">
        <v>1.0397880228208356</v>
      </c>
      <c r="F116" s="1">
        <v>0.93157710718657472</v>
      </c>
      <c r="G116" s="1">
        <v>1.0185551310573253</v>
      </c>
      <c r="H116" s="1">
        <v>1.0019302179194602</v>
      </c>
      <c r="I116" s="1">
        <v>1.0234116212839732</v>
      </c>
      <c r="J116" t="s">
        <v>198</v>
      </c>
      <c r="K116" t="s">
        <v>204</v>
      </c>
      <c r="L116" t="s">
        <v>223</v>
      </c>
      <c r="M116" t="s">
        <v>225</v>
      </c>
      <c r="N116" t="str">
        <f t="shared" si="1"/>
        <v>ZSGL</v>
      </c>
    </row>
    <row r="117" spans="1:14" x14ac:dyDescent="0.25">
      <c r="A117" t="s">
        <v>340</v>
      </c>
      <c r="B117" s="1">
        <v>1.0640453905474851</v>
      </c>
      <c r="C117" s="1">
        <v>1.3202338700282876</v>
      </c>
      <c r="D117" s="1">
        <v>1.2615922637693255</v>
      </c>
      <c r="E117" s="1">
        <v>1.2627743859481462</v>
      </c>
      <c r="F117" s="1">
        <v>1.2970608960353649</v>
      </c>
      <c r="G117" s="1">
        <v>1.3591354237602677</v>
      </c>
      <c r="H117" s="1">
        <v>1.3842364799138021</v>
      </c>
      <c r="I117" s="1">
        <v>1.35428454621714</v>
      </c>
      <c r="J117" t="s">
        <v>198</v>
      </c>
      <c r="K117" t="s">
        <v>239</v>
      </c>
      <c r="L117" t="s">
        <v>223</v>
      </c>
      <c r="M117" t="s">
        <v>225</v>
      </c>
      <c r="N117" t="str">
        <f t="shared" si="1"/>
        <v>BFCS</v>
      </c>
    </row>
    <row r="118" spans="1:14" x14ac:dyDescent="0.25">
      <c r="A118" t="s">
        <v>341</v>
      </c>
      <c r="B118" s="1">
        <v>1.093594829693372</v>
      </c>
      <c r="C118" s="1">
        <v>1.0609738103553321</v>
      </c>
      <c r="D118" s="1">
        <v>0.99517367425469372</v>
      </c>
      <c r="E118" s="1">
        <v>1.0478929790473492</v>
      </c>
      <c r="F118" s="1">
        <v>0.93459637048974675</v>
      </c>
      <c r="G118" s="1">
        <v>1.0092032524607317</v>
      </c>
      <c r="H118" s="1">
        <v>0.96464371904879453</v>
      </c>
      <c r="I118" s="1">
        <v>1.0561460232851976</v>
      </c>
      <c r="J118" t="s">
        <v>198</v>
      </c>
      <c r="K118" t="s">
        <v>241</v>
      </c>
      <c r="L118" t="s">
        <v>223</v>
      </c>
      <c r="M118" t="s">
        <v>225</v>
      </c>
      <c r="N118" t="str">
        <f t="shared" si="1"/>
        <v>SSSS</v>
      </c>
    </row>
    <row r="119" spans="1:14" x14ac:dyDescent="0.25">
      <c r="A119" t="s">
        <v>60</v>
      </c>
      <c r="B119" s="1">
        <v>1.1954237569329402</v>
      </c>
      <c r="C119" s="1">
        <v>1.0789524402622581</v>
      </c>
      <c r="D119" s="1">
        <v>1.053484661340742</v>
      </c>
      <c r="E119" s="1">
        <v>1.1053292633693927</v>
      </c>
      <c r="F119" s="1">
        <v>1.0105460477693362</v>
      </c>
      <c r="G119" s="1">
        <v>1.0682609520562885</v>
      </c>
      <c r="H119" s="1">
        <v>1.085780675782152</v>
      </c>
      <c r="I119" s="1">
        <v>1.0887239732379816</v>
      </c>
      <c r="J119" t="s">
        <v>198</v>
      </c>
      <c r="K119" t="s">
        <v>206</v>
      </c>
      <c r="L119" t="s">
        <v>223</v>
      </c>
      <c r="M119" t="s">
        <v>225</v>
      </c>
      <c r="N119" t="str">
        <f t="shared" si="1"/>
        <v>BMS</v>
      </c>
    </row>
    <row r="120" spans="1:14" x14ac:dyDescent="0.25">
      <c r="A120" t="s">
        <v>275</v>
      </c>
      <c r="B120" s="1">
        <v>1.1681081689521029</v>
      </c>
      <c r="C120" s="1">
        <v>1.980132110624907</v>
      </c>
      <c r="D120" s="1">
        <v>1.9623008484541185</v>
      </c>
      <c r="E120" s="1">
        <v>1.8647954527884265</v>
      </c>
      <c r="F120" s="1">
        <v>1.8983018607528526</v>
      </c>
      <c r="G120" s="1">
        <v>2.105859829593697</v>
      </c>
      <c r="H120" s="1">
        <v>2.1228470357638844</v>
      </c>
      <c r="I120" s="1">
        <v>2.0988213035338275</v>
      </c>
      <c r="J120" t="s">
        <v>198</v>
      </c>
      <c r="K120" t="s">
        <v>207</v>
      </c>
      <c r="L120" t="s">
        <v>223</v>
      </c>
      <c r="M120" t="s">
        <v>225</v>
      </c>
      <c r="N120" t="str">
        <f t="shared" si="1"/>
        <v>CC</v>
      </c>
    </row>
    <row r="121" spans="1:14" x14ac:dyDescent="0.25">
      <c r="A121" t="s">
        <v>342</v>
      </c>
      <c r="B121" s="1">
        <v>1.0309487356621378</v>
      </c>
      <c r="C121" s="1">
        <v>1.0516947937834551</v>
      </c>
      <c r="D121" s="1">
        <v>1.0308497645410155</v>
      </c>
      <c r="E121" s="1">
        <v>1.0410137273379307</v>
      </c>
      <c r="F121" s="1">
        <v>0.99684453641660087</v>
      </c>
      <c r="G121" s="1">
        <v>1.0550272989367817</v>
      </c>
      <c r="H121" s="1">
        <v>0.97401080515494742</v>
      </c>
      <c r="I121" s="1">
        <v>1.0510986725820712</v>
      </c>
      <c r="J121" t="s">
        <v>198</v>
      </c>
      <c r="K121" t="s">
        <v>233</v>
      </c>
      <c r="L121" t="s">
        <v>223</v>
      </c>
      <c r="M121" t="s">
        <v>225</v>
      </c>
      <c r="N121" t="str">
        <f t="shared" si="1"/>
        <v>POOL</v>
      </c>
    </row>
    <row r="122" spans="1:14" x14ac:dyDescent="0.25">
      <c r="A122" t="s">
        <v>61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t="s">
        <v>199</v>
      </c>
      <c r="K122" t="s">
        <v>202</v>
      </c>
      <c r="L122" t="s">
        <v>209</v>
      </c>
      <c r="M122" t="s">
        <v>225</v>
      </c>
      <c r="N122" t="str">
        <f t="shared" si="1"/>
        <v>ZS</v>
      </c>
    </row>
    <row r="123" spans="1:14" x14ac:dyDescent="0.25">
      <c r="A123" t="s">
        <v>62</v>
      </c>
      <c r="B123" s="1">
        <v>1.1677226380163752</v>
      </c>
      <c r="C123" s="1">
        <v>1.0279002274691811</v>
      </c>
      <c r="D123" s="1">
        <v>1.0020201241006907</v>
      </c>
      <c r="E123" s="1">
        <v>0.9551682918082105</v>
      </c>
      <c r="F123" s="1">
        <v>0.99164031012220577</v>
      </c>
      <c r="G123" s="1">
        <v>0.92182023251699385</v>
      </c>
      <c r="H123" s="1">
        <v>0.88469754923629595</v>
      </c>
      <c r="I123" s="1">
        <v>0.93452703803642234</v>
      </c>
      <c r="J123" t="s">
        <v>199</v>
      </c>
      <c r="K123" t="s">
        <v>203</v>
      </c>
      <c r="L123" t="s">
        <v>209</v>
      </c>
      <c r="M123" t="s">
        <v>225</v>
      </c>
      <c r="N123" t="str">
        <f t="shared" si="1"/>
        <v>ZS\&amp;POOL</v>
      </c>
    </row>
    <row r="124" spans="1:14" x14ac:dyDescent="0.25">
      <c r="A124" t="s">
        <v>63</v>
      </c>
      <c r="B124" s="1">
        <v>1.0943878114599308</v>
      </c>
      <c r="C124" s="1">
        <v>1.0694292308336184</v>
      </c>
      <c r="D124" s="1">
        <v>1.0124578117334029</v>
      </c>
      <c r="E124" s="1">
        <v>1.0651937789611245</v>
      </c>
      <c r="F124" s="1">
        <v>1.0302428671828598</v>
      </c>
      <c r="G124" s="1">
        <v>0.92657855235592057</v>
      </c>
      <c r="H124" s="1">
        <v>0.88840550374895666</v>
      </c>
      <c r="I124" s="1">
        <v>0.92509516169202632</v>
      </c>
      <c r="J124" t="s">
        <v>199</v>
      </c>
      <c r="K124" t="s">
        <v>204</v>
      </c>
      <c r="L124" t="s">
        <v>209</v>
      </c>
      <c r="M124" t="s">
        <v>225</v>
      </c>
      <c r="N124" t="str">
        <f t="shared" si="1"/>
        <v>ZSGL</v>
      </c>
    </row>
    <row r="125" spans="1:14" x14ac:dyDescent="0.25">
      <c r="A125" t="s">
        <v>343</v>
      </c>
      <c r="B125" s="1">
        <v>1.4906071532419789</v>
      </c>
      <c r="C125" s="1">
        <v>1.1300919577896158</v>
      </c>
      <c r="D125" s="1">
        <v>1.2397702443324792</v>
      </c>
      <c r="E125" s="1">
        <v>1.2332929503597823</v>
      </c>
      <c r="F125" s="1">
        <v>1.1842097058712726</v>
      </c>
      <c r="G125" s="1">
        <v>1.1056468738446719</v>
      </c>
      <c r="H125" s="1">
        <v>1.0267975559711959</v>
      </c>
      <c r="I125" s="1">
        <v>1.1279785022120499</v>
      </c>
      <c r="J125" t="s">
        <v>199</v>
      </c>
      <c r="K125" t="s">
        <v>239</v>
      </c>
      <c r="L125" t="s">
        <v>209</v>
      </c>
      <c r="M125" t="s">
        <v>225</v>
      </c>
      <c r="N125" t="str">
        <f t="shared" si="1"/>
        <v>BFCS</v>
      </c>
    </row>
    <row r="126" spans="1:14" x14ac:dyDescent="0.25">
      <c r="A126" t="s">
        <v>344</v>
      </c>
      <c r="B126" s="1">
        <v>1.5661738930145359</v>
      </c>
      <c r="C126" s="1">
        <v>1.4346209048832705</v>
      </c>
      <c r="D126" s="1">
        <v>1.3532033465026871</v>
      </c>
      <c r="E126" s="1">
        <v>1.3697973132219192</v>
      </c>
      <c r="F126" s="1">
        <v>1.296797264339085</v>
      </c>
      <c r="G126" s="1">
        <v>1.225989473482954</v>
      </c>
      <c r="H126" s="1">
        <v>1.2448757211574382</v>
      </c>
      <c r="I126" s="1">
        <v>1.2620763932313599</v>
      </c>
      <c r="J126" t="s">
        <v>199</v>
      </c>
      <c r="K126" t="s">
        <v>241</v>
      </c>
      <c r="L126" t="s">
        <v>209</v>
      </c>
      <c r="M126" t="s">
        <v>225</v>
      </c>
      <c r="N126" t="str">
        <f t="shared" si="1"/>
        <v>SSSS</v>
      </c>
    </row>
    <row r="127" spans="1:14" x14ac:dyDescent="0.25">
      <c r="A127" t="s">
        <v>64</v>
      </c>
      <c r="B127" s="1">
        <v>1.0444856225105092</v>
      </c>
      <c r="C127" s="1">
        <v>0.96721416878093514</v>
      </c>
      <c r="D127" s="1">
        <v>0.97508170114830972</v>
      </c>
      <c r="E127" s="1">
        <v>0.93375085646945766</v>
      </c>
      <c r="F127" s="1">
        <v>0.96019039529277894</v>
      </c>
      <c r="G127" s="1">
        <v>0.89552718007927556</v>
      </c>
      <c r="H127" s="1">
        <v>0.8278739138755864</v>
      </c>
      <c r="I127" s="1">
        <v>0.87530640734754828</v>
      </c>
      <c r="J127" t="s">
        <v>199</v>
      </c>
      <c r="K127" t="s">
        <v>206</v>
      </c>
      <c r="L127" t="s">
        <v>209</v>
      </c>
      <c r="M127" t="s">
        <v>225</v>
      </c>
      <c r="N127" t="str">
        <f t="shared" si="1"/>
        <v>BMS</v>
      </c>
    </row>
    <row r="128" spans="1:14" x14ac:dyDescent="0.25">
      <c r="A128" t="s">
        <v>276</v>
      </c>
      <c r="B128" s="1">
        <v>1.3318869759659206</v>
      </c>
      <c r="C128" s="1">
        <v>1.2996702869142918</v>
      </c>
      <c r="D128" s="1">
        <v>1.1916804923126412</v>
      </c>
      <c r="E128" s="1">
        <v>1.1996981164408682</v>
      </c>
      <c r="F128" s="1">
        <v>1.2418366643922749</v>
      </c>
      <c r="G128" s="1">
        <v>1.2024099941743454</v>
      </c>
      <c r="H128" s="1">
        <v>1.0905243279012626</v>
      </c>
      <c r="I128" s="1">
        <v>1.2876403672722982</v>
      </c>
      <c r="J128" t="s">
        <v>199</v>
      </c>
      <c r="K128" t="s">
        <v>207</v>
      </c>
      <c r="L128" t="s">
        <v>209</v>
      </c>
      <c r="M128" t="s">
        <v>225</v>
      </c>
      <c r="N128" t="str">
        <f t="shared" si="1"/>
        <v>CC</v>
      </c>
    </row>
    <row r="129" spans="1:14" x14ac:dyDescent="0.25">
      <c r="A129" t="s">
        <v>345</v>
      </c>
      <c r="B129" s="1">
        <v>1.1043662728017265</v>
      </c>
      <c r="C129" s="1">
        <v>1.0467665915599054</v>
      </c>
      <c r="D129" s="1">
        <v>1.1060205095633153</v>
      </c>
      <c r="E129" s="1">
        <v>1.0875985788305393</v>
      </c>
      <c r="F129" s="1">
        <v>1.0230787590546058</v>
      </c>
      <c r="G129" s="1">
        <v>1.0898314761601133</v>
      </c>
      <c r="H129" s="1">
        <v>0.95758296708488522</v>
      </c>
      <c r="I129" s="1">
        <v>1.0352731690105812</v>
      </c>
      <c r="J129" t="s">
        <v>199</v>
      </c>
      <c r="K129" t="s">
        <v>233</v>
      </c>
      <c r="L129" t="s">
        <v>209</v>
      </c>
      <c r="M129" t="s">
        <v>225</v>
      </c>
      <c r="N129" t="str">
        <f t="shared" si="1"/>
        <v>POOL</v>
      </c>
    </row>
    <row r="130" spans="1:14" x14ac:dyDescent="0.25">
      <c r="A130" t="s">
        <v>65</v>
      </c>
      <c r="B130" s="1">
        <v>1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t="s">
        <v>199</v>
      </c>
      <c r="K130" t="s">
        <v>202</v>
      </c>
      <c r="L130" t="s">
        <v>210</v>
      </c>
      <c r="M130" t="s">
        <v>225</v>
      </c>
      <c r="N130" t="str">
        <f t="shared" ref="N130:N193" si="2">VLOOKUP(K130,modelNames,2,FALSE)</f>
        <v>ZS</v>
      </c>
    </row>
    <row r="131" spans="1:14" x14ac:dyDescent="0.25">
      <c r="A131" t="s">
        <v>66</v>
      </c>
      <c r="B131" s="1">
        <v>0.92834062398108097</v>
      </c>
      <c r="C131" s="1">
        <v>0.98811197838455689</v>
      </c>
      <c r="D131" s="1">
        <v>0.92491914409391762</v>
      </c>
      <c r="E131" s="1">
        <v>0.92710098861234624</v>
      </c>
      <c r="F131" s="1">
        <v>0.89835635473428177</v>
      </c>
      <c r="G131" s="1">
        <v>0.9988979896394804</v>
      </c>
      <c r="H131" s="1">
        <v>0.98851416969602479</v>
      </c>
      <c r="I131" s="1">
        <v>0.92532621751652722</v>
      </c>
      <c r="J131" t="s">
        <v>199</v>
      </c>
      <c r="K131" t="s">
        <v>203</v>
      </c>
      <c r="L131" t="s">
        <v>210</v>
      </c>
      <c r="M131" t="s">
        <v>225</v>
      </c>
      <c r="N131" t="str">
        <f t="shared" si="2"/>
        <v>ZS\&amp;POOL</v>
      </c>
    </row>
    <row r="132" spans="1:14" x14ac:dyDescent="0.25">
      <c r="A132" t="s">
        <v>67</v>
      </c>
      <c r="B132" s="1">
        <v>0.95459795504465683</v>
      </c>
      <c r="C132" s="1">
        <v>1.0575827083943079</v>
      </c>
      <c r="D132" s="1">
        <v>1.0348935181750336</v>
      </c>
      <c r="E132" s="1">
        <v>0.9770181410887715</v>
      </c>
      <c r="F132" s="1">
        <v>0.99582846955670368</v>
      </c>
      <c r="G132" s="1">
        <v>1.0455222585814707</v>
      </c>
      <c r="H132" s="1">
        <v>1.0717497221014816</v>
      </c>
      <c r="I132" s="1">
        <v>1.0592549256824666</v>
      </c>
      <c r="J132" t="s">
        <v>199</v>
      </c>
      <c r="K132" t="s">
        <v>204</v>
      </c>
      <c r="L132" t="s">
        <v>210</v>
      </c>
      <c r="M132" t="s">
        <v>225</v>
      </c>
      <c r="N132" t="str">
        <f t="shared" si="2"/>
        <v>ZSGL</v>
      </c>
    </row>
    <row r="133" spans="1:14" x14ac:dyDescent="0.25">
      <c r="A133" t="s">
        <v>346</v>
      </c>
      <c r="B133" s="1">
        <v>1.0907418700578853</v>
      </c>
      <c r="C133" s="1">
        <v>1.0475269987654028</v>
      </c>
      <c r="D133" s="1">
        <v>1.1140905741819065</v>
      </c>
      <c r="E133" s="1">
        <v>1.1191214571345636</v>
      </c>
      <c r="F133" s="1">
        <v>1.1432871556668431</v>
      </c>
      <c r="G133" s="1">
        <v>1.1957751933469174</v>
      </c>
      <c r="H133" s="1">
        <v>1.1222543269686849</v>
      </c>
      <c r="I133" s="1">
        <v>1.0103159387968694</v>
      </c>
      <c r="J133" t="s">
        <v>199</v>
      </c>
      <c r="K133" t="s">
        <v>239</v>
      </c>
      <c r="L133" t="s">
        <v>210</v>
      </c>
      <c r="M133" t="s">
        <v>225</v>
      </c>
      <c r="N133" t="str">
        <f t="shared" si="2"/>
        <v>BFCS</v>
      </c>
    </row>
    <row r="134" spans="1:14" x14ac:dyDescent="0.25">
      <c r="A134" t="s">
        <v>347</v>
      </c>
      <c r="B134" s="1">
        <v>1.4020653911893226</v>
      </c>
      <c r="C134" s="1">
        <v>1.5370371766918078</v>
      </c>
      <c r="D134" s="1">
        <v>1.4654349423606803</v>
      </c>
      <c r="E134" s="1">
        <v>1.4707429251801021</v>
      </c>
      <c r="F134" s="1">
        <v>1.3964990854895856</v>
      </c>
      <c r="G134" s="1">
        <v>1.4782274683307315</v>
      </c>
      <c r="H134" s="1">
        <v>1.5957494914423827</v>
      </c>
      <c r="I134" s="1">
        <v>1.4622959385669621</v>
      </c>
      <c r="J134" t="s">
        <v>199</v>
      </c>
      <c r="K134" t="s">
        <v>241</v>
      </c>
      <c r="L134" t="s">
        <v>210</v>
      </c>
      <c r="M134" t="s">
        <v>225</v>
      </c>
      <c r="N134" t="str">
        <f t="shared" si="2"/>
        <v>SSSS</v>
      </c>
    </row>
    <row r="135" spans="1:14" x14ac:dyDescent="0.25">
      <c r="A135" t="s">
        <v>68</v>
      </c>
      <c r="B135" s="1">
        <v>0.92078328197844439</v>
      </c>
      <c r="C135" s="1">
        <v>0.97232598856003438</v>
      </c>
      <c r="D135" s="1">
        <v>0.90451225131969526</v>
      </c>
      <c r="E135" s="1">
        <v>0.90342550462612436</v>
      </c>
      <c r="F135" s="1">
        <v>0.84985653377980286</v>
      </c>
      <c r="G135" s="1">
        <v>0.91076166881421816</v>
      </c>
      <c r="H135" s="1">
        <v>0.90852589792345273</v>
      </c>
      <c r="I135" s="1">
        <v>0.95526099942897702</v>
      </c>
      <c r="J135" t="s">
        <v>199</v>
      </c>
      <c r="K135" t="s">
        <v>206</v>
      </c>
      <c r="L135" t="s">
        <v>210</v>
      </c>
      <c r="M135" t="s">
        <v>225</v>
      </c>
      <c r="N135" t="str">
        <f t="shared" si="2"/>
        <v>BMS</v>
      </c>
    </row>
    <row r="136" spans="1:14" x14ac:dyDescent="0.25">
      <c r="A136" t="s">
        <v>277</v>
      </c>
      <c r="B136" s="1">
        <v>1.1814623357252161</v>
      </c>
      <c r="C136" s="1">
        <v>1.2982099696970755</v>
      </c>
      <c r="D136" s="1">
        <v>1.1218364767846665</v>
      </c>
      <c r="E136" s="1">
        <v>1.2310346840831277</v>
      </c>
      <c r="F136" s="1">
        <v>1.1838653801013321</v>
      </c>
      <c r="G136" s="1">
        <v>1.2309797770735429</v>
      </c>
      <c r="H136" s="1">
        <v>1.2728300072954792</v>
      </c>
      <c r="I136" s="1">
        <v>1.2082567034328695</v>
      </c>
      <c r="J136" t="s">
        <v>199</v>
      </c>
      <c r="K136" t="s">
        <v>207</v>
      </c>
      <c r="L136" t="s">
        <v>210</v>
      </c>
      <c r="M136" t="s">
        <v>225</v>
      </c>
      <c r="N136" t="str">
        <f t="shared" si="2"/>
        <v>CC</v>
      </c>
    </row>
    <row r="137" spans="1:14" x14ac:dyDescent="0.25">
      <c r="A137" t="s">
        <v>348</v>
      </c>
      <c r="B137" s="1">
        <v>1.0072511737696856</v>
      </c>
      <c r="C137" s="1">
        <v>1.0067949771640652</v>
      </c>
      <c r="D137" s="1">
        <v>0.96020591164744318</v>
      </c>
      <c r="E137" s="1">
        <v>1.0145727063459067</v>
      </c>
      <c r="F137" s="1">
        <v>0.94703062540234073</v>
      </c>
      <c r="G137" s="1">
        <v>1.0650491838728189</v>
      </c>
      <c r="H137" s="1">
        <v>1.0535177798240118</v>
      </c>
      <c r="I137" s="1">
        <v>1.0246337530548379</v>
      </c>
      <c r="J137" t="s">
        <v>199</v>
      </c>
      <c r="K137" t="s">
        <v>233</v>
      </c>
      <c r="L137" t="s">
        <v>210</v>
      </c>
      <c r="M137" t="s">
        <v>225</v>
      </c>
      <c r="N137" t="str">
        <f t="shared" si="2"/>
        <v>POOL</v>
      </c>
    </row>
    <row r="138" spans="1:14" x14ac:dyDescent="0.25">
      <c r="A138" t="s">
        <v>69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t="s">
        <v>199</v>
      </c>
      <c r="K138" t="s">
        <v>202</v>
      </c>
      <c r="L138" t="s">
        <v>211</v>
      </c>
      <c r="M138" t="s">
        <v>225</v>
      </c>
      <c r="N138" t="str">
        <f t="shared" si="2"/>
        <v>ZS</v>
      </c>
    </row>
    <row r="139" spans="1:14" x14ac:dyDescent="0.25">
      <c r="A139" t="s">
        <v>70</v>
      </c>
      <c r="B139" s="1">
        <v>0.95079423872324376</v>
      </c>
      <c r="C139" s="1">
        <v>0.87650785260922981</v>
      </c>
      <c r="D139" s="1">
        <v>0.92624164802707998</v>
      </c>
      <c r="E139" s="1">
        <v>0.92901336794168288</v>
      </c>
      <c r="F139" s="1">
        <v>0.93993159287218497</v>
      </c>
      <c r="G139" s="1">
        <v>0.90094708198779117</v>
      </c>
      <c r="H139" s="1">
        <v>0.91057041517577919</v>
      </c>
      <c r="I139" s="1">
        <v>0.86891295279967995</v>
      </c>
      <c r="J139" t="s">
        <v>199</v>
      </c>
      <c r="K139" t="s">
        <v>203</v>
      </c>
      <c r="L139" t="s">
        <v>211</v>
      </c>
      <c r="M139" t="s">
        <v>225</v>
      </c>
      <c r="N139" t="str">
        <f t="shared" si="2"/>
        <v>ZS\&amp;POOL</v>
      </c>
    </row>
    <row r="140" spans="1:14" x14ac:dyDescent="0.25">
      <c r="A140" t="s">
        <v>71</v>
      </c>
      <c r="B140" s="1">
        <v>1.0386985262865776</v>
      </c>
      <c r="C140" s="1">
        <v>1.0232350158413355</v>
      </c>
      <c r="D140" s="1">
        <v>1.0322714289685497</v>
      </c>
      <c r="E140" s="1">
        <v>1.0122255496862873</v>
      </c>
      <c r="F140" s="1">
        <v>1.1027685610927347</v>
      </c>
      <c r="G140" s="1">
        <v>1.0596032886117572</v>
      </c>
      <c r="H140" s="1">
        <v>1.0318938932708546</v>
      </c>
      <c r="I140" s="1">
        <v>1.0643252954062841</v>
      </c>
      <c r="J140" t="s">
        <v>199</v>
      </c>
      <c r="K140" t="s">
        <v>204</v>
      </c>
      <c r="L140" t="s">
        <v>211</v>
      </c>
      <c r="M140" t="s">
        <v>225</v>
      </c>
      <c r="N140" t="str">
        <f t="shared" si="2"/>
        <v>ZSGL</v>
      </c>
    </row>
    <row r="141" spans="1:14" x14ac:dyDescent="0.25">
      <c r="A141" t="s">
        <v>349</v>
      </c>
      <c r="B141" s="1">
        <v>1.3862522516574582</v>
      </c>
      <c r="C141" s="1">
        <v>1.319272352883889</v>
      </c>
      <c r="D141" s="1">
        <v>1.3416795602119331</v>
      </c>
      <c r="E141" s="1">
        <v>1.2346417751756245</v>
      </c>
      <c r="F141" s="1">
        <v>1.2558673348935301</v>
      </c>
      <c r="G141" s="1">
        <v>1.1535161664549285</v>
      </c>
      <c r="H141" s="1">
        <v>1.0423518394151574</v>
      </c>
      <c r="I141" s="1">
        <v>1.0560045158606794</v>
      </c>
      <c r="J141" t="s">
        <v>199</v>
      </c>
      <c r="K141" t="s">
        <v>239</v>
      </c>
      <c r="L141" t="s">
        <v>211</v>
      </c>
      <c r="M141" t="s">
        <v>225</v>
      </c>
      <c r="N141" t="str">
        <f t="shared" si="2"/>
        <v>BFCS</v>
      </c>
    </row>
    <row r="142" spans="1:14" x14ac:dyDescent="0.25">
      <c r="A142" t="s">
        <v>350</v>
      </c>
      <c r="B142" s="1">
        <v>1.8961912543931343</v>
      </c>
      <c r="C142" s="1">
        <v>1.8148064486097681</v>
      </c>
      <c r="D142" s="1">
        <v>1.7776088190642245</v>
      </c>
      <c r="E142" s="1">
        <v>1.621485906118584</v>
      </c>
      <c r="F142" s="1">
        <v>1.7276410500231476</v>
      </c>
      <c r="G142" s="1">
        <v>1.5318577891594984</v>
      </c>
      <c r="H142" s="1">
        <v>1.5367273052894765</v>
      </c>
      <c r="I142" s="1">
        <v>1.4027167707435573</v>
      </c>
      <c r="J142" t="s">
        <v>199</v>
      </c>
      <c r="K142" t="s">
        <v>241</v>
      </c>
      <c r="L142" t="s">
        <v>211</v>
      </c>
      <c r="M142" t="s">
        <v>225</v>
      </c>
      <c r="N142" t="str">
        <f t="shared" si="2"/>
        <v>SSSS</v>
      </c>
    </row>
    <row r="143" spans="1:14" x14ac:dyDescent="0.25">
      <c r="A143" t="s">
        <v>72</v>
      </c>
      <c r="B143" s="1">
        <v>1.1369732476693886</v>
      </c>
      <c r="C143" s="1">
        <v>1.1822997139419904</v>
      </c>
      <c r="D143" s="1">
        <v>1.1667385329614155</v>
      </c>
      <c r="E143" s="1">
        <v>1.0936628234336878</v>
      </c>
      <c r="F143" s="1">
        <v>1.1225817325265313</v>
      </c>
      <c r="G143" s="1">
        <v>0.97817094666509652</v>
      </c>
      <c r="H143" s="1">
        <v>1.0066207358979158</v>
      </c>
      <c r="I143" s="1">
        <v>0.93765094930245585</v>
      </c>
      <c r="J143" t="s">
        <v>199</v>
      </c>
      <c r="K143" t="s">
        <v>206</v>
      </c>
      <c r="L143" t="s">
        <v>211</v>
      </c>
      <c r="M143" t="s">
        <v>225</v>
      </c>
      <c r="N143" t="str">
        <f t="shared" si="2"/>
        <v>BMS</v>
      </c>
    </row>
    <row r="144" spans="1:14" x14ac:dyDescent="0.25">
      <c r="A144" t="s">
        <v>278</v>
      </c>
      <c r="B144" s="1">
        <v>1.3274490855546703</v>
      </c>
      <c r="C144" s="1">
        <v>1.543239886386889</v>
      </c>
      <c r="D144" s="1">
        <v>1.4979361223967691</v>
      </c>
      <c r="E144" s="1">
        <v>1.3842591665648492</v>
      </c>
      <c r="F144" s="1">
        <v>1.3658413315395959</v>
      </c>
      <c r="G144" s="1">
        <v>1.2529465208811881</v>
      </c>
      <c r="H144" s="1">
        <v>1.2434828727461544</v>
      </c>
      <c r="I144" s="1">
        <v>1.272456076283293</v>
      </c>
      <c r="J144" t="s">
        <v>199</v>
      </c>
      <c r="K144" t="s">
        <v>207</v>
      </c>
      <c r="L144" t="s">
        <v>211</v>
      </c>
      <c r="M144" t="s">
        <v>225</v>
      </c>
      <c r="N144" t="str">
        <f t="shared" si="2"/>
        <v>CC</v>
      </c>
    </row>
    <row r="145" spans="1:14" x14ac:dyDescent="0.25">
      <c r="A145" t="s">
        <v>351</v>
      </c>
      <c r="B145" s="1">
        <v>0.94407927818026049</v>
      </c>
      <c r="C145" s="1">
        <v>0.94469259774852721</v>
      </c>
      <c r="D145" s="1">
        <v>1.0275060674211414</v>
      </c>
      <c r="E145" s="1">
        <v>1.0003804996254042</v>
      </c>
      <c r="F145" s="1">
        <v>1.0479105413962926</v>
      </c>
      <c r="G145" s="1">
        <v>1.110378472539151</v>
      </c>
      <c r="H145" s="1">
        <v>1.1107291049840262</v>
      </c>
      <c r="I145" s="1">
        <v>1.1197797515582886</v>
      </c>
      <c r="J145" t="s">
        <v>199</v>
      </c>
      <c r="K145" t="s">
        <v>233</v>
      </c>
      <c r="L145" t="s">
        <v>211</v>
      </c>
      <c r="M145" t="s">
        <v>225</v>
      </c>
      <c r="N145" t="str">
        <f t="shared" si="2"/>
        <v>POOL</v>
      </c>
    </row>
    <row r="146" spans="1:14" x14ac:dyDescent="0.25">
      <c r="A146" t="s">
        <v>73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t="s">
        <v>199</v>
      </c>
      <c r="K146" t="s">
        <v>202</v>
      </c>
      <c r="L146" t="s">
        <v>212</v>
      </c>
      <c r="M146" t="s">
        <v>225</v>
      </c>
      <c r="N146" t="str">
        <f t="shared" si="2"/>
        <v>ZS</v>
      </c>
    </row>
    <row r="147" spans="1:14" x14ac:dyDescent="0.25">
      <c r="A147" t="s">
        <v>74</v>
      </c>
      <c r="B147" s="1">
        <v>0.92727189923062292</v>
      </c>
      <c r="C147" s="1">
        <v>0.97192035286575928</v>
      </c>
      <c r="D147" s="1">
        <v>0.96228141955683444</v>
      </c>
      <c r="E147" s="1">
        <v>0.94523959454402018</v>
      </c>
      <c r="F147" s="1">
        <v>0.96082441737162894</v>
      </c>
      <c r="G147" s="1">
        <v>0.90399615707409942</v>
      </c>
      <c r="H147" s="1">
        <v>0.94919558829707729</v>
      </c>
      <c r="I147" s="1">
        <v>0.9015583691265554</v>
      </c>
      <c r="J147" t="s">
        <v>199</v>
      </c>
      <c r="K147" t="s">
        <v>203</v>
      </c>
      <c r="L147" t="s">
        <v>212</v>
      </c>
      <c r="M147" t="s">
        <v>225</v>
      </c>
      <c r="N147" t="str">
        <f t="shared" si="2"/>
        <v>ZS\&amp;POOL</v>
      </c>
    </row>
    <row r="148" spans="1:14" x14ac:dyDescent="0.25">
      <c r="A148" t="s">
        <v>75</v>
      </c>
      <c r="B148" s="1">
        <v>0.97411503969283408</v>
      </c>
      <c r="C148" s="1">
        <v>0.98882533157187724</v>
      </c>
      <c r="D148" s="1">
        <v>1.0045506073156771</v>
      </c>
      <c r="E148" s="1">
        <v>0.97707993251823178</v>
      </c>
      <c r="F148" s="1">
        <v>0.99163580626547276</v>
      </c>
      <c r="G148" s="1">
        <v>0.94625933651893057</v>
      </c>
      <c r="H148" s="1">
        <v>0.95419360775846152</v>
      </c>
      <c r="I148" s="1">
        <v>0.8315041194833469</v>
      </c>
      <c r="J148" t="s">
        <v>199</v>
      </c>
      <c r="K148" t="s">
        <v>204</v>
      </c>
      <c r="L148" t="s">
        <v>212</v>
      </c>
      <c r="M148" t="s">
        <v>225</v>
      </c>
      <c r="N148" t="str">
        <f t="shared" si="2"/>
        <v>ZSGL</v>
      </c>
    </row>
    <row r="149" spans="1:14" x14ac:dyDescent="0.25">
      <c r="A149" t="s">
        <v>352</v>
      </c>
      <c r="B149" s="1">
        <v>1.2052853574910327</v>
      </c>
      <c r="C149" s="1">
        <v>1.0412246999618961</v>
      </c>
      <c r="D149" s="1">
        <v>1.1446705493369898</v>
      </c>
      <c r="E149" s="1">
        <v>1.0475845528990904</v>
      </c>
      <c r="F149" s="1">
        <v>0.98912144049760908</v>
      </c>
      <c r="G149" s="1">
        <v>1.0114942804524509</v>
      </c>
      <c r="H149" s="1">
        <v>0.94274908232531374</v>
      </c>
      <c r="I149" s="1">
        <v>0.92974024960332124</v>
      </c>
      <c r="J149" t="s">
        <v>199</v>
      </c>
      <c r="K149" t="s">
        <v>239</v>
      </c>
      <c r="L149" t="s">
        <v>212</v>
      </c>
      <c r="M149" t="s">
        <v>225</v>
      </c>
      <c r="N149" t="str">
        <f t="shared" si="2"/>
        <v>BFCS</v>
      </c>
    </row>
    <row r="150" spans="1:14" x14ac:dyDescent="0.25">
      <c r="A150" t="s">
        <v>353</v>
      </c>
      <c r="B150" s="1">
        <v>1.3848394800668706</v>
      </c>
      <c r="C150" s="1">
        <v>1.2789195234841924</v>
      </c>
      <c r="D150" s="1">
        <v>1.2195114175936603</v>
      </c>
      <c r="E150" s="1">
        <v>1.1913872005020207</v>
      </c>
      <c r="F150" s="1">
        <v>1.1633737835391909</v>
      </c>
      <c r="G150" s="1">
        <v>1.0915127187259395</v>
      </c>
      <c r="H150" s="1">
        <v>1.0702232668405982</v>
      </c>
      <c r="I150" s="1">
        <v>0.9733478553725553</v>
      </c>
      <c r="J150" t="s">
        <v>199</v>
      </c>
      <c r="K150" t="s">
        <v>241</v>
      </c>
      <c r="L150" t="s">
        <v>212</v>
      </c>
      <c r="M150" t="s">
        <v>225</v>
      </c>
      <c r="N150" t="str">
        <f t="shared" si="2"/>
        <v>SSSS</v>
      </c>
    </row>
    <row r="151" spans="1:14" x14ac:dyDescent="0.25">
      <c r="A151" t="s">
        <v>76</v>
      </c>
      <c r="B151" s="1">
        <v>1.3628336453042873</v>
      </c>
      <c r="C151" s="1">
        <v>1.1935914623604518</v>
      </c>
      <c r="D151" s="1">
        <v>1.161238838106422</v>
      </c>
      <c r="E151" s="1">
        <v>1.0835933078298372</v>
      </c>
      <c r="F151" s="1">
        <v>1.0698753916462798</v>
      </c>
      <c r="G151" s="1">
        <v>1.0161611292056054</v>
      </c>
      <c r="H151" s="1">
        <v>1.0836798822907034</v>
      </c>
      <c r="I151" s="1">
        <v>0.98555501624814745</v>
      </c>
      <c r="J151" t="s">
        <v>199</v>
      </c>
      <c r="K151" t="s">
        <v>206</v>
      </c>
      <c r="L151" t="s">
        <v>212</v>
      </c>
      <c r="M151" t="s">
        <v>225</v>
      </c>
      <c r="N151" t="str">
        <f t="shared" si="2"/>
        <v>BMS</v>
      </c>
    </row>
    <row r="152" spans="1:14" x14ac:dyDescent="0.25">
      <c r="A152" t="s">
        <v>279</v>
      </c>
      <c r="B152" s="1">
        <v>1.3777160325666948</v>
      </c>
      <c r="C152" s="1">
        <v>1.2118014763392055</v>
      </c>
      <c r="D152" s="1">
        <v>1.1389199573361526</v>
      </c>
      <c r="E152" s="1">
        <v>1.0550678377617546</v>
      </c>
      <c r="F152" s="1">
        <v>1.0810569564238846</v>
      </c>
      <c r="G152" s="1">
        <v>1.0432879466075717</v>
      </c>
      <c r="H152" s="1">
        <v>1.0169149621580773</v>
      </c>
      <c r="I152" s="1">
        <v>0.96683388512163104</v>
      </c>
      <c r="J152" t="s">
        <v>199</v>
      </c>
      <c r="K152" t="s">
        <v>207</v>
      </c>
      <c r="L152" t="s">
        <v>212</v>
      </c>
      <c r="M152" t="s">
        <v>225</v>
      </c>
      <c r="N152" t="str">
        <f t="shared" si="2"/>
        <v>CC</v>
      </c>
    </row>
    <row r="153" spans="1:14" x14ac:dyDescent="0.25">
      <c r="A153" t="s">
        <v>354</v>
      </c>
      <c r="B153" s="1">
        <v>0.92391860469306131</v>
      </c>
      <c r="C153" s="1">
        <v>0.97872708836097011</v>
      </c>
      <c r="D153" s="1">
        <v>1.008685778079548</v>
      </c>
      <c r="E153" s="1">
        <v>0.98076102032310641</v>
      </c>
      <c r="F153" s="1">
        <v>1.0342743158887908</v>
      </c>
      <c r="G153" s="1">
        <v>1.0075998807828639</v>
      </c>
      <c r="H153" s="1">
        <v>0.96623734003978601</v>
      </c>
      <c r="I153" s="1">
        <v>0.89790097612206399</v>
      </c>
      <c r="J153" t="s">
        <v>199</v>
      </c>
      <c r="K153" t="s">
        <v>233</v>
      </c>
      <c r="L153" t="s">
        <v>212</v>
      </c>
      <c r="M153" t="s">
        <v>225</v>
      </c>
      <c r="N153" t="str">
        <f t="shared" si="2"/>
        <v>POOL</v>
      </c>
    </row>
    <row r="154" spans="1:14" x14ac:dyDescent="0.25">
      <c r="A154" t="s">
        <v>77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t="s">
        <v>199</v>
      </c>
      <c r="K154" t="s">
        <v>202</v>
      </c>
      <c r="L154" t="s">
        <v>213</v>
      </c>
      <c r="M154" t="s">
        <v>225</v>
      </c>
      <c r="N154" t="str">
        <f t="shared" si="2"/>
        <v>ZS</v>
      </c>
    </row>
    <row r="155" spans="1:14" x14ac:dyDescent="0.25">
      <c r="A155" t="s">
        <v>78</v>
      </c>
      <c r="B155" s="1">
        <v>0.9630250236701311</v>
      </c>
      <c r="C155" s="1">
        <v>0.92442360705109228</v>
      </c>
      <c r="D155" s="1">
        <v>0.95923341910947113</v>
      </c>
      <c r="E155" s="1">
        <v>1.0080558185736646</v>
      </c>
      <c r="F155" s="1">
        <v>1.0061236352512386</v>
      </c>
      <c r="G155" s="1">
        <v>0.97197601637836206</v>
      </c>
      <c r="H155" s="1">
        <v>0.97022468850610011</v>
      </c>
      <c r="I155" s="1">
        <v>1.0097652868193272</v>
      </c>
      <c r="J155" t="s">
        <v>199</v>
      </c>
      <c r="K155" t="s">
        <v>203</v>
      </c>
      <c r="L155" t="s">
        <v>213</v>
      </c>
      <c r="M155" t="s">
        <v>225</v>
      </c>
      <c r="N155" t="str">
        <f t="shared" si="2"/>
        <v>ZS\&amp;POOL</v>
      </c>
    </row>
    <row r="156" spans="1:14" x14ac:dyDescent="0.25">
      <c r="A156" t="s">
        <v>79</v>
      </c>
      <c r="B156" s="1">
        <v>0.97801698683209903</v>
      </c>
      <c r="C156" s="1">
        <v>0.97954593097763265</v>
      </c>
      <c r="D156" s="1">
        <v>0.99565877435905781</v>
      </c>
      <c r="E156" s="1">
        <v>0.98453054930013162</v>
      </c>
      <c r="F156" s="1">
        <v>1.0370755618110992</v>
      </c>
      <c r="G156" s="1">
        <v>1.003565853534391</v>
      </c>
      <c r="H156" s="1">
        <v>0.9623717757946989</v>
      </c>
      <c r="I156" s="1">
        <v>1.030923920879242</v>
      </c>
      <c r="J156" t="s">
        <v>199</v>
      </c>
      <c r="K156" t="s">
        <v>204</v>
      </c>
      <c r="L156" t="s">
        <v>213</v>
      </c>
      <c r="M156" t="s">
        <v>225</v>
      </c>
      <c r="N156" t="str">
        <f t="shared" si="2"/>
        <v>ZSGL</v>
      </c>
    </row>
    <row r="157" spans="1:14" x14ac:dyDescent="0.25">
      <c r="A157" t="s">
        <v>355</v>
      </c>
      <c r="B157" s="1">
        <v>1.0240567484346117</v>
      </c>
      <c r="C157" s="1">
        <v>0.93386766238712626</v>
      </c>
      <c r="D157" s="1">
        <v>0.97094092195426662</v>
      </c>
      <c r="E157" s="1">
        <v>1.0257494965677052</v>
      </c>
      <c r="F157" s="1">
        <v>1.058430896013649</v>
      </c>
      <c r="G157" s="1">
        <v>1.012445264629747</v>
      </c>
      <c r="H157" s="1">
        <v>0.95466503011209958</v>
      </c>
      <c r="I157" s="1">
        <v>1.0585186467226169</v>
      </c>
      <c r="J157" t="s">
        <v>199</v>
      </c>
      <c r="K157" t="s">
        <v>239</v>
      </c>
      <c r="L157" t="s">
        <v>213</v>
      </c>
      <c r="M157" t="s">
        <v>225</v>
      </c>
      <c r="N157" t="str">
        <f t="shared" si="2"/>
        <v>BFCS</v>
      </c>
    </row>
    <row r="158" spans="1:14" x14ac:dyDescent="0.25">
      <c r="A158" t="s">
        <v>356</v>
      </c>
      <c r="B158" s="1">
        <v>1.0010902559620725</v>
      </c>
      <c r="C158" s="1">
        <v>0.98556633404563931</v>
      </c>
      <c r="D158" s="1">
        <v>0.95321247341155169</v>
      </c>
      <c r="E158" s="1">
        <v>1.0416095142250437</v>
      </c>
      <c r="F158" s="1">
        <v>1.0882205966167871</v>
      </c>
      <c r="G158" s="1">
        <v>1.0215820319007038</v>
      </c>
      <c r="H158" s="1">
        <v>1.0617072919374275</v>
      </c>
      <c r="I158" s="1">
        <v>1.0265564690931579</v>
      </c>
      <c r="J158" t="s">
        <v>199</v>
      </c>
      <c r="K158" t="s">
        <v>241</v>
      </c>
      <c r="L158" t="s">
        <v>213</v>
      </c>
      <c r="M158" t="s">
        <v>225</v>
      </c>
      <c r="N158" t="str">
        <f t="shared" si="2"/>
        <v>SSSS</v>
      </c>
    </row>
    <row r="159" spans="1:14" x14ac:dyDescent="0.25">
      <c r="A159" t="s">
        <v>80</v>
      </c>
      <c r="B159" s="1">
        <v>1.0621866515346068</v>
      </c>
      <c r="C159" s="1">
        <v>1.0293913307695925</v>
      </c>
      <c r="D159" s="1">
        <v>0.98002520585580144</v>
      </c>
      <c r="E159" s="1">
        <v>1.0505096733250316</v>
      </c>
      <c r="F159" s="1">
        <v>1.0156228749036087</v>
      </c>
      <c r="G159" s="1">
        <v>0.95752935047714183</v>
      </c>
      <c r="H159" s="1">
        <v>1.007662107862431</v>
      </c>
      <c r="I159" s="1">
        <v>1.0905292313292492</v>
      </c>
      <c r="J159" t="s">
        <v>199</v>
      </c>
      <c r="K159" t="s">
        <v>206</v>
      </c>
      <c r="L159" t="s">
        <v>213</v>
      </c>
      <c r="M159" t="s">
        <v>225</v>
      </c>
      <c r="N159" t="str">
        <f t="shared" si="2"/>
        <v>BMS</v>
      </c>
    </row>
    <row r="160" spans="1:14" x14ac:dyDescent="0.25">
      <c r="A160" t="s">
        <v>280</v>
      </c>
      <c r="B160" s="1">
        <v>0.98834586040548</v>
      </c>
      <c r="C160" s="1">
        <v>1.0037914682797842</v>
      </c>
      <c r="D160" s="1">
        <v>1.0084879996953442</v>
      </c>
      <c r="E160" s="1">
        <v>1.0551499296511766</v>
      </c>
      <c r="F160" s="1">
        <v>1.0470314488282528</v>
      </c>
      <c r="G160" s="1">
        <v>1.0563149375364411</v>
      </c>
      <c r="H160" s="1">
        <v>1.0483525247113858</v>
      </c>
      <c r="I160" s="1">
        <v>1.2004798944153821</v>
      </c>
      <c r="J160" t="s">
        <v>199</v>
      </c>
      <c r="K160" t="s">
        <v>207</v>
      </c>
      <c r="L160" t="s">
        <v>213</v>
      </c>
      <c r="M160" t="s">
        <v>225</v>
      </c>
      <c r="N160" t="str">
        <f t="shared" si="2"/>
        <v>CC</v>
      </c>
    </row>
    <row r="161" spans="1:14" x14ac:dyDescent="0.25">
      <c r="A161" t="s">
        <v>357</v>
      </c>
      <c r="B161" s="1">
        <v>0.98469958982591921</v>
      </c>
      <c r="C161" s="1">
        <v>0.92616925140699102</v>
      </c>
      <c r="D161" s="1">
        <v>0.97590032991031206</v>
      </c>
      <c r="E161" s="1">
        <v>0.96725637724820501</v>
      </c>
      <c r="F161" s="1">
        <v>0.97522805245409594</v>
      </c>
      <c r="G161" s="1">
        <v>0.97028732850706723</v>
      </c>
      <c r="H161" s="1">
        <v>0.94930768503554053</v>
      </c>
      <c r="I161" s="1">
        <v>1.0674516738125785</v>
      </c>
      <c r="J161" t="s">
        <v>199</v>
      </c>
      <c r="K161" t="s">
        <v>233</v>
      </c>
      <c r="L161" t="s">
        <v>213</v>
      </c>
      <c r="M161" t="s">
        <v>225</v>
      </c>
      <c r="N161" t="str">
        <f t="shared" si="2"/>
        <v>POOL</v>
      </c>
    </row>
    <row r="162" spans="1:14" x14ac:dyDescent="0.25">
      <c r="A162" t="s">
        <v>81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t="s">
        <v>199</v>
      </c>
      <c r="K162" t="s">
        <v>202</v>
      </c>
      <c r="L162" t="s">
        <v>214</v>
      </c>
      <c r="M162" t="s">
        <v>225</v>
      </c>
      <c r="N162" t="str">
        <f t="shared" si="2"/>
        <v>ZS</v>
      </c>
    </row>
    <row r="163" spans="1:14" x14ac:dyDescent="0.25">
      <c r="A163" t="s">
        <v>82</v>
      </c>
      <c r="B163" s="1">
        <v>1.0548707438298546</v>
      </c>
      <c r="C163" s="1">
        <v>1.004007492922983</v>
      </c>
      <c r="D163" s="1">
        <v>0.99242246548902102</v>
      </c>
      <c r="E163" s="1">
        <v>0.91514746270219094</v>
      </c>
      <c r="F163" s="1">
        <v>1.0239254239752755</v>
      </c>
      <c r="G163" s="1">
        <v>1.0322723226624269</v>
      </c>
      <c r="H163" s="1">
        <v>1.0717553631651953</v>
      </c>
      <c r="I163" s="1">
        <v>1.0701669715448447</v>
      </c>
      <c r="J163" t="s">
        <v>199</v>
      </c>
      <c r="K163" t="s">
        <v>203</v>
      </c>
      <c r="L163" t="s">
        <v>214</v>
      </c>
      <c r="M163" t="s">
        <v>225</v>
      </c>
      <c r="N163" t="str">
        <f t="shared" si="2"/>
        <v>ZS\&amp;POOL</v>
      </c>
    </row>
    <row r="164" spans="1:14" x14ac:dyDescent="0.25">
      <c r="A164" t="s">
        <v>83</v>
      </c>
      <c r="B164" s="1">
        <v>1.0502046840127079</v>
      </c>
      <c r="C164" s="1">
        <v>1.0386698470501212</v>
      </c>
      <c r="D164" s="1">
        <v>1.0039231006565004</v>
      </c>
      <c r="E164" s="1">
        <v>0.97394168049021801</v>
      </c>
      <c r="F164" s="1">
        <v>1.0891520782893231</v>
      </c>
      <c r="G164" s="1">
        <v>1.0333643241517709</v>
      </c>
      <c r="H164" s="1">
        <v>1.0352408411948524</v>
      </c>
      <c r="I164" s="1">
        <v>1.0581364973915797</v>
      </c>
      <c r="J164" t="s">
        <v>199</v>
      </c>
      <c r="K164" t="s">
        <v>204</v>
      </c>
      <c r="L164" t="s">
        <v>214</v>
      </c>
      <c r="M164" t="s">
        <v>225</v>
      </c>
      <c r="N164" t="str">
        <f t="shared" si="2"/>
        <v>ZSGL</v>
      </c>
    </row>
    <row r="165" spans="1:14" x14ac:dyDescent="0.25">
      <c r="A165" t="s">
        <v>358</v>
      </c>
      <c r="B165" s="1">
        <v>1.1086496489085298</v>
      </c>
      <c r="C165" s="1">
        <v>1.0875851284818057</v>
      </c>
      <c r="D165" s="1">
        <v>1.0521527043669854</v>
      </c>
      <c r="E165" s="1">
        <v>1.0942705540935898</v>
      </c>
      <c r="F165" s="1">
        <v>1.1497980558863095</v>
      </c>
      <c r="G165" s="1">
        <v>0.98718104266408835</v>
      </c>
      <c r="H165" s="1">
        <v>1.0857163347722847</v>
      </c>
      <c r="I165" s="1">
        <v>1.1525286943229032</v>
      </c>
      <c r="J165" t="s">
        <v>199</v>
      </c>
      <c r="K165" t="s">
        <v>239</v>
      </c>
      <c r="L165" t="s">
        <v>214</v>
      </c>
      <c r="M165" t="s">
        <v>225</v>
      </c>
      <c r="N165" t="str">
        <f t="shared" si="2"/>
        <v>BFCS</v>
      </c>
    </row>
    <row r="166" spans="1:14" x14ac:dyDescent="0.25">
      <c r="A166" t="s">
        <v>359</v>
      </c>
      <c r="B166" s="1">
        <v>1.1026956862218646</v>
      </c>
      <c r="C166" s="1">
        <v>1.0217324384958393</v>
      </c>
      <c r="D166" s="1">
        <v>1.028154578294592</v>
      </c>
      <c r="E166" s="1">
        <v>1.1119623264320679</v>
      </c>
      <c r="F166" s="1">
        <v>1.1768457077080645</v>
      </c>
      <c r="G166" s="1">
        <v>1.1563817999515869</v>
      </c>
      <c r="H166" s="1">
        <v>1.2237558018084151</v>
      </c>
      <c r="I166" s="1">
        <v>1.1831597120861408</v>
      </c>
      <c r="J166" t="s">
        <v>199</v>
      </c>
      <c r="K166" t="s">
        <v>241</v>
      </c>
      <c r="L166" t="s">
        <v>214</v>
      </c>
      <c r="M166" t="s">
        <v>225</v>
      </c>
      <c r="N166" t="str">
        <f t="shared" si="2"/>
        <v>SSSS</v>
      </c>
    </row>
    <row r="167" spans="1:14" x14ac:dyDescent="0.25">
      <c r="A167" t="s">
        <v>84</v>
      </c>
      <c r="B167" s="1">
        <v>0.98100250051327875</v>
      </c>
      <c r="C167" s="1">
        <v>1.0026617679341245</v>
      </c>
      <c r="D167" s="1">
        <v>0.97601176470216522</v>
      </c>
      <c r="E167" s="1">
        <v>0.98595106473832994</v>
      </c>
      <c r="F167" s="1">
        <v>0.97908014186200931</v>
      </c>
      <c r="G167" s="1">
        <v>0.92899460958662938</v>
      </c>
      <c r="H167" s="1">
        <v>0.98003851660065533</v>
      </c>
      <c r="I167" s="1">
        <v>0.99971706545469452</v>
      </c>
      <c r="J167" t="s">
        <v>199</v>
      </c>
      <c r="K167" t="s">
        <v>206</v>
      </c>
      <c r="L167" t="s">
        <v>214</v>
      </c>
      <c r="M167" t="s">
        <v>225</v>
      </c>
      <c r="N167" t="str">
        <f t="shared" si="2"/>
        <v>BMS</v>
      </c>
    </row>
    <row r="168" spans="1:14" x14ac:dyDescent="0.25">
      <c r="A168" t="s">
        <v>281</v>
      </c>
      <c r="B168" s="1">
        <v>1.0509559941465982</v>
      </c>
      <c r="C168" s="1">
        <v>1.1787647209085628</v>
      </c>
      <c r="D168" s="1">
        <v>1.1220418721392416</v>
      </c>
      <c r="E168" s="1">
        <v>1.0855613442265226</v>
      </c>
      <c r="F168" s="1">
        <v>1.1766850407313156</v>
      </c>
      <c r="G168" s="1">
        <v>1.2047362369154693</v>
      </c>
      <c r="H168" s="1">
        <v>1.2476686124069356</v>
      </c>
      <c r="I168" s="1">
        <v>1.3799642614469241</v>
      </c>
      <c r="J168" t="s">
        <v>199</v>
      </c>
      <c r="K168" t="s">
        <v>207</v>
      </c>
      <c r="L168" t="s">
        <v>214</v>
      </c>
      <c r="M168" t="s">
        <v>225</v>
      </c>
      <c r="N168" t="str">
        <f t="shared" si="2"/>
        <v>CC</v>
      </c>
    </row>
    <row r="169" spans="1:14" x14ac:dyDescent="0.25">
      <c r="A169" t="s">
        <v>360</v>
      </c>
      <c r="B169" s="1">
        <v>1.0392936629443443</v>
      </c>
      <c r="C169" s="1">
        <v>1.0240683560976216</v>
      </c>
      <c r="D169" s="1">
        <v>1.0716117070731026</v>
      </c>
      <c r="E169" s="1">
        <v>1.0017236502738605</v>
      </c>
      <c r="F169" s="1">
        <v>1.0995262889162951</v>
      </c>
      <c r="G169" s="1">
        <v>1.1143233656411562</v>
      </c>
      <c r="H169" s="1">
        <v>1.1026079990244009</v>
      </c>
      <c r="I169" s="1">
        <v>1.1170939590321987</v>
      </c>
      <c r="J169" t="s">
        <v>199</v>
      </c>
      <c r="K169" t="s">
        <v>233</v>
      </c>
      <c r="L169" t="s">
        <v>214</v>
      </c>
      <c r="M169" t="s">
        <v>225</v>
      </c>
      <c r="N169" t="str">
        <f t="shared" si="2"/>
        <v>POOL</v>
      </c>
    </row>
    <row r="170" spans="1:14" x14ac:dyDescent="0.25">
      <c r="A170" t="s">
        <v>85</v>
      </c>
      <c r="B170" s="1">
        <v>1</v>
      </c>
      <c r="C170" s="1">
        <v>1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t="s">
        <v>199</v>
      </c>
      <c r="K170" t="s">
        <v>202</v>
      </c>
      <c r="L170" t="s">
        <v>215</v>
      </c>
      <c r="M170" t="s">
        <v>225</v>
      </c>
      <c r="N170" t="str">
        <f t="shared" si="2"/>
        <v>ZS</v>
      </c>
    </row>
    <row r="171" spans="1:14" x14ac:dyDescent="0.25">
      <c r="A171" t="s">
        <v>86</v>
      </c>
      <c r="B171" s="1">
        <v>0.97825112946109227</v>
      </c>
      <c r="C171" s="1">
        <v>0.81503614783556022</v>
      </c>
      <c r="D171" s="1">
        <v>0.84137506706332144</v>
      </c>
      <c r="E171" s="1">
        <v>1.0636182814068806</v>
      </c>
      <c r="F171" s="1">
        <v>1.0606451979427576</v>
      </c>
      <c r="G171" s="1">
        <v>1.1043006980033696</v>
      </c>
      <c r="H171" s="1">
        <v>1.1622587237085333</v>
      </c>
      <c r="I171" s="1">
        <v>1.190075186011365</v>
      </c>
      <c r="J171" t="s">
        <v>199</v>
      </c>
      <c r="K171" t="s">
        <v>203</v>
      </c>
      <c r="L171" t="s">
        <v>215</v>
      </c>
      <c r="M171" t="s">
        <v>225</v>
      </c>
      <c r="N171" t="str">
        <f t="shared" si="2"/>
        <v>ZS\&amp;POOL</v>
      </c>
    </row>
    <row r="172" spans="1:14" x14ac:dyDescent="0.25">
      <c r="A172" t="s">
        <v>87</v>
      </c>
      <c r="B172" s="1">
        <v>1.1260936135193491</v>
      </c>
      <c r="C172" s="1">
        <v>0.8827717866629784</v>
      </c>
      <c r="D172" s="1">
        <v>0.8026968509166883</v>
      </c>
      <c r="E172" s="1">
        <v>1.0067668006546233</v>
      </c>
      <c r="F172" s="1">
        <v>0.99086177377533335</v>
      </c>
      <c r="G172" s="1">
        <v>1.0018593758772445</v>
      </c>
      <c r="H172" s="1">
        <v>1.041463938372116</v>
      </c>
      <c r="I172" s="1">
        <v>1.142755148363072</v>
      </c>
      <c r="J172" t="s">
        <v>199</v>
      </c>
      <c r="K172" t="s">
        <v>204</v>
      </c>
      <c r="L172" t="s">
        <v>215</v>
      </c>
      <c r="M172" t="s">
        <v>225</v>
      </c>
      <c r="N172" t="str">
        <f t="shared" si="2"/>
        <v>ZSGL</v>
      </c>
    </row>
    <row r="173" spans="1:14" x14ac:dyDescent="0.25">
      <c r="A173" t="s">
        <v>361</v>
      </c>
      <c r="B173" s="1">
        <v>2.1983192651949355</v>
      </c>
      <c r="C173" s="1">
        <v>1.3332570475765324</v>
      </c>
      <c r="D173" s="1">
        <v>1.4178751567271637</v>
      </c>
      <c r="E173" s="1">
        <v>1.2665124587668108</v>
      </c>
      <c r="F173" s="1">
        <v>1.1311511130950396</v>
      </c>
      <c r="G173" s="1">
        <v>1.1151731583954227</v>
      </c>
      <c r="H173" s="1">
        <v>1.1604119096108132</v>
      </c>
      <c r="I173" s="1">
        <v>1.0222153955977769</v>
      </c>
      <c r="J173" t="s">
        <v>199</v>
      </c>
      <c r="K173" t="s">
        <v>239</v>
      </c>
      <c r="L173" t="s">
        <v>215</v>
      </c>
      <c r="M173" t="s">
        <v>225</v>
      </c>
      <c r="N173" t="str">
        <f t="shared" si="2"/>
        <v>BFCS</v>
      </c>
    </row>
    <row r="174" spans="1:14" x14ac:dyDescent="0.25">
      <c r="A174" t="s">
        <v>362</v>
      </c>
      <c r="B174" s="1">
        <v>1.9777603295261925</v>
      </c>
      <c r="C174" s="1">
        <v>1.7508039310071655</v>
      </c>
      <c r="D174" s="1">
        <v>1.6791721605570504</v>
      </c>
      <c r="E174" s="1">
        <v>1.5615930613531741</v>
      </c>
      <c r="F174" s="1">
        <v>1.3384323614386671</v>
      </c>
      <c r="G174" s="1">
        <v>1.278172665669989</v>
      </c>
      <c r="H174" s="1">
        <v>1.3087827055762935</v>
      </c>
      <c r="I174" s="1">
        <v>1.2974979466933783</v>
      </c>
      <c r="J174" t="s">
        <v>199</v>
      </c>
      <c r="K174" t="s">
        <v>241</v>
      </c>
      <c r="L174" t="s">
        <v>215</v>
      </c>
      <c r="M174" t="s">
        <v>225</v>
      </c>
      <c r="N174" t="str">
        <f t="shared" si="2"/>
        <v>SSSS</v>
      </c>
    </row>
    <row r="175" spans="1:14" x14ac:dyDescent="0.25">
      <c r="A175" t="s">
        <v>88</v>
      </c>
      <c r="B175" s="1">
        <v>1.6483656054394407</v>
      </c>
      <c r="C175" s="1">
        <v>1.1604617228960366</v>
      </c>
      <c r="D175" s="1">
        <v>1.1754315279828584</v>
      </c>
      <c r="E175" s="1">
        <v>1.0325793362389721</v>
      </c>
      <c r="F175" s="1">
        <v>0.90959158158010966</v>
      </c>
      <c r="G175" s="1">
        <v>0.93646455480375268</v>
      </c>
      <c r="H175" s="1">
        <v>0.92477867978792827</v>
      </c>
      <c r="I175" s="1">
        <v>0.92053596755235223</v>
      </c>
      <c r="J175" t="s">
        <v>199</v>
      </c>
      <c r="K175" t="s">
        <v>206</v>
      </c>
      <c r="L175" t="s">
        <v>215</v>
      </c>
      <c r="M175" t="s">
        <v>225</v>
      </c>
      <c r="N175" t="str">
        <f t="shared" si="2"/>
        <v>BMS</v>
      </c>
    </row>
    <row r="176" spans="1:14" x14ac:dyDescent="0.25">
      <c r="A176" t="s">
        <v>282</v>
      </c>
      <c r="B176" s="1">
        <v>3.2318128325258222</v>
      </c>
      <c r="C176" s="1">
        <v>1.90611153461545</v>
      </c>
      <c r="D176" s="1">
        <v>1.786795388600626</v>
      </c>
      <c r="E176" s="1">
        <v>1.5462521631246813</v>
      </c>
      <c r="F176" s="1">
        <v>1.4194957103974795</v>
      </c>
      <c r="G176" s="1">
        <v>1.3792505714860139</v>
      </c>
      <c r="H176" s="1">
        <v>1.4139075081387031</v>
      </c>
      <c r="I176" s="1">
        <v>1.332965689577702</v>
      </c>
      <c r="J176" t="s">
        <v>199</v>
      </c>
      <c r="K176" t="s">
        <v>207</v>
      </c>
      <c r="L176" t="s">
        <v>215</v>
      </c>
      <c r="M176" t="s">
        <v>225</v>
      </c>
      <c r="N176" t="str">
        <f t="shared" si="2"/>
        <v>CC</v>
      </c>
    </row>
    <row r="177" spans="1:14" x14ac:dyDescent="0.25">
      <c r="A177" t="s">
        <v>363</v>
      </c>
      <c r="B177" s="1">
        <v>1.0442817113568663</v>
      </c>
      <c r="C177" s="1">
        <v>0.95545706317273249</v>
      </c>
      <c r="D177" s="1">
        <v>0.842599975653888</v>
      </c>
      <c r="E177" s="1">
        <v>0.96691724481416774</v>
      </c>
      <c r="F177" s="1">
        <v>0.99553589081416316</v>
      </c>
      <c r="G177" s="1">
        <v>1.0257619669698685</v>
      </c>
      <c r="H177" s="1">
        <v>1.1190360456391728</v>
      </c>
      <c r="I177" s="1">
        <v>1.0876319438645672</v>
      </c>
      <c r="J177" t="s">
        <v>199</v>
      </c>
      <c r="K177" t="s">
        <v>233</v>
      </c>
      <c r="L177" t="s">
        <v>215</v>
      </c>
      <c r="M177" t="s">
        <v>225</v>
      </c>
      <c r="N177" t="str">
        <f t="shared" si="2"/>
        <v>POOL</v>
      </c>
    </row>
    <row r="178" spans="1:14" x14ac:dyDescent="0.25">
      <c r="A178" t="s">
        <v>89</v>
      </c>
      <c r="B178" s="1">
        <v>1</v>
      </c>
      <c r="C178" s="1"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t="s">
        <v>199</v>
      </c>
      <c r="K178" t="s">
        <v>202</v>
      </c>
      <c r="L178" t="s">
        <v>216</v>
      </c>
      <c r="M178" t="s">
        <v>225</v>
      </c>
      <c r="N178" t="str">
        <f t="shared" si="2"/>
        <v>ZS</v>
      </c>
    </row>
    <row r="179" spans="1:14" x14ac:dyDescent="0.25">
      <c r="A179" t="s">
        <v>90</v>
      </c>
      <c r="B179" s="1">
        <v>0.86589209004018897</v>
      </c>
      <c r="C179" s="1">
        <v>0.8911172161420895</v>
      </c>
      <c r="D179" s="1">
        <v>0.9682627650020621</v>
      </c>
      <c r="E179" s="1">
        <v>1.0502178224266194</v>
      </c>
      <c r="F179" s="1">
        <v>1.0553084665182033</v>
      </c>
      <c r="G179" s="1">
        <v>1.0354310959620345</v>
      </c>
      <c r="H179" s="1">
        <v>1.0806882906142103</v>
      </c>
      <c r="I179" s="1">
        <v>1.1248328712546813</v>
      </c>
      <c r="J179" t="s">
        <v>199</v>
      </c>
      <c r="K179" t="s">
        <v>203</v>
      </c>
      <c r="L179" t="s">
        <v>216</v>
      </c>
      <c r="M179" t="s">
        <v>225</v>
      </c>
      <c r="N179" t="str">
        <f t="shared" si="2"/>
        <v>ZS\&amp;POOL</v>
      </c>
    </row>
    <row r="180" spans="1:14" x14ac:dyDescent="0.25">
      <c r="A180" t="s">
        <v>91</v>
      </c>
      <c r="B180" s="1">
        <v>1.0198843797159614</v>
      </c>
      <c r="C180" s="1">
        <v>0.97439729108670059</v>
      </c>
      <c r="D180" s="1">
        <v>0.99038075299809281</v>
      </c>
      <c r="E180" s="1">
        <v>1.0344227513224304</v>
      </c>
      <c r="F180" s="1">
        <v>1.0063363991712135</v>
      </c>
      <c r="G180" s="1">
        <v>0.97052308907882789</v>
      </c>
      <c r="H180" s="1">
        <v>1.0238319716685202</v>
      </c>
      <c r="I180" s="1">
        <v>1.0577486693024722</v>
      </c>
      <c r="J180" t="s">
        <v>199</v>
      </c>
      <c r="K180" t="s">
        <v>204</v>
      </c>
      <c r="L180" t="s">
        <v>216</v>
      </c>
      <c r="M180" t="s">
        <v>225</v>
      </c>
      <c r="N180" t="str">
        <f t="shared" si="2"/>
        <v>ZSGL</v>
      </c>
    </row>
    <row r="181" spans="1:14" x14ac:dyDescent="0.25">
      <c r="A181" t="s">
        <v>364</v>
      </c>
      <c r="B181" s="1">
        <v>3.0129918351319116</v>
      </c>
      <c r="C181" s="1">
        <v>2.0347110845973835</v>
      </c>
      <c r="D181" s="1">
        <v>1.5804116182004575</v>
      </c>
      <c r="E181" s="1">
        <v>1.327485494366925</v>
      </c>
      <c r="F181" s="1">
        <v>1.2712725880375964</v>
      </c>
      <c r="G181" s="1">
        <v>1.1584366987533463</v>
      </c>
      <c r="H181" s="1">
        <v>1.1135457326175582</v>
      </c>
      <c r="I181" s="1">
        <v>1.0781622454297031</v>
      </c>
      <c r="J181" t="s">
        <v>199</v>
      </c>
      <c r="K181" t="s">
        <v>239</v>
      </c>
      <c r="L181" t="s">
        <v>216</v>
      </c>
      <c r="M181" t="s">
        <v>225</v>
      </c>
      <c r="N181" t="str">
        <f t="shared" si="2"/>
        <v>BFCS</v>
      </c>
    </row>
    <row r="182" spans="1:14" x14ac:dyDescent="0.25">
      <c r="A182" t="s">
        <v>365</v>
      </c>
      <c r="B182" s="1">
        <v>2.4165154656453698</v>
      </c>
      <c r="C182" s="1">
        <v>1.6171554532429449</v>
      </c>
      <c r="D182" s="1">
        <v>1.3596425832772483</v>
      </c>
      <c r="E182" s="1">
        <v>1.1675858064775444</v>
      </c>
      <c r="F182" s="1">
        <v>1.0597013474983725</v>
      </c>
      <c r="G182" s="1">
        <v>0.93389711180239443</v>
      </c>
      <c r="H182" s="1">
        <v>0.93713394616166645</v>
      </c>
      <c r="I182" s="1">
        <v>0.8821500858325465</v>
      </c>
      <c r="J182" t="s">
        <v>199</v>
      </c>
      <c r="K182" t="s">
        <v>241</v>
      </c>
      <c r="L182" t="s">
        <v>216</v>
      </c>
      <c r="M182" t="s">
        <v>225</v>
      </c>
      <c r="N182" t="str">
        <f t="shared" si="2"/>
        <v>SSSS</v>
      </c>
    </row>
    <row r="183" spans="1:14" x14ac:dyDescent="0.25">
      <c r="A183" t="s">
        <v>92</v>
      </c>
      <c r="B183" s="1">
        <v>2.804741913922598</v>
      </c>
      <c r="C183" s="1">
        <v>2.0103025029412587</v>
      </c>
      <c r="D183" s="1">
        <v>1.7029049597373107</v>
      </c>
      <c r="E183" s="1">
        <v>1.4959304841679488</v>
      </c>
      <c r="F183" s="1">
        <v>1.3265245563933545</v>
      </c>
      <c r="G183" s="1">
        <v>1.2206027210447672</v>
      </c>
      <c r="H183" s="1">
        <v>1.1782047744950352</v>
      </c>
      <c r="I183" s="1">
        <v>1.1771704695651739</v>
      </c>
      <c r="J183" t="s">
        <v>199</v>
      </c>
      <c r="K183" t="s">
        <v>206</v>
      </c>
      <c r="L183" t="s">
        <v>216</v>
      </c>
      <c r="M183" t="s">
        <v>225</v>
      </c>
      <c r="N183" t="str">
        <f t="shared" si="2"/>
        <v>BMS</v>
      </c>
    </row>
    <row r="184" spans="1:14" x14ac:dyDescent="0.25">
      <c r="A184" t="s">
        <v>283</v>
      </c>
      <c r="B184" s="1">
        <v>4.881682055543541</v>
      </c>
      <c r="C184" s="1">
        <v>2.8771779111581299</v>
      </c>
      <c r="D184" s="1">
        <v>2.3741757513832096</v>
      </c>
      <c r="E184" s="1">
        <v>2.11934217791935</v>
      </c>
      <c r="F184" s="1">
        <v>1.9337707144102678</v>
      </c>
      <c r="G184" s="1">
        <v>1.6781486503926899</v>
      </c>
      <c r="H184" s="1">
        <v>1.5678841179059069</v>
      </c>
      <c r="I184" s="1">
        <v>1.5642712220596113</v>
      </c>
      <c r="J184" t="s">
        <v>199</v>
      </c>
      <c r="K184" t="s">
        <v>207</v>
      </c>
      <c r="L184" t="s">
        <v>216</v>
      </c>
      <c r="M184" t="s">
        <v>225</v>
      </c>
      <c r="N184" t="str">
        <f t="shared" si="2"/>
        <v>CC</v>
      </c>
    </row>
    <row r="185" spans="1:14" x14ac:dyDescent="0.25">
      <c r="A185" t="s">
        <v>366</v>
      </c>
      <c r="B185" s="1">
        <v>0.94525960958440425</v>
      </c>
      <c r="C185" s="1">
        <v>0.9378694586283387</v>
      </c>
      <c r="D185" s="1">
        <v>0.87909382276541037</v>
      </c>
      <c r="E185" s="1">
        <v>0.91363959293321995</v>
      </c>
      <c r="F185" s="1">
        <v>0.92604508407206176</v>
      </c>
      <c r="G185" s="1">
        <v>0.89174498780047962</v>
      </c>
      <c r="H185" s="1">
        <v>0.95215301409135011</v>
      </c>
      <c r="I185" s="1">
        <v>0.95364305190236864</v>
      </c>
      <c r="J185" t="s">
        <v>199</v>
      </c>
      <c r="K185" t="s">
        <v>233</v>
      </c>
      <c r="L185" t="s">
        <v>216</v>
      </c>
      <c r="M185" t="s">
        <v>225</v>
      </c>
      <c r="N185" t="str">
        <f t="shared" si="2"/>
        <v>POOL</v>
      </c>
    </row>
    <row r="186" spans="1:14" x14ac:dyDescent="0.25">
      <c r="A186" t="s">
        <v>93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t="s">
        <v>199</v>
      </c>
      <c r="K186" t="s">
        <v>202</v>
      </c>
      <c r="L186" t="s">
        <v>217</v>
      </c>
      <c r="M186" t="s">
        <v>225</v>
      </c>
      <c r="N186" t="str">
        <f t="shared" si="2"/>
        <v>ZS</v>
      </c>
    </row>
    <row r="187" spans="1:14" x14ac:dyDescent="0.25">
      <c r="A187" t="s">
        <v>94</v>
      </c>
      <c r="B187" s="1">
        <v>0.87862762461059918</v>
      </c>
      <c r="C187" s="1">
        <v>0.89088613083672918</v>
      </c>
      <c r="D187" s="1">
        <v>0.93829593915396481</v>
      </c>
      <c r="E187" s="1">
        <v>1.0242089699702737</v>
      </c>
      <c r="F187" s="1">
        <v>0.99296700357084977</v>
      </c>
      <c r="G187" s="1">
        <v>1.0559516778180824</v>
      </c>
      <c r="H187" s="1">
        <v>0.94820825794871522</v>
      </c>
      <c r="I187" s="1">
        <v>0.9026234873429847</v>
      </c>
      <c r="J187" t="s">
        <v>199</v>
      </c>
      <c r="K187" t="s">
        <v>203</v>
      </c>
      <c r="L187" t="s">
        <v>217</v>
      </c>
      <c r="M187" t="s">
        <v>225</v>
      </c>
      <c r="N187" t="str">
        <f t="shared" si="2"/>
        <v>ZS\&amp;POOL</v>
      </c>
    </row>
    <row r="188" spans="1:14" x14ac:dyDescent="0.25">
      <c r="A188" t="s">
        <v>95</v>
      </c>
      <c r="B188" s="1">
        <v>0.71926999115276891</v>
      </c>
      <c r="C188" s="1">
        <v>0.70844943767016344</v>
      </c>
      <c r="D188" s="1">
        <v>0.77502886367170698</v>
      </c>
      <c r="E188" s="1">
        <v>0.79669259093470701</v>
      </c>
      <c r="F188" s="1">
        <v>0.74737134371270209</v>
      </c>
      <c r="G188" s="1">
        <v>0.81179440254729307</v>
      </c>
      <c r="H188" s="1">
        <v>0.68857685957804438</v>
      </c>
      <c r="I188" s="1">
        <v>0.72597745842241901</v>
      </c>
      <c r="J188" t="s">
        <v>199</v>
      </c>
      <c r="K188" t="s">
        <v>204</v>
      </c>
      <c r="L188" t="s">
        <v>217</v>
      </c>
      <c r="M188" t="s">
        <v>225</v>
      </c>
      <c r="N188" t="str">
        <f t="shared" si="2"/>
        <v>ZSGL</v>
      </c>
    </row>
    <row r="189" spans="1:14" x14ac:dyDescent="0.25">
      <c r="A189" t="s">
        <v>367</v>
      </c>
      <c r="B189" s="1">
        <v>2.2673381409054181</v>
      </c>
      <c r="C189" s="1">
        <v>1.783517972550823</v>
      </c>
      <c r="D189" s="1">
        <v>1.6688464809950274</v>
      </c>
      <c r="E189" s="1">
        <v>1.4225516691213802</v>
      </c>
      <c r="F189" s="1">
        <v>1.2248195798390584</v>
      </c>
      <c r="G189" s="1">
        <v>1.1992861553899803</v>
      </c>
      <c r="H189" s="1">
        <v>1.0676568797703525</v>
      </c>
      <c r="I189" s="1">
        <v>1.0281040066595752</v>
      </c>
      <c r="J189" t="s">
        <v>199</v>
      </c>
      <c r="K189" t="s">
        <v>239</v>
      </c>
      <c r="L189" t="s">
        <v>217</v>
      </c>
      <c r="M189" t="s">
        <v>225</v>
      </c>
      <c r="N189" t="str">
        <f t="shared" si="2"/>
        <v>BFCS</v>
      </c>
    </row>
    <row r="190" spans="1:14" x14ac:dyDescent="0.25">
      <c r="A190" t="s">
        <v>368</v>
      </c>
      <c r="B190" s="1">
        <v>1.7871161671980462</v>
      </c>
      <c r="C190" s="1">
        <v>2.1264877818811847</v>
      </c>
      <c r="D190" s="1">
        <v>1.8764014880927076</v>
      </c>
      <c r="E190" s="1">
        <v>1.6541103810850195</v>
      </c>
      <c r="F190" s="1">
        <v>1.4760853407575569</v>
      </c>
      <c r="G190" s="1">
        <v>1.3835393999719889</v>
      </c>
      <c r="H190" s="1">
        <v>1.1977857204687747</v>
      </c>
      <c r="I190" s="1">
        <v>1.129987952166829</v>
      </c>
      <c r="J190" t="s">
        <v>199</v>
      </c>
      <c r="K190" t="s">
        <v>241</v>
      </c>
      <c r="L190" t="s">
        <v>217</v>
      </c>
      <c r="M190" t="s">
        <v>225</v>
      </c>
      <c r="N190" t="str">
        <f t="shared" si="2"/>
        <v>SSSS</v>
      </c>
    </row>
    <row r="191" spans="1:14" x14ac:dyDescent="0.25">
      <c r="A191" t="s">
        <v>96</v>
      </c>
      <c r="B191" s="1">
        <v>1.5017505667634603</v>
      </c>
      <c r="C191" s="1">
        <v>1.2335536130852776</v>
      </c>
      <c r="D191" s="1">
        <v>1.2461572466830373</v>
      </c>
      <c r="E191" s="1">
        <v>1.0667726635750681</v>
      </c>
      <c r="F191" s="1">
        <v>0.86327565651037041</v>
      </c>
      <c r="G191" s="1">
        <v>0.81973104844313083</v>
      </c>
      <c r="H191" s="1">
        <v>0.73228217054606493</v>
      </c>
      <c r="I191" s="1">
        <v>0.74328362429561878</v>
      </c>
      <c r="J191" t="s">
        <v>199</v>
      </c>
      <c r="K191" t="s">
        <v>206</v>
      </c>
      <c r="L191" t="s">
        <v>217</v>
      </c>
      <c r="M191" t="s">
        <v>225</v>
      </c>
      <c r="N191" t="str">
        <f t="shared" si="2"/>
        <v>BMS</v>
      </c>
    </row>
    <row r="192" spans="1:14" x14ac:dyDescent="0.25">
      <c r="A192" t="s">
        <v>284</v>
      </c>
      <c r="B192" s="1">
        <v>2.9524044345448295</v>
      </c>
      <c r="C192" s="1">
        <v>2.3575421459889756</v>
      </c>
      <c r="D192" s="1">
        <v>2.1703327770649352</v>
      </c>
      <c r="E192" s="1">
        <v>1.9624361560708794</v>
      </c>
      <c r="F192" s="1">
        <v>1.6215335198411847</v>
      </c>
      <c r="G192" s="1">
        <v>1.610062765068903</v>
      </c>
      <c r="H192" s="1">
        <v>1.4162779924685285</v>
      </c>
      <c r="I192" s="1">
        <v>1.291267058968232</v>
      </c>
      <c r="J192" t="s">
        <v>199</v>
      </c>
      <c r="K192" t="s">
        <v>207</v>
      </c>
      <c r="L192" t="s">
        <v>217</v>
      </c>
      <c r="M192" t="s">
        <v>225</v>
      </c>
      <c r="N192" t="str">
        <f t="shared" si="2"/>
        <v>CC</v>
      </c>
    </row>
    <row r="193" spans="1:14" x14ac:dyDescent="0.25">
      <c r="A193" t="s">
        <v>369</v>
      </c>
      <c r="B193" s="1">
        <v>0.68945797064471193</v>
      </c>
      <c r="C193" s="1">
        <v>0.76112740488360831</v>
      </c>
      <c r="D193" s="1">
        <v>0.83973012832734617</v>
      </c>
      <c r="E193" s="1">
        <v>0.76054336947193091</v>
      </c>
      <c r="F193" s="1">
        <v>0.69314017001267103</v>
      </c>
      <c r="G193" s="1">
        <v>0.79330852277405928</v>
      </c>
      <c r="H193" s="1">
        <v>0.75957853373604245</v>
      </c>
      <c r="I193" s="1">
        <v>0.72154907878334762</v>
      </c>
      <c r="J193" t="s">
        <v>199</v>
      </c>
      <c r="K193" t="s">
        <v>233</v>
      </c>
      <c r="L193" t="s">
        <v>217</v>
      </c>
      <c r="M193" t="s">
        <v>225</v>
      </c>
      <c r="N193" t="str">
        <f t="shared" si="2"/>
        <v>POOL</v>
      </c>
    </row>
    <row r="194" spans="1:14" x14ac:dyDescent="0.25">
      <c r="A194" t="s">
        <v>97</v>
      </c>
      <c r="B194" s="1">
        <v>1</v>
      </c>
      <c r="C194" s="1">
        <v>1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t="s">
        <v>199</v>
      </c>
      <c r="K194" t="s">
        <v>202</v>
      </c>
      <c r="L194" t="s">
        <v>218</v>
      </c>
      <c r="M194" t="s">
        <v>225</v>
      </c>
      <c r="N194" t="str">
        <f t="shared" ref="N194:N257" si="3">VLOOKUP(K194,modelNames,2,FALSE)</f>
        <v>ZS</v>
      </c>
    </row>
    <row r="195" spans="1:14" x14ac:dyDescent="0.25">
      <c r="A195" t="s">
        <v>98</v>
      </c>
      <c r="B195" s="1">
        <v>0.96602829893839814</v>
      </c>
      <c r="C195" s="1">
        <v>0.92134312413214403</v>
      </c>
      <c r="D195" s="1">
        <v>0.91365023059499229</v>
      </c>
      <c r="E195" s="1">
        <v>1.0311804075830313</v>
      </c>
      <c r="F195" s="1">
        <v>1.0447377357015162</v>
      </c>
      <c r="G195" s="1">
        <v>0.98037362307517217</v>
      </c>
      <c r="H195" s="1">
        <v>1.0814347609599571</v>
      </c>
      <c r="I195" s="1">
        <v>1.0570430571539826</v>
      </c>
      <c r="J195" t="s">
        <v>199</v>
      </c>
      <c r="K195" t="s">
        <v>203</v>
      </c>
      <c r="L195" t="s">
        <v>218</v>
      </c>
      <c r="M195" t="s">
        <v>225</v>
      </c>
      <c r="N195" t="str">
        <f t="shared" si="3"/>
        <v>ZS\&amp;POOL</v>
      </c>
    </row>
    <row r="196" spans="1:14" x14ac:dyDescent="0.25">
      <c r="A196" t="s">
        <v>99</v>
      </c>
      <c r="B196" s="1">
        <v>1.1008728630856861</v>
      </c>
      <c r="C196" s="1">
        <v>0.99380567217420945</v>
      </c>
      <c r="D196" s="1">
        <v>1.0240094642803936</v>
      </c>
      <c r="E196" s="1">
        <v>1.1344919730646712</v>
      </c>
      <c r="F196" s="1">
        <v>1.1060917590485382</v>
      </c>
      <c r="G196" s="1">
        <v>1.0659091991740417</v>
      </c>
      <c r="H196" s="1">
        <v>1.1112896166394242</v>
      </c>
      <c r="I196" s="1">
        <v>1.0274430180061682</v>
      </c>
      <c r="J196" t="s">
        <v>199</v>
      </c>
      <c r="K196" t="s">
        <v>204</v>
      </c>
      <c r="L196" t="s">
        <v>218</v>
      </c>
      <c r="M196" t="s">
        <v>225</v>
      </c>
      <c r="N196" t="str">
        <f t="shared" si="3"/>
        <v>ZSGL</v>
      </c>
    </row>
    <row r="197" spans="1:14" x14ac:dyDescent="0.25">
      <c r="A197" t="s">
        <v>370</v>
      </c>
      <c r="B197" s="1">
        <v>1.3113182676369346</v>
      </c>
      <c r="C197" s="1">
        <v>1.1075535528358886</v>
      </c>
      <c r="D197" s="1">
        <v>1.0758571989260113</v>
      </c>
      <c r="E197" s="1">
        <v>1.0729155755727129</v>
      </c>
      <c r="F197" s="1">
        <v>1.1287013069359779</v>
      </c>
      <c r="G197" s="1">
        <v>1.1236146989656863</v>
      </c>
      <c r="H197" s="1">
        <v>1.1174649435333832</v>
      </c>
      <c r="I197" s="1">
        <v>1.0860931899595496</v>
      </c>
      <c r="J197" t="s">
        <v>199</v>
      </c>
      <c r="K197" t="s">
        <v>239</v>
      </c>
      <c r="L197" t="s">
        <v>218</v>
      </c>
      <c r="M197" t="s">
        <v>225</v>
      </c>
      <c r="N197" t="str">
        <f t="shared" si="3"/>
        <v>BFCS</v>
      </c>
    </row>
    <row r="198" spans="1:14" x14ac:dyDescent="0.25">
      <c r="A198" t="s">
        <v>371</v>
      </c>
      <c r="B198" s="1">
        <v>1.1687180091368377</v>
      </c>
      <c r="C198" s="1">
        <v>1.139401155233601</v>
      </c>
      <c r="D198" s="1">
        <v>1.112490850061115</v>
      </c>
      <c r="E198" s="1">
        <v>1.0425705293289282</v>
      </c>
      <c r="F198" s="1">
        <v>1.0537124715456403</v>
      </c>
      <c r="G198" s="1">
        <v>1.0333908729195518</v>
      </c>
      <c r="H198" s="1">
        <v>0.93364599434636331</v>
      </c>
      <c r="I198" s="1">
        <v>0.97933523069323958</v>
      </c>
      <c r="J198" t="s">
        <v>199</v>
      </c>
      <c r="K198" t="s">
        <v>241</v>
      </c>
      <c r="L198" t="s">
        <v>218</v>
      </c>
      <c r="M198" t="s">
        <v>225</v>
      </c>
      <c r="N198" t="str">
        <f t="shared" si="3"/>
        <v>SSSS</v>
      </c>
    </row>
    <row r="199" spans="1:14" x14ac:dyDescent="0.25">
      <c r="A199" t="s">
        <v>100</v>
      </c>
      <c r="B199" s="1">
        <v>1.3130927402867849</v>
      </c>
      <c r="C199" s="1">
        <v>1.2924779018800721</v>
      </c>
      <c r="D199" s="1">
        <v>1.2197942253542977</v>
      </c>
      <c r="E199" s="1">
        <v>1.1683613787727538</v>
      </c>
      <c r="F199" s="1">
        <v>1.2036188279340894</v>
      </c>
      <c r="G199" s="1">
        <v>1.072462126919379</v>
      </c>
      <c r="H199" s="1">
        <v>1.1408752511445623</v>
      </c>
      <c r="I199" s="1">
        <v>1.1952787749507028</v>
      </c>
      <c r="J199" t="s">
        <v>199</v>
      </c>
      <c r="K199" t="s">
        <v>206</v>
      </c>
      <c r="L199" t="s">
        <v>218</v>
      </c>
      <c r="M199" t="s">
        <v>225</v>
      </c>
      <c r="N199" t="str">
        <f t="shared" si="3"/>
        <v>BMS</v>
      </c>
    </row>
    <row r="200" spans="1:14" x14ac:dyDescent="0.25">
      <c r="A200" t="s">
        <v>285</v>
      </c>
      <c r="B200" s="1">
        <v>1.3738524971701664</v>
      </c>
      <c r="C200" s="1">
        <v>1.2723006258909961</v>
      </c>
      <c r="D200" s="1">
        <v>1.1616102818482672</v>
      </c>
      <c r="E200" s="1">
        <v>1.0816500678411221</v>
      </c>
      <c r="F200" s="1">
        <v>1.2124522775971804</v>
      </c>
      <c r="G200" s="1">
        <v>1.0463253272578983</v>
      </c>
      <c r="H200" s="1">
        <v>1.1534849378936129</v>
      </c>
      <c r="I200" s="1">
        <v>1.1501979883973048</v>
      </c>
      <c r="J200" t="s">
        <v>199</v>
      </c>
      <c r="K200" t="s">
        <v>207</v>
      </c>
      <c r="L200" t="s">
        <v>218</v>
      </c>
      <c r="M200" t="s">
        <v>225</v>
      </c>
      <c r="N200" t="str">
        <f t="shared" si="3"/>
        <v>CC</v>
      </c>
    </row>
    <row r="201" spans="1:14" x14ac:dyDescent="0.25">
      <c r="A201" t="s">
        <v>372</v>
      </c>
      <c r="B201" s="1">
        <v>1.1540842706500243</v>
      </c>
      <c r="C201" s="1">
        <v>0.98886981310307587</v>
      </c>
      <c r="D201" s="1">
        <v>1.0702777048832028</v>
      </c>
      <c r="E201" s="1">
        <v>1.0534060212202176</v>
      </c>
      <c r="F201" s="1">
        <v>1.0758920789297899</v>
      </c>
      <c r="G201" s="1">
        <v>1.0075928674247352</v>
      </c>
      <c r="H201" s="1">
        <v>1.0442571529381213</v>
      </c>
      <c r="I201" s="1">
        <v>1.0796154451183182</v>
      </c>
      <c r="J201" t="s">
        <v>199</v>
      </c>
      <c r="K201" t="s">
        <v>233</v>
      </c>
      <c r="L201" t="s">
        <v>218</v>
      </c>
      <c r="M201" t="s">
        <v>225</v>
      </c>
      <c r="N201" t="str">
        <f t="shared" si="3"/>
        <v>POOL</v>
      </c>
    </row>
    <row r="202" spans="1:14" x14ac:dyDescent="0.25">
      <c r="A202" t="s">
        <v>101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t="s">
        <v>199</v>
      </c>
      <c r="K202" t="s">
        <v>202</v>
      </c>
      <c r="L202" t="s">
        <v>219</v>
      </c>
      <c r="M202" t="s">
        <v>225</v>
      </c>
      <c r="N202" t="str">
        <f t="shared" si="3"/>
        <v>ZS</v>
      </c>
    </row>
    <row r="203" spans="1:14" x14ac:dyDescent="0.25">
      <c r="A203" t="s">
        <v>102</v>
      </c>
      <c r="B203" s="1">
        <v>1.0816385544856224</v>
      </c>
      <c r="C203" s="1">
        <v>1.0126078433479471</v>
      </c>
      <c r="D203" s="1">
        <v>1.0126443656957631</v>
      </c>
      <c r="E203" s="1">
        <v>1.0110377345376467</v>
      </c>
      <c r="F203" s="1">
        <v>0.98669739348282504</v>
      </c>
      <c r="G203" s="1">
        <v>0.96271976466489151</v>
      </c>
      <c r="H203" s="1">
        <v>1.0332424046806212</v>
      </c>
      <c r="I203" s="1">
        <v>0.97993620889376798</v>
      </c>
      <c r="J203" t="s">
        <v>199</v>
      </c>
      <c r="K203" t="s">
        <v>203</v>
      </c>
      <c r="L203" t="s">
        <v>219</v>
      </c>
      <c r="M203" t="s">
        <v>225</v>
      </c>
      <c r="N203" t="str">
        <f t="shared" si="3"/>
        <v>ZS\&amp;POOL</v>
      </c>
    </row>
    <row r="204" spans="1:14" x14ac:dyDescent="0.25">
      <c r="A204" t="s">
        <v>103</v>
      </c>
      <c r="B204" s="1">
        <v>1.0662702842840353</v>
      </c>
      <c r="C204" s="1">
        <v>0.94966605238977109</v>
      </c>
      <c r="D204" s="1">
        <v>0.99234366126312112</v>
      </c>
      <c r="E204" s="1">
        <v>0.9854316075202999</v>
      </c>
      <c r="F204" s="1">
        <v>0.94738923528426189</v>
      </c>
      <c r="G204" s="1">
        <v>0.93340893647537426</v>
      </c>
      <c r="H204" s="1">
        <v>0.98562078467588299</v>
      </c>
      <c r="I204" s="1">
        <v>0.99641686945048558</v>
      </c>
      <c r="J204" t="s">
        <v>199</v>
      </c>
      <c r="K204" t="s">
        <v>204</v>
      </c>
      <c r="L204" t="s">
        <v>219</v>
      </c>
      <c r="M204" t="s">
        <v>225</v>
      </c>
      <c r="N204" t="str">
        <f t="shared" si="3"/>
        <v>ZSGL</v>
      </c>
    </row>
    <row r="205" spans="1:14" x14ac:dyDescent="0.25">
      <c r="A205" t="s">
        <v>373</v>
      </c>
      <c r="B205" s="1">
        <v>1.0991997408039065</v>
      </c>
      <c r="C205" s="1">
        <v>1.165282886384571</v>
      </c>
      <c r="D205" s="1">
        <v>1.1111952678391361</v>
      </c>
      <c r="E205" s="1">
        <v>1.1680102219721671</v>
      </c>
      <c r="F205" s="1">
        <v>1.1566960056231133</v>
      </c>
      <c r="G205" s="1">
        <v>1.1873701740181231</v>
      </c>
      <c r="H205" s="1">
        <v>1.2246019748999566</v>
      </c>
      <c r="I205" s="1">
        <v>1.2716337626800449</v>
      </c>
      <c r="J205" t="s">
        <v>199</v>
      </c>
      <c r="K205" t="s">
        <v>239</v>
      </c>
      <c r="L205" t="s">
        <v>219</v>
      </c>
      <c r="M205" t="s">
        <v>225</v>
      </c>
      <c r="N205" t="str">
        <f t="shared" si="3"/>
        <v>BFCS</v>
      </c>
    </row>
    <row r="206" spans="1:14" x14ac:dyDescent="0.25">
      <c r="A206" t="s">
        <v>374</v>
      </c>
      <c r="B206" s="1">
        <v>1.1599380849649159</v>
      </c>
      <c r="C206" s="1">
        <v>1.1261398481222911</v>
      </c>
      <c r="D206" s="1">
        <v>1.027679013472127</v>
      </c>
      <c r="E206" s="1">
        <v>1.0413283693902231</v>
      </c>
      <c r="F206" s="1">
        <v>1.0807869553384786</v>
      </c>
      <c r="G206" s="1">
        <v>1.0788712002472625</v>
      </c>
      <c r="H206" s="1">
        <v>1.1373078148674878</v>
      </c>
      <c r="I206" s="1">
        <v>1.0713345317234793</v>
      </c>
      <c r="J206" t="s">
        <v>199</v>
      </c>
      <c r="K206" t="s">
        <v>241</v>
      </c>
      <c r="L206" t="s">
        <v>219</v>
      </c>
      <c r="M206" t="s">
        <v>225</v>
      </c>
      <c r="N206" t="str">
        <f t="shared" si="3"/>
        <v>SSSS</v>
      </c>
    </row>
    <row r="207" spans="1:14" x14ac:dyDescent="0.25">
      <c r="A207" t="s">
        <v>104</v>
      </c>
      <c r="B207" s="1">
        <v>1.0931122289324802</v>
      </c>
      <c r="C207" s="1">
        <v>1.0789593062321017</v>
      </c>
      <c r="D207" s="1">
        <v>1.0419572917061366</v>
      </c>
      <c r="E207" s="1">
        <v>1.0656402079816725</v>
      </c>
      <c r="F207" s="1">
        <v>0.99458911631173852</v>
      </c>
      <c r="G207" s="1">
        <v>0.92839312563635601</v>
      </c>
      <c r="H207" s="1">
        <v>1.031010877945632</v>
      </c>
      <c r="I207" s="1">
        <v>0.97990521563616939</v>
      </c>
      <c r="J207" t="s">
        <v>199</v>
      </c>
      <c r="K207" t="s">
        <v>206</v>
      </c>
      <c r="L207" t="s">
        <v>219</v>
      </c>
      <c r="M207" t="s">
        <v>225</v>
      </c>
      <c r="N207" t="str">
        <f t="shared" si="3"/>
        <v>BMS</v>
      </c>
    </row>
    <row r="208" spans="1:14" x14ac:dyDescent="0.25">
      <c r="A208" t="s">
        <v>286</v>
      </c>
      <c r="B208" s="1">
        <v>1.4896568844236004</v>
      </c>
      <c r="C208" s="1">
        <v>2.053224604904385</v>
      </c>
      <c r="D208" s="1">
        <v>2.0070840176856644</v>
      </c>
      <c r="E208" s="1">
        <v>2.1728430665570855</v>
      </c>
      <c r="F208" s="1">
        <v>2.1022581551157189</v>
      </c>
      <c r="G208" s="1">
        <v>1.9371473466326841</v>
      </c>
      <c r="H208" s="1">
        <v>2.1405058667388732</v>
      </c>
      <c r="I208" s="1">
        <v>2.2244251465673632</v>
      </c>
      <c r="J208" t="s">
        <v>199</v>
      </c>
      <c r="K208" t="s">
        <v>207</v>
      </c>
      <c r="L208" t="s">
        <v>219</v>
      </c>
      <c r="M208" t="s">
        <v>225</v>
      </c>
      <c r="N208" t="str">
        <f t="shared" si="3"/>
        <v>CC</v>
      </c>
    </row>
    <row r="209" spans="1:14" x14ac:dyDescent="0.25">
      <c r="A209" t="s">
        <v>375</v>
      </c>
      <c r="B209" s="1">
        <v>1.0362545846311804</v>
      </c>
      <c r="C209" s="1">
        <v>0.98616244389479246</v>
      </c>
      <c r="D209" s="1">
        <v>0.9730221245774735</v>
      </c>
      <c r="E209" s="1">
        <v>1.0186488556687086</v>
      </c>
      <c r="F209" s="1">
        <v>0.9664246908809121</v>
      </c>
      <c r="G209" s="1">
        <v>0.94208502368090319</v>
      </c>
      <c r="H209" s="1">
        <v>0.9993963122113666</v>
      </c>
      <c r="I209" s="1">
        <v>1.0094560265526293</v>
      </c>
      <c r="J209" t="s">
        <v>199</v>
      </c>
      <c r="K209" t="s">
        <v>233</v>
      </c>
      <c r="L209" t="s">
        <v>219</v>
      </c>
      <c r="M209" t="s">
        <v>225</v>
      </c>
      <c r="N209" t="str">
        <f t="shared" si="3"/>
        <v>POOL</v>
      </c>
    </row>
    <row r="210" spans="1:14" x14ac:dyDescent="0.25">
      <c r="A210" t="s">
        <v>105</v>
      </c>
      <c r="B210" s="1">
        <v>1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t="s">
        <v>199</v>
      </c>
      <c r="K210" t="s">
        <v>202</v>
      </c>
      <c r="L210" t="s">
        <v>220</v>
      </c>
      <c r="M210" t="s">
        <v>225</v>
      </c>
      <c r="N210" t="str">
        <f t="shared" si="3"/>
        <v>ZS</v>
      </c>
    </row>
    <row r="211" spans="1:14" x14ac:dyDescent="0.25">
      <c r="A211" t="s">
        <v>106</v>
      </c>
      <c r="B211" s="1">
        <v>1.0698105926553121</v>
      </c>
      <c r="C211" s="1">
        <v>1.0584685301650636</v>
      </c>
      <c r="D211" s="1">
        <v>1.0354703633180378</v>
      </c>
      <c r="E211" s="1">
        <v>1.0056488416061227</v>
      </c>
      <c r="F211" s="1">
        <v>1.1340646832457131</v>
      </c>
      <c r="G211" s="1">
        <v>1.1046723697517848</v>
      </c>
      <c r="H211" s="1">
        <v>0.99989034983242508</v>
      </c>
      <c r="I211" s="1">
        <v>1.1514298356235404</v>
      </c>
      <c r="J211" t="s">
        <v>199</v>
      </c>
      <c r="K211" t="s">
        <v>203</v>
      </c>
      <c r="L211" t="s">
        <v>220</v>
      </c>
      <c r="M211" t="s">
        <v>225</v>
      </c>
      <c r="N211" t="str">
        <f t="shared" si="3"/>
        <v>ZS\&amp;POOL</v>
      </c>
    </row>
    <row r="212" spans="1:14" x14ac:dyDescent="0.25">
      <c r="A212" t="s">
        <v>107</v>
      </c>
      <c r="B212" s="1">
        <v>1.0491127347316695</v>
      </c>
      <c r="C212" s="1">
        <v>0.9846011819622309</v>
      </c>
      <c r="D212" s="1">
        <v>0.99655685148254403</v>
      </c>
      <c r="E212" s="1">
        <v>0.99075424607173768</v>
      </c>
      <c r="F212" s="1">
        <v>1.0330208974360713</v>
      </c>
      <c r="G212" s="1">
        <v>1.0680419572384559</v>
      </c>
      <c r="H212" s="1">
        <v>0.94089557765894305</v>
      </c>
      <c r="I212" s="1">
        <v>0.99570796885395885</v>
      </c>
      <c r="J212" t="s">
        <v>199</v>
      </c>
      <c r="K212" t="s">
        <v>204</v>
      </c>
      <c r="L212" t="s">
        <v>220</v>
      </c>
      <c r="M212" t="s">
        <v>225</v>
      </c>
      <c r="N212" t="str">
        <f t="shared" si="3"/>
        <v>ZSGL</v>
      </c>
    </row>
    <row r="213" spans="1:14" x14ac:dyDescent="0.25">
      <c r="A213" t="s">
        <v>376</v>
      </c>
      <c r="B213" s="1">
        <v>1.0684474533437358</v>
      </c>
      <c r="C213" s="1">
        <v>1.1015779971048145</v>
      </c>
      <c r="D213" s="1">
        <v>1.0781234618407203</v>
      </c>
      <c r="E213" s="1">
        <v>1.1284662117464026</v>
      </c>
      <c r="F213" s="1">
        <v>1.2463788223281698</v>
      </c>
      <c r="G213" s="1">
        <v>1.3106481588360783</v>
      </c>
      <c r="H213" s="1">
        <v>1.0693726808516633</v>
      </c>
      <c r="I213" s="1">
        <v>1.1614422083664089</v>
      </c>
      <c r="J213" t="s">
        <v>199</v>
      </c>
      <c r="K213" t="s">
        <v>239</v>
      </c>
      <c r="L213" t="s">
        <v>220</v>
      </c>
      <c r="M213" t="s">
        <v>225</v>
      </c>
      <c r="N213" t="str">
        <f t="shared" si="3"/>
        <v>BFCS</v>
      </c>
    </row>
    <row r="214" spans="1:14" x14ac:dyDescent="0.25">
      <c r="A214" t="s">
        <v>377</v>
      </c>
      <c r="B214" s="1">
        <v>0.98878132627916138</v>
      </c>
      <c r="C214" s="1">
        <v>0.96908390913409936</v>
      </c>
      <c r="D214" s="1">
        <v>0.9761249247584719</v>
      </c>
      <c r="E214" s="1">
        <v>1.0370862289522846</v>
      </c>
      <c r="F214" s="1">
        <v>1.1422242911781384</v>
      </c>
      <c r="G214" s="1">
        <v>1.198543351597988</v>
      </c>
      <c r="H214" s="1">
        <v>1.0602161889821466</v>
      </c>
      <c r="I214" s="1">
        <v>1.0933051872232391</v>
      </c>
      <c r="J214" t="s">
        <v>199</v>
      </c>
      <c r="K214" t="s">
        <v>241</v>
      </c>
      <c r="L214" t="s">
        <v>220</v>
      </c>
      <c r="M214" t="s">
        <v>225</v>
      </c>
      <c r="N214" t="str">
        <f t="shared" si="3"/>
        <v>SSSS</v>
      </c>
    </row>
    <row r="215" spans="1:14" x14ac:dyDescent="0.25">
      <c r="A215" t="s">
        <v>108</v>
      </c>
      <c r="B215" s="1">
        <v>0.98889999226388747</v>
      </c>
      <c r="C215" s="1">
        <v>1.0127495577469661</v>
      </c>
      <c r="D215" s="1">
        <v>1.0185633077667298</v>
      </c>
      <c r="E215" s="1">
        <v>1.1008571499244253</v>
      </c>
      <c r="F215" s="1">
        <v>1.2404033886077106</v>
      </c>
      <c r="G215" s="1">
        <v>1.2693709464609324</v>
      </c>
      <c r="H215" s="1">
        <v>1.0754406262784821</v>
      </c>
      <c r="I215" s="1">
        <v>1.1610917194544583</v>
      </c>
      <c r="J215" t="s">
        <v>199</v>
      </c>
      <c r="K215" t="s">
        <v>206</v>
      </c>
      <c r="L215" t="s">
        <v>220</v>
      </c>
      <c r="M215" t="s">
        <v>225</v>
      </c>
      <c r="N215" t="str">
        <f t="shared" si="3"/>
        <v>BMS</v>
      </c>
    </row>
    <row r="216" spans="1:14" x14ac:dyDescent="0.25">
      <c r="A216" t="s">
        <v>287</v>
      </c>
      <c r="B216" s="1">
        <v>1.0531889277193995</v>
      </c>
      <c r="C216" s="1">
        <v>1.1404755576996199</v>
      </c>
      <c r="D216" s="1">
        <v>1.043712078208016</v>
      </c>
      <c r="E216" s="1">
        <v>1.127767225783542</v>
      </c>
      <c r="F216" s="1">
        <v>1.2195595436344424</v>
      </c>
      <c r="G216" s="1">
        <v>1.1839432646277432</v>
      </c>
      <c r="H216" s="1">
        <v>1.0970121116953362</v>
      </c>
      <c r="I216" s="1">
        <v>1.3117910768799321</v>
      </c>
      <c r="J216" t="s">
        <v>199</v>
      </c>
      <c r="K216" t="s">
        <v>207</v>
      </c>
      <c r="L216" t="s">
        <v>220</v>
      </c>
      <c r="M216" t="s">
        <v>225</v>
      </c>
      <c r="N216" t="str">
        <f t="shared" si="3"/>
        <v>CC</v>
      </c>
    </row>
    <row r="217" spans="1:14" x14ac:dyDescent="0.25">
      <c r="A217" t="s">
        <v>378</v>
      </c>
      <c r="B217" s="1">
        <v>1.0673379883105212</v>
      </c>
      <c r="C217" s="1">
        <v>1.0033985100816543</v>
      </c>
      <c r="D217" s="1">
        <v>1.0150869097311719</v>
      </c>
      <c r="E217" s="1">
        <v>1.0924821994961267</v>
      </c>
      <c r="F217" s="1">
        <v>1.0885482299965126</v>
      </c>
      <c r="G217" s="1">
        <v>1.0580048950222913</v>
      </c>
      <c r="H217" s="1">
        <v>1.0495969940548144</v>
      </c>
      <c r="I217" s="1">
        <v>1.0523159845825192</v>
      </c>
      <c r="J217" t="s">
        <v>199</v>
      </c>
      <c r="K217" t="s">
        <v>233</v>
      </c>
      <c r="L217" t="s">
        <v>220</v>
      </c>
      <c r="M217" t="s">
        <v>225</v>
      </c>
      <c r="N217" t="str">
        <f t="shared" si="3"/>
        <v>POOL</v>
      </c>
    </row>
    <row r="218" spans="1:14" x14ac:dyDescent="0.25">
      <c r="A218" t="s">
        <v>109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  <c r="G218" s="1">
        <v>1</v>
      </c>
      <c r="H218" s="1">
        <v>1</v>
      </c>
      <c r="I218" s="1">
        <v>1</v>
      </c>
      <c r="J218" t="s">
        <v>199</v>
      </c>
      <c r="K218" t="s">
        <v>202</v>
      </c>
      <c r="L218" t="s">
        <v>221</v>
      </c>
      <c r="M218" t="s">
        <v>225</v>
      </c>
      <c r="N218" t="str">
        <f t="shared" si="3"/>
        <v>ZS</v>
      </c>
    </row>
    <row r="219" spans="1:14" x14ac:dyDescent="0.25">
      <c r="A219" t="s">
        <v>110</v>
      </c>
      <c r="B219" s="1">
        <v>0.87991635386895417</v>
      </c>
      <c r="C219" s="1">
        <v>1.0432243590164889</v>
      </c>
      <c r="D219" s="1">
        <v>0.99776715673693939</v>
      </c>
      <c r="E219" s="1">
        <v>0.96886190828127783</v>
      </c>
      <c r="F219" s="1">
        <v>0.98040733061013752</v>
      </c>
      <c r="G219" s="1">
        <v>1.0736286895077973</v>
      </c>
      <c r="H219" s="1">
        <v>1.0658687912497089</v>
      </c>
      <c r="I219" s="1">
        <v>1.0103510287834663</v>
      </c>
      <c r="J219" t="s">
        <v>199</v>
      </c>
      <c r="K219" t="s">
        <v>203</v>
      </c>
      <c r="L219" t="s">
        <v>221</v>
      </c>
      <c r="M219" t="s">
        <v>225</v>
      </c>
      <c r="N219" t="str">
        <f t="shared" si="3"/>
        <v>ZS\&amp;POOL</v>
      </c>
    </row>
    <row r="220" spans="1:14" x14ac:dyDescent="0.25">
      <c r="A220" t="s">
        <v>111</v>
      </c>
      <c r="B220" s="1">
        <v>0.86265147901657446</v>
      </c>
      <c r="C220" s="1">
        <v>1.0445077048057614</v>
      </c>
      <c r="D220" s="1">
        <v>1.0252786368747897</v>
      </c>
      <c r="E220" s="1">
        <v>0.97610914850947461</v>
      </c>
      <c r="F220" s="1">
        <v>0.99845070966877902</v>
      </c>
      <c r="G220" s="1">
        <v>1.036239621802918</v>
      </c>
      <c r="H220" s="1">
        <v>1.0728780675899334</v>
      </c>
      <c r="I220" s="1">
        <v>1.026520372929882</v>
      </c>
      <c r="J220" t="s">
        <v>199</v>
      </c>
      <c r="K220" t="s">
        <v>204</v>
      </c>
      <c r="L220" t="s">
        <v>221</v>
      </c>
      <c r="M220" t="s">
        <v>225</v>
      </c>
      <c r="N220" t="str">
        <f t="shared" si="3"/>
        <v>ZSGL</v>
      </c>
    </row>
    <row r="221" spans="1:14" x14ac:dyDescent="0.25">
      <c r="A221" t="s">
        <v>379</v>
      </c>
      <c r="B221" s="1">
        <v>0.9883786154444183</v>
      </c>
      <c r="C221" s="1">
        <v>0.99793408019658603</v>
      </c>
      <c r="D221" s="1">
        <v>1.0647563795640069</v>
      </c>
      <c r="E221" s="1">
        <v>1.2045394564048379</v>
      </c>
      <c r="F221" s="1">
        <v>1.1617730149952976</v>
      </c>
      <c r="G221" s="1">
        <v>1.1590463494622607</v>
      </c>
      <c r="H221" s="1">
        <v>1.1990520809343246</v>
      </c>
      <c r="I221" s="1">
        <v>1.2518435992358277</v>
      </c>
      <c r="J221" t="s">
        <v>199</v>
      </c>
      <c r="K221" t="s">
        <v>239</v>
      </c>
      <c r="L221" t="s">
        <v>221</v>
      </c>
      <c r="M221" t="s">
        <v>225</v>
      </c>
      <c r="N221" t="str">
        <f t="shared" si="3"/>
        <v>BFCS</v>
      </c>
    </row>
    <row r="222" spans="1:14" x14ac:dyDescent="0.25">
      <c r="A222" t="s">
        <v>380</v>
      </c>
      <c r="B222" s="1">
        <v>1.2910466522199788</v>
      </c>
      <c r="C222" s="1">
        <v>1.2940244838477244</v>
      </c>
      <c r="D222" s="1">
        <v>1.2005887137518423</v>
      </c>
      <c r="E222" s="1">
        <v>1.298474068825564</v>
      </c>
      <c r="F222" s="1">
        <v>1.2761597074835582</v>
      </c>
      <c r="G222" s="1">
        <v>1.3261256180153664</v>
      </c>
      <c r="H222" s="1">
        <v>1.309401581435397</v>
      </c>
      <c r="I222" s="1">
        <v>1.322616805966859</v>
      </c>
      <c r="J222" t="s">
        <v>199</v>
      </c>
      <c r="K222" t="s">
        <v>241</v>
      </c>
      <c r="L222" t="s">
        <v>221</v>
      </c>
      <c r="M222" t="s">
        <v>225</v>
      </c>
      <c r="N222" t="str">
        <f t="shared" si="3"/>
        <v>SSSS</v>
      </c>
    </row>
    <row r="223" spans="1:14" x14ac:dyDescent="0.25">
      <c r="A223" t="s">
        <v>112</v>
      </c>
      <c r="B223" s="1">
        <v>0.99564871626285112</v>
      </c>
      <c r="C223" s="1">
        <v>0.96999445203495205</v>
      </c>
      <c r="D223" s="1">
        <v>0.93830166069222798</v>
      </c>
      <c r="E223" s="1">
        <v>0.88892405783838802</v>
      </c>
      <c r="F223" s="1">
        <v>0.95496598277909261</v>
      </c>
      <c r="G223" s="1">
        <v>0.94375422263239395</v>
      </c>
      <c r="H223" s="1">
        <v>0.96564004433194772</v>
      </c>
      <c r="I223" s="1">
        <v>1.0049629017911383</v>
      </c>
      <c r="J223" t="s">
        <v>199</v>
      </c>
      <c r="K223" t="s">
        <v>206</v>
      </c>
      <c r="L223" t="s">
        <v>221</v>
      </c>
      <c r="M223" t="s">
        <v>225</v>
      </c>
      <c r="N223" t="str">
        <f t="shared" si="3"/>
        <v>BMS</v>
      </c>
    </row>
    <row r="224" spans="1:14" x14ac:dyDescent="0.25">
      <c r="A224" t="s">
        <v>288</v>
      </c>
      <c r="B224" s="1">
        <v>1.0048748877536817</v>
      </c>
      <c r="C224" s="1">
        <v>1.085245250332173</v>
      </c>
      <c r="D224" s="1">
        <v>1.0668798533222346</v>
      </c>
      <c r="E224" s="1">
        <v>1.1746646797716285</v>
      </c>
      <c r="F224" s="1">
        <v>1.2064626802443894</v>
      </c>
      <c r="G224" s="1">
        <v>1.218356985731599</v>
      </c>
      <c r="H224" s="1">
        <v>1.1796527593114849</v>
      </c>
      <c r="I224" s="1">
        <v>1.3493903647926491</v>
      </c>
      <c r="J224" t="s">
        <v>199</v>
      </c>
      <c r="K224" t="s">
        <v>207</v>
      </c>
      <c r="L224" t="s">
        <v>221</v>
      </c>
      <c r="M224" t="s">
        <v>225</v>
      </c>
      <c r="N224" t="str">
        <f t="shared" si="3"/>
        <v>CC</v>
      </c>
    </row>
    <row r="225" spans="1:14" x14ac:dyDescent="0.25">
      <c r="A225" t="s">
        <v>381</v>
      </c>
      <c r="B225" s="1">
        <v>0.92276391619211473</v>
      </c>
      <c r="C225" s="1">
        <v>0.99104569643667206</v>
      </c>
      <c r="D225" s="1">
        <v>1.0378629973665232</v>
      </c>
      <c r="E225" s="1">
        <v>0.99428565907756983</v>
      </c>
      <c r="F225" s="1">
        <v>1.0107099936288306</v>
      </c>
      <c r="G225" s="1">
        <v>1.0549869131002816</v>
      </c>
      <c r="H225" s="1">
        <v>1.1135482729726782</v>
      </c>
      <c r="I225" s="1">
        <v>1.064456376151409</v>
      </c>
      <c r="J225" t="s">
        <v>199</v>
      </c>
      <c r="K225" t="s">
        <v>233</v>
      </c>
      <c r="L225" t="s">
        <v>221</v>
      </c>
      <c r="M225" t="s">
        <v>225</v>
      </c>
      <c r="N225" t="str">
        <f t="shared" si="3"/>
        <v>POOL</v>
      </c>
    </row>
    <row r="226" spans="1:14" x14ac:dyDescent="0.25">
      <c r="A226" t="s">
        <v>113</v>
      </c>
      <c r="B226" s="1">
        <v>1</v>
      </c>
      <c r="C226" s="1">
        <v>1</v>
      </c>
      <c r="D226" s="1">
        <v>1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t="s">
        <v>199</v>
      </c>
      <c r="K226" t="s">
        <v>202</v>
      </c>
      <c r="L226" t="s">
        <v>222</v>
      </c>
      <c r="M226" t="s">
        <v>225</v>
      </c>
      <c r="N226" t="str">
        <f t="shared" si="3"/>
        <v>ZS</v>
      </c>
    </row>
    <row r="227" spans="1:14" x14ac:dyDescent="0.25">
      <c r="A227" t="s">
        <v>114</v>
      </c>
      <c r="B227">
        <v>0.97298513516839147</v>
      </c>
      <c r="C227">
        <v>0.91289248803211243</v>
      </c>
      <c r="D227">
        <v>0.93841546725364477</v>
      </c>
      <c r="E227">
        <v>0.95038644304559727</v>
      </c>
      <c r="F227">
        <v>0.96029729376386008</v>
      </c>
      <c r="G227">
        <v>1.0286238990846008</v>
      </c>
      <c r="H227">
        <v>0.95220553885047132</v>
      </c>
      <c r="I227">
        <v>0.99285491848850072</v>
      </c>
      <c r="J227" t="s">
        <v>199</v>
      </c>
      <c r="K227" t="s">
        <v>203</v>
      </c>
      <c r="L227" t="s">
        <v>222</v>
      </c>
      <c r="M227" t="s">
        <v>225</v>
      </c>
      <c r="N227" t="str">
        <f t="shared" si="3"/>
        <v>ZS\&amp;POOL</v>
      </c>
    </row>
    <row r="228" spans="1:14" x14ac:dyDescent="0.25">
      <c r="A228" t="s">
        <v>115</v>
      </c>
      <c r="B228">
        <v>1.082122158026479</v>
      </c>
      <c r="C228">
        <v>1.0178136653803493</v>
      </c>
      <c r="D228">
        <v>0.98697846492314556</v>
      </c>
      <c r="E228">
        <v>1.0436421158589306</v>
      </c>
      <c r="F228">
        <v>1.0252315460211003</v>
      </c>
      <c r="G228">
        <v>1.0407950021714312</v>
      </c>
      <c r="H228">
        <v>0.99855276528049619</v>
      </c>
      <c r="I228">
        <v>1.0546720996747863</v>
      </c>
      <c r="J228" t="s">
        <v>199</v>
      </c>
      <c r="K228" t="s">
        <v>204</v>
      </c>
      <c r="L228" t="s">
        <v>222</v>
      </c>
      <c r="M228" t="s">
        <v>225</v>
      </c>
      <c r="N228" t="str">
        <f t="shared" si="3"/>
        <v>ZSGL</v>
      </c>
    </row>
    <row r="229" spans="1:14" x14ac:dyDescent="0.25">
      <c r="A229" t="s">
        <v>382</v>
      </c>
      <c r="B229">
        <v>1.0722437431643526</v>
      </c>
      <c r="C229">
        <v>0.96778786457883204</v>
      </c>
      <c r="D229">
        <v>0.9202794204942879</v>
      </c>
      <c r="E229">
        <v>0.94785387568585433</v>
      </c>
      <c r="F229">
        <v>0.96463049962949576</v>
      </c>
      <c r="G229">
        <v>0.99781920510744082</v>
      </c>
      <c r="H229">
        <v>0.89451990515904045</v>
      </c>
      <c r="I229">
        <v>0.98363875891127928</v>
      </c>
      <c r="J229" t="s">
        <v>199</v>
      </c>
      <c r="K229" t="s">
        <v>239</v>
      </c>
      <c r="L229" t="s">
        <v>222</v>
      </c>
      <c r="M229" t="s">
        <v>225</v>
      </c>
      <c r="N229" t="str">
        <f t="shared" si="3"/>
        <v>BFCS</v>
      </c>
    </row>
    <row r="230" spans="1:14" x14ac:dyDescent="0.25">
      <c r="A230" t="s">
        <v>383</v>
      </c>
      <c r="B230">
        <v>1.3388647853605116</v>
      </c>
      <c r="C230">
        <v>1.2960999328051317</v>
      </c>
      <c r="D230">
        <v>1.1893157690512244</v>
      </c>
      <c r="E230">
        <v>1.1946958954240252</v>
      </c>
      <c r="F230">
        <v>1.2165112367412489</v>
      </c>
      <c r="G230">
        <v>1.3023135980504459</v>
      </c>
      <c r="H230">
        <v>1.2590713630397039</v>
      </c>
      <c r="I230">
        <v>1.326886845458088</v>
      </c>
      <c r="J230" t="s">
        <v>199</v>
      </c>
      <c r="K230" t="s">
        <v>241</v>
      </c>
      <c r="L230" t="s">
        <v>222</v>
      </c>
      <c r="M230" t="s">
        <v>225</v>
      </c>
      <c r="N230" t="str">
        <f t="shared" si="3"/>
        <v>SSSS</v>
      </c>
    </row>
    <row r="231" spans="1:14" x14ac:dyDescent="0.25">
      <c r="A231" t="s">
        <v>116</v>
      </c>
      <c r="B231">
        <v>1.0057009060531992</v>
      </c>
      <c r="C231">
        <v>0.93386526242557089</v>
      </c>
      <c r="D231">
        <v>0.91293275554070796</v>
      </c>
      <c r="E231">
        <v>0.90471303492908417</v>
      </c>
      <c r="F231">
        <v>0.89307745783011561</v>
      </c>
      <c r="G231">
        <v>0.91942838412217831</v>
      </c>
      <c r="H231">
        <v>0.87764269044703391</v>
      </c>
      <c r="I231">
        <v>0.91917150243970702</v>
      </c>
      <c r="J231" t="s">
        <v>199</v>
      </c>
      <c r="K231" t="s">
        <v>206</v>
      </c>
      <c r="L231" t="s">
        <v>222</v>
      </c>
      <c r="M231" t="s">
        <v>225</v>
      </c>
      <c r="N231" t="str">
        <f t="shared" si="3"/>
        <v>BMS</v>
      </c>
    </row>
    <row r="232" spans="1:14" x14ac:dyDescent="0.25">
      <c r="A232" t="s">
        <v>289</v>
      </c>
      <c r="B232">
        <v>1.056966593722624</v>
      </c>
      <c r="C232">
        <v>0.97575459405926424</v>
      </c>
      <c r="D232">
        <v>0.95998514575199234</v>
      </c>
      <c r="E232">
        <v>0.9931468105471607</v>
      </c>
      <c r="F232">
        <v>0.94430029059603304</v>
      </c>
      <c r="G232">
        <v>1.0152482384349668</v>
      </c>
      <c r="H232">
        <v>0.92599267569213495</v>
      </c>
      <c r="I232">
        <v>0.96766287234420079</v>
      </c>
      <c r="J232" t="s">
        <v>199</v>
      </c>
      <c r="K232" t="s">
        <v>207</v>
      </c>
      <c r="L232" t="s">
        <v>222</v>
      </c>
      <c r="M232" t="s">
        <v>225</v>
      </c>
      <c r="N232" t="str">
        <f t="shared" si="3"/>
        <v>CC</v>
      </c>
    </row>
    <row r="233" spans="1:14" x14ac:dyDescent="0.25">
      <c r="A233" t="s">
        <v>384</v>
      </c>
      <c r="B233">
        <v>0.98375944823806249</v>
      </c>
      <c r="C233">
        <v>1.0439153469260833</v>
      </c>
      <c r="D233">
        <v>0.99621225703486993</v>
      </c>
      <c r="E233">
        <v>1.0679200382860912</v>
      </c>
      <c r="F233">
        <v>1.0261803367268663</v>
      </c>
      <c r="G233">
        <v>1.1050312668754589</v>
      </c>
      <c r="H233">
        <v>0.99572599618544255</v>
      </c>
      <c r="I233">
        <v>1.002875789258187</v>
      </c>
      <c r="J233" t="s">
        <v>199</v>
      </c>
      <c r="K233" t="s">
        <v>233</v>
      </c>
      <c r="L233" t="s">
        <v>222</v>
      </c>
      <c r="M233" t="s">
        <v>225</v>
      </c>
      <c r="N233" t="str">
        <f t="shared" si="3"/>
        <v>POOL</v>
      </c>
    </row>
    <row r="234" spans="1:14" x14ac:dyDescent="0.25">
      <c r="A234" t="s">
        <v>117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 t="s">
        <v>199</v>
      </c>
      <c r="K234" t="s">
        <v>202</v>
      </c>
      <c r="L234" t="s">
        <v>223</v>
      </c>
      <c r="M234" t="s">
        <v>225</v>
      </c>
      <c r="N234" t="str">
        <f t="shared" si="3"/>
        <v>ZS</v>
      </c>
    </row>
    <row r="235" spans="1:14" x14ac:dyDescent="0.25">
      <c r="A235" t="s">
        <v>118</v>
      </c>
      <c r="B235">
        <v>1.0026662036086365</v>
      </c>
      <c r="C235">
        <v>1.0108195238875184</v>
      </c>
      <c r="D235">
        <v>1.0382957864454179</v>
      </c>
      <c r="E235">
        <v>1.0237208063608081</v>
      </c>
      <c r="F235">
        <v>1.0370998314884521</v>
      </c>
      <c r="G235">
        <v>1.0736736731836882</v>
      </c>
      <c r="H235">
        <v>0.98720710160890757</v>
      </c>
      <c r="I235">
        <v>1.0497577108349589</v>
      </c>
      <c r="J235" t="s">
        <v>199</v>
      </c>
      <c r="K235" t="s">
        <v>203</v>
      </c>
      <c r="L235" t="s">
        <v>223</v>
      </c>
      <c r="M235" t="s">
        <v>225</v>
      </c>
      <c r="N235" t="str">
        <f t="shared" si="3"/>
        <v>ZS\&amp;POOL</v>
      </c>
    </row>
    <row r="236" spans="1:14" x14ac:dyDescent="0.25">
      <c r="A236" t="s">
        <v>119</v>
      </c>
      <c r="B236">
        <v>1.0594867009439575</v>
      </c>
      <c r="C236">
        <v>1.0024821615525845</v>
      </c>
      <c r="D236">
        <v>1.1175187242330309</v>
      </c>
      <c r="E236">
        <v>1.1177394417394373</v>
      </c>
      <c r="F236">
        <v>1.1071941265806684</v>
      </c>
      <c r="G236">
        <v>1.0322824128044383</v>
      </c>
      <c r="H236">
        <v>1.0093654310510332</v>
      </c>
      <c r="I236">
        <v>1.0593491999957887</v>
      </c>
      <c r="J236" t="s">
        <v>199</v>
      </c>
      <c r="K236" t="s">
        <v>204</v>
      </c>
      <c r="L236" t="s">
        <v>223</v>
      </c>
      <c r="M236" t="s">
        <v>225</v>
      </c>
      <c r="N236" t="str">
        <f t="shared" si="3"/>
        <v>ZSGL</v>
      </c>
    </row>
    <row r="237" spans="1:14" x14ac:dyDescent="0.25">
      <c r="A237" t="s">
        <v>385</v>
      </c>
      <c r="B237">
        <v>1.1831169880832104</v>
      </c>
      <c r="C237">
        <v>1.1431119648107582</v>
      </c>
      <c r="D237">
        <v>1.085819375564258</v>
      </c>
      <c r="E237">
        <v>1.1915631226305408</v>
      </c>
      <c r="F237">
        <v>1.1041351444881282</v>
      </c>
      <c r="G237">
        <v>1.0840684611679987</v>
      </c>
      <c r="H237">
        <v>1.0499892782438849</v>
      </c>
      <c r="I237">
        <v>1.1439848849549656</v>
      </c>
      <c r="J237" t="s">
        <v>199</v>
      </c>
      <c r="K237" t="s">
        <v>239</v>
      </c>
      <c r="L237" t="s">
        <v>223</v>
      </c>
      <c r="M237" t="s">
        <v>225</v>
      </c>
      <c r="N237" t="str">
        <f t="shared" si="3"/>
        <v>BFCS</v>
      </c>
    </row>
    <row r="238" spans="1:14" x14ac:dyDescent="0.25">
      <c r="A238" t="s">
        <v>386</v>
      </c>
      <c r="B238">
        <v>1.0108656586394629</v>
      </c>
      <c r="C238">
        <v>0.96732264316085304</v>
      </c>
      <c r="D238">
        <v>1.0271114873402445</v>
      </c>
      <c r="E238">
        <v>0.96439153986788706</v>
      </c>
      <c r="F238">
        <v>0.95668439256824456</v>
      </c>
      <c r="G238">
        <v>0.91107960884438499</v>
      </c>
      <c r="H238">
        <v>0.8976988520131951</v>
      </c>
      <c r="I238">
        <v>0.90342936264012608</v>
      </c>
      <c r="J238" t="s">
        <v>199</v>
      </c>
      <c r="K238" t="s">
        <v>241</v>
      </c>
      <c r="L238" t="s">
        <v>223</v>
      </c>
      <c r="M238" t="s">
        <v>225</v>
      </c>
      <c r="N238" t="str">
        <f t="shared" si="3"/>
        <v>SSSS</v>
      </c>
    </row>
    <row r="239" spans="1:14" x14ac:dyDescent="0.25">
      <c r="A239" t="s">
        <v>120</v>
      </c>
      <c r="B239">
        <v>1.2087939916786306</v>
      </c>
      <c r="C239">
        <v>0.99716301773816085</v>
      </c>
      <c r="D239">
        <v>0.99832665368183349</v>
      </c>
      <c r="E239">
        <v>0.95842625188060659</v>
      </c>
      <c r="F239">
        <v>0.89624958546859557</v>
      </c>
      <c r="G239">
        <v>0.8696423661441488</v>
      </c>
      <c r="H239">
        <v>0.90637608691661142</v>
      </c>
      <c r="I239">
        <v>0.88333641458717138</v>
      </c>
      <c r="J239" t="s">
        <v>199</v>
      </c>
      <c r="K239" t="s">
        <v>206</v>
      </c>
      <c r="L239" t="s">
        <v>223</v>
      </c>
      <c r="M239" t="s">
        <v>225</v>
      </c>
      <c r="N239" t="str">
        <f t="shared" si="3"/>
        <v>BMS</v>
      </c>
    </row>
    <row r="240" spans="1:14" x14ac:dyDescent="0.25">
      <c r="A240" t="s">
        <v>290</v>
      </c>
      <c r="B240">
        <v>1.5251587857714226</v>
      </c>
      <c r="C240">
        <v>1.3238079358068875</v>
      </c>
      <c r="D240">
        <v>1.3355274935736619</v>
      </c>
      <c r="E240">
        <v>1.3203295782761064</v>
      </c>
      <c r="F240">
        <v>1.2353901772680096</v>
      </c>
      <c r="G240">
        <v>1.1656586196492524</v>
      </c>
      <c r="H240">
        <v>1.1124671484378748</v>
      </c>
      <c r="I240">
        <v>1.2078633411994606</v>
      </c>
      <c r="J240" t="s">
        <v>199</v>
      </c>
      <c r="K240" t="s">
        <v>207</v>
      </c>
      <c r="L240" t="s">
        <v>223</v>
      </c>
      <c r="M240" t="s">
        <v>225</v>
      </c>
      <c r="N240" t="str">
        <f t="shared" si="3"/>
        <v>CC</v>
      </c>
    </row>
    <row r="241" spans="1:14" x14ac:dyDescent="0.25">
      <c r="A241" t="s">
        <v>387</v>
      </c>
      <c r="B241">
        <v>1.0403427407711801</v>
      </c>
      <c r="C241">
        <v>1.0353862125902646</v>
      </c>
      <c r="D241">
        <v>1.0884402149682184</v>
      </c>
      <c r="E241">
        <v>1.1013581898950939</v>
      </c>
      <c r="F241">
        <v>1.0682030172336503</v>
      </c>
      <c r="G241">
        <v>1.0557241955384271</v>
      </c>
      <c r="H241">
        <v>1.0321407761414776</v>
      </c>
      <c r="I241">
        <v>1.0895434433003754</v>
      </c>
      <c r="J241" t="s">
        <v>199</v>
      </c>
      <c r="K241" t="s">
        <v>233</v>
      </c>
      <c r="L241" t="s">
        <v>223</v>
      </c>
      <c r="M241" t="s">
        <v>225</v>
      </c>
      <c r="N241" t="str">
        <f t="shared" si="3"/>
        <v>POOL</v>
      </c>
    </row>
    <row r="242" spans="1:14" x14ac:dyDescent="0.25">
      <c r="A242" t="s">
        <v>121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 t="s">
        <v>200</v>
      </c>
      <c r="K242" t="s">
        <v>202</v>
      </c>
      <c r="L242" t="s">
        <v>209</v>
      </c>
      <c r="M242" t="s">
        <v>225</v>
      </c>
      <c r="N242" t="str">
        <f t="shared" si="3"/>
        <v>ZS</v>
      </c>
    </row>
    <row r="243" spans="1:14" x14ac:dyDescent="0.25">
      <c r="A243" t="s">
        <v>122</v>
      </c>
      <c r="B243">
        <v>1.1059259086253082</v>
      </c>
      <c r="C243">
        <v>1.0761766756213722</v>
      </c>
      <c r="D243">
        <v>1.0449755939570076</v>
      </c>
      <c r="E243">
        <v>1.0411496785817078</v>
      </c>
      <c r="F243">
        <v>1.0392120920575016</v>
      </c>
      <c r="G243">
        <v>1.0255678645273356</v>
      </c>
      <c r="H243">
        <v>1.0204912271540676</v>
      </c>
      <c r="I243">
        <v>1.0146447725011767</v>
      </c>
      <c r="J243" t="s">
        <v>200</v>
      </c>
      <c r="K243" t="s">
        <v>203</v>
      </c>
      <c r="L243" t="s">
        <v>209</v>
      </c>
      <c r="M243" t="s">
        <v>225</v>
      </c>
      <c r="N243" t="str">
        <f t="shared" si="3"/>
        <v>ZS\&amp;POOL</v>
      </c>
    </row>
    <row r="244" spans="1:14" x14ac:dyDescent="0.25">
      <c r="A244" t="s">
        <v>123</v>
      </c>
      <c r="B244">
        <v>0.96183963603505818</v>
      </c>
      <c r="C244">
        <v>0.93175752685970614</v>
      </c>
      <c r="D244">
        <v>0.90995856484484161</v>
      </c>
      <c r="E244">
        <v>0.90592762726498377</v>
      </c>
      <c r="F244">
        <v>0.89604851132373609</v>
      </c>
      <c r="G244">
        <v>0.88407336622915189</v>
      </c>
      <c r="H244">
        <v>0.88402426287179758</v>
      </c>
      <c r="I244">
        <v>0.89167236123362159</v>
      </c>
      <c r="J244" t="s">
        <v>200</v>
      </c>
      <c r="K244" t="s">
        <v>204</v>
      </c>
      <c r="L244" t="s">
        <v>209</v>
      </c>
      <c r="M244" t="s">
        <v>225</v>
      </c>
      <c r="N244" t="str">
        <f t="shared" si="3"/>
        <v>ZSGL</v>
      </c>
    </row>
    <row r="245" spans="1:14" x14ac:dyDescent="0.25">
      <c r="A245" t="s">
        <v>388</v>
      </c>
      <c r="B245">
        <v>3.0854001618548486</v>
      </c>
      <c r="C245">
        <v>2.3426707870028562</v>
      </c>
      <c r="D245">
        <v>1.6189723727137282</v>
      </c>
      <c r="E245">
        <v>1.2898634350993345</v>
      </c>
      <c r="F245">
        <v>1.1505373503746097</v>
      </c>
      <c r="G245">
        <v>1.019631385388621</v>
      </c>
      <c r="H245">
        <v>0.92516208419619694</v>
      </c>
      <c r="I245">
        <v>0.87097919212491015</v>
      </c>
      <c r="J245" t="s">
        <v>200</v>
      </c>
      <c r="K245" t="s">
        <v>239</v>
      </c>
      <c r="L245" t="s">
        <v>209</v>
      </c>
      <c r="M245" t="s">
        <v>225</v>
      </c>
      <c r="N245" t="str">
        <f t="shared" si="3"/>
        <v>BFCS</v>
      </c>
    </row>
    <row r="246" spans="1:14" x14ac:dyDescent="0.25">
      <c r="A246" t="s">
        <v>389</v>
      </c>
      <c r="B246">
        <v>1.9630295100567055</v>
      </c>
      <c r="C246">
        <v>1.7413406292987144</v>
      </c>
      <c r="D246">
        <v>1.2924369443032628</v>
      </c>
      <c r="E246">
        <v>1.0508442368083524</v>
      </c>
      <c r="F246">
        <v>0.93801316726088957</v>
      </c>
      <c r="G246">
        <v>0.84435554008719049</v>
      </c>
      <c r="H246">
        <v>0.79032676033766058</v>
      </c>
      <c r="I246">
        <v>0.73785517161779435</v>
      </c>
      <c r="J246" t="s">
        <v>200</v>
      </c>
      <c r="K246" t="s">
        <v>241</v>
      </c>
      <c r="L246" t="s">
        <v>209</v>
      </c>
      <c r="M246" t="s">
        <v>225</v>
      </c>
      <c r="N246" t="str">
        <f t="shared" si="3"/>
        <v>SSSS</v>
      </c>
    </row>
    <row r="247" spans="1:14" x14ac:dyDescent="0.25">
      <c r="A247" t="s">
        <v>124</v>
      </c>
      <c r="B247">
        <v>2.6734474438539313</v>
      </c>
      <c r="C247">
        <v>1.9892816102944126</v>
      </c>
      <c r="D247">
        <v>1.4136583101371309</v>
      </c>
      <c r="E247">
        <v>1.1085447479450437</v>
      </c>
      <c r="F247">
        <v>0.96002837575169642</v>
      </c>
      <c r="G247">
        <v>0.85163454838521246</v>
      </c>
      <c r="H247">
        <v>0.78249691025208734</v>
      </c>
      <c r="I247">
        <v>0.73278109082772769</v>
      </c>
      <c r="J247" t="s">
        <v>200</v>
      </c>
      <c r="K247" t="s">
        <v>206</v>
      </c>
      <c r="L247" t="s">
        <v>209</v>
      </c>
      <c r="M247" t="s">
        <v>225</v>
      </c>
      <c r="N247" t="str">
        <f t="shared" si="3"/>
        <v>BMS</v>
      </c>
    </row>
    <row r="248" spans="1:14" x14ac:dyDescent="0.25">
      <c r="A248" t="s">
        <v>291</v>
      </c>
      <c r="B248">
        <v>4.9911836226667896</v>
      </c>
      <c r="C248">
        <v>4.0027890870609575</v>
      </c>
      <c r="D248">
        <v>2.6912025544147062</v>
      </c>
      <c r="E248">
        <v>2.0855869538963487</v>
      </c>
      <c r="F248">
        <v>1.7366750340688835</v>
      </c>
      <c r="G248">
        <v>1.5169395785203863</v>
      </c>
      <c r="H248">
        <v>1.3426143579437977</v>
      </c>
      <c r="I248">
        <v>1.2419674385920354</v>
      </c>
      <c r="J248" t="s">
        <v>200</v>
      </c>
      <c r="K248" t="s">
        <v>207</v>
      </c>
      <c r="L248" t="s">
        <v>209</v>
      </c>
      <c r="M248" t="s">
        <v>225</v>
      </c>
      <c r="N248" t="str">
        <f t="shared" si="3"/>
        <v>CC</v>
      </c>
    </row>
    <row r="249" spans="1:14" x14ac:dyDescent="0.25">
      <c r="A249" t="s">
        <v>390</v>
      </c>
      <c r="B249">
        <v>1.0575084626440685</v>
      </c>
      <c r="C249">
        <v>1.0415601315793843</v>
      </c>
      <c r="D249">
        <v>1.0012771929377717</v>
      </c>
      <c r="E249">
        <v>0.97921469848679632</v>
      </c>
      <c r="F249">
        <v>0.97168200831932117</v>
      </c>
      <c r="G249">
        <v>0.95413085063119019</v>
      </c>
      <c r="H249">
        <v>0.93725454115370999</v>
      </c>
      <c r="I249">
        <v>0.93050827115681911</v>
      </c>
      <c r="J249" t="s">
        <v>200</v>
      </c>
      <c r="K249" t="s">
        <v>233</v>
      </c>
      <c r="L249" t="s">
        <v>209</v>
      </c>
      <c r="M249" t="s">
        <v>225</v>
      </c>
      <c r="N249" t="str">
        <f t="shared" si="3"/>
        <v>POOL</v>
      </c>
    </row>
    <row r="250" spans="1:14" x14ac:dyDescent="0.25">
      <c r="A250" t="s">
        <v>125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 t="s">
        <v>200</v>
      </c>
      <c r="K250" t="s">
        <v>202</v>
      </c>
      <c r="L250" t="s">
        <v>210</v>
      </c>
      <c r="M250" t="s">
        <v>225</v>
      </c>
      <c r="N250" t="str">
        <f t="shared" si="3"/>
        <v>ZS</v>
      </c>
    </row>
    <row r="251" spans="1:14" x14ac:dyDescent="0.25">
      <c r="A251" t="s">
        <v>126</v>
      </c>
      <c r="B251">
        <v>0.91609668811018974</v>
      </c>
      <c r="C251">
        <v>0.96885755963019704</v>
      </c>
      <c r="D251">
        <v>0.99701595187665593</v>
      </c>
      <c r="E251">
        <v>1.0272116448873336</v>
      </c>
      <c r="F251">
        <v>1.0656741131975731</v>
      </c>
      <c r="G251">
        <v>1.0857948974149454</v>
      </c>
      <c r="H251">
        <v>1.0573517007830477</v>
      </c>
      <c r="I251">
        <v>1.0641077039194144</v>
      </c>
      <c r="J251" t="s">
        <v>200</v>
      </c>
      <c r="K251" t="s">
        <v>203</v>
      </c>
      <c r="L251" t="s">
        <v>210</v>
      </c>
      <c r="M251" t="s">
        <v>225</v>
      </c>
      <c r="N251" t="str">
        <f t="shared" si="3"/>
        <v>ZS\&amp;POOL</v>
      </c>
    </row>
    <row r="252" spans="1:14" x14ac:dyDescent="0.25">
      <c r="A252" t="s">
        <v>127</v>
      </c>
      <c r="B252">
        <v>0.97828216502463561</v>
      </c>
      <c r="C252">
        <v>1.0585915483183501</v>
      </c>
      <c r="D252">
        <v>1.1164116749687807</v>
      </c>
      <c r="E252">
        <v>1.113280898748084</v>
      </c>
      <c r="F252">
        <v>1.1213394852779799</v>
      </c>
      <c r="G252">
        <v>1.1112770474989471</v>
      </c>
      <c r="H252">
        <v>1.0769185215963137</v>
      </c>
      <c r="I252">
        <v>1.0776138705183398</v>
      </c>
      <c r="J252" t="s">
        <v>200</v>
      </c>
      <c r="K252" t="s">
        <v>204</v>
      </c>
      <c r="L252" t="s">
        <v>210</v>
      </c>
      <c r="M252" t="s">
        <v>225</v>
      </c>
      <c r="N252" t="str">
        <f t="shared" si="3"/>
        <v>ZSGL</v>
      </c>
    </row>
    <row r="253" spans="1:14" x14ac:dyDescent="0.25">
      <c r="A253" t="s">
        <v>391</v>
      </c>
      <c r="B253">
        <v>4.0394162366156809</v>
      </c>
      <c r="C253">
        <v>3.2087514435085547</v>
      </c>
      <c r="D253">
        <v>2.3491314616486769</v>
      </c>
      <c r="E253">
        <v>1.9466896457249934</v>
      </c>
      <c r="F253">
        <v>1.7420493872584135</v>
      </c>
      <c r="G253">
        <v>1.5494874259811344</v>
      </c>
      <c r="H253">
        <v>1.3852959964423757</v>
      </c>
      <c r="I253">
        <v>1.3259682234568413</v>
      </c>
      <c r="J253" t="s">
        <v>200</v>
      </c>
      <c r="K253" t="s">
        <v>239</v>
      </c>
      <c r="L253" t="s">
        <v>210</v>
      </c>
      <c r="M253" t="s">
        <v>225</v>
      </c>
      <c r="N253" t="str">
        <f t="shared" si="3"/>
        <v>BFCS</v>
      </c>
    </row>
    <row r="254" spans="1:14" x14ac:dyDescent="0.25">
      <c r="A254" t="s">
        <v>392</v>
      </c>
      <c r="B254">
        <v>2.1784573819375836</v>
      </c>
      <c r="C254">
        <v>2.251582457730414</v>
      </c>
      <c r="D254">
        <v>1.6971367035196867</v>
      </c>
      <c r="E254">
        <v>1.4547668525860651</v>
      </c>
      <c r="F254">
        <v>1.3243794803358222</v>
      </c>
      <c r="G254">
        <v>1.204384218241157</v>
      </c>
      <c r="H254">
        <v>1.0987853377184063</v>
      </c>
      <c r="I254">
        <v>1.049862480977664</v>
      </c>
      <c r="J254" t="s">
        <v>200</v>
      </c>
      <c r="K254" t="s">
        <v>241</v>
      </c>
      <c r="L254" t="s">
        <v>210</v>
      </c>
      <c r="M254" t="s">
        <v>225</v>
      </c>
      <c r="N254" t="str">
        <f t="shared" si="3"/>
        <v>SSSS</v>
      </c>
    </row>
    <row r="255" spans="1:14" x14ac:dyDescent="0.25">
      <c r="A255" t="s">
        <v>128</v>
      </c>
      <c r="B255">
        <v>3.0273451408473102</v>
      </c>
      <c r="C255">
        <v>2.5813134801408659</v>
      </c>
      <c r="D255">
        <v>1.9227591524303971</v>
      </c>
      <c r="E255">
        <v>1.5342577834278679</v>
      </c>
      <c r="F255">
        <v>1.3430555271802591</v>
      </c>
      <c r="G255">
        <v>1.2272678991438586</v>
      </c>
      <c r="H255">
        <v>1.1098938260576163</v>
      </c>
      <c r="I255">
        <v>1.0640855964646432</v>
      </c>
      <c r="J255" t="s">
        <v>200</v>
      </c>
      <c r="K255" t="s">
        <v>206</v>
      </c>
      <c r="L255" t="s">
        <v>210</v>
      </c>
      <c r="M255" t="s">
        <v>225</v>
      </c>
      <c r="N255" t="str">
        <f t="shared" si="3"/>
        <v>BMS</v>
      </c>
    </row>
    <row r="256" spans="1:14" x14ac:dyDescent="0.25">
      <c r="A256" t="s">
        <v>292</v>
      </c>
      <c r="B256">
        <v>6.6639459680926016</v>
      </c>
      <c r="C256">
        <v>5.5296206209678136</v>
      </c>
      <c r="D256">
        <v>3.9533034817325512</v>
      </c>
      <c r="E256">
        <v>3.2392837487700046</v>
      </c>
      <c r="F256">
        <v>2.7848938301196675</v>
      </c>
      <c r="G256">
        <v>2.4745458821193935</v>
      </c>
      <c r="H256">
        <v>2.1808877054085491</v>
      </c>
      <c r="I256">
        <v>2.0261253774863635</v>
      </c>
      <c r="J256" t="s">
        <v>200</v>
      </c>
      <c r="K256" t="s">
        <v>207</v>
      </c>
      <c r="L256" t="s">
        <v>210</v>
      </c>
      <c r="M256" t="s">
        <v>225</v>
      </c>
      <c r="N256" t="str">
        <f t="shared" si="3"/>
        <v>CC</v>
      </c>
    </row>
    <row r="257" spans="1:14" x14ac:dyDescent="0.25">
      <c r="A257" t="s">
        <v>393</v>
      </c>
      <c r="B257">
        <v>0.8715159501991494</v>
      </c>
      <c r="C257">
        <v>0.96539417427079111</v>
      </c>
      <c r="D257">
        <v>0.98202748408157625</v>
      </c>
      <c r="E257">
        <v>1.0356432826175865</v>
      </c>
      <c r="F257">
        <v>1.0972294201650905</v>
      </c>
      <c r="G257">
        <v>1.1183475203006972</v>
      </c>
      <c r="H257">
        <v>1.1313587758905657</v>
      </c>
      <c r="I257">
        <v>1.1411806149890111</v>
      </c>
      <c r="J257" t="s">
        <v>200</v>
      </c>
      <c r="K257" t="s">
        <v>233</v>
      </c>
      <c r="L257" t="s">
        <v>210</v>
      </c>
      <c r="M257" t="s">
        <v>225</v>
      </c>
      <c r="N257" t="str">
        <f t="shared" si="3"/>
        <v>POOL</v>
      </c>
    </row>
    <row r="258" spans="1:14" x14ac:dyDescent="0.25">
      <c r="A258" t="s">
        <v>129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 t="s">
        <v>200</v>
      </c>
      <c r="K258" t="s">
        <v>202</v>
      </c>
      <c r="L258" t="s">
        <v>211</v>
      </c>
      <c r="M258" t="s">
        <v>225</v>
      </c>
      <c r="N258" t="str">
        <f t="shared" ref="N258:N321" si="4">VLOOKUP(K258,modelNames,2,FALSE)</f>
        <v>ZS</v>
      </c>
    </row>
    <row r="259" spans="1:14" x14ac:dyDescent="0.25">
      <c r="A259" t="s">
        <v>130</v>
      </c>
      <c r="B259">
        <v>0.97596617423137244</v>
      </c>
      <c r="C259">
        <v>0.98122545753692303</v>
      </c>
      <c r="D259">
        <v>0.93281265340256869</v>
      </c>
      <c r="E259">
        <v>0.94771990958557328</v>
      </c>
      <c r="F259">
        <v>0.95033872838029898</v>
      </c>
      <c r="G259">
        <v>0.95086415437148408</v>
      </c>
      <c r="H259">
        <v>0.9537835853152955</v>
      </c>
      <c r="I259">
        <v>0.96197391198456972</v>
      </c>
      <c r="J259" t="s">
        <v>200</v>
      </c>
      <c r="K259" t="s">
        <v>203</v>
      </c>
      <c r="L259" t="s">
        <v>211</v>
      </c>
      <c r="M259" t="s">
        <v>225</v>
      </c>
      <c r="N259" t="str">
        <f t="shared" si="4"/>
        <v>ZS\&amp;POOL</v>
      </c>
    </row>
    <row r="260" spans="1:14" x14ac:dyDescent="0.25">
      <c r="A260" t="s">
        <v>131</v>
      </c>
      <c r="B260">
        <v>0.99632409361034102</v>
      </c>
      <c r="C260">
        <v>1.061031017157569</v>
      </c>
      <c r="D260">
        <v>1.0087766306830817</v>
      </c>
      <c r="E260">
        <v>1.0159077076567873</v>
      </c>
      <c r="F260">
        <v>1.0151554368696414</v>
      </c>
      <c r="G260">
        <v>1.0196445649173855</v>
      </c>
      <c r="H260">
        <v>1.0345063060151753</v>
      </c>
      <c r="I260">
        <v>1.0242694757433284</v>
      </c>
      <c r="J260" t="s">
        <v>200</v>
      </c>
      <c r="K260" t="s">
        <v>204</v>
      </c>
      <c r="L260" t="s">
        <v>211</v>
      </c>
      <c r="M260" t="s">
        <v>225</v>
      </c>
      <c r="N260" t="str">
        <f t="shared" si="4"/>
        <v>ZSGL</v>
      </c>
    </row>
    <row r="261" spans="1:14" x14ac:dyDescent="0.25">
      <c r="A261" t="s">
        <v>394</v>
      </c>
      <c r="B261">
        <v>2.2649213107401178</v>
      </c>
      <c r="C261">
        <v>2.4389607330587935</v>
      </c>
      <c r="D261">
        <v>1.9015033874042331</v>
      </c>
      <c r="E261">
        <v>1.5907337965083521</v>
      </c>
      <c r="F261">
        <v>1.3752257160153811</v>
      </c>
      <c r="G261">
        <v>1.2505077144422103</v>
      </c>
      <c r="H261">
        <v>1.1483740422447801</v>
      </c>
      <c r="I261">
        <v>1.0803223306971477</v>
      </c>
      <c r="J261" t="s">
        <v>200</v>
      </c>
      <c r="K261" t="s">
        <v>239</v>
      </c>
      <c r="L261" t="s">
        <v>211</v>
      </c>
      <c r="M261" t="s">
        <v>225</v>
      </c>
      <c r="N261" t="str">
        <f t="shared" si="4"/>
        <v>BFCS</v>
      </c>
    </row>
    <row r="262" spans="1:14" x14ac:dyDescent="0.25">
      <c r="A262" t="s">
        <v>395</v>
      </c>
      <c r="B262">
        <v>1.9851592809988006</v>
      </c>
      <c r="C262">
        <v>2.856986832100564</v>
      </c>
      <c r="D262">
        <v>2.2111548100172267</v>
      </c>
      <c r="E262">
        <v>1.8548793454611356</v>
      </c>
      <c r="F262">
        <v>1.5721524457760987</v>
      </c>
      <c r="G262">
        <v>1.4280654577257059</v>
      </c>
      <c r="H262">
        <v>1.2843143083520527</v>
      </c>
      <c r="I262">
        <v>1.1862669712637932</v>
      </c>
      <c r="J262" t="s">
        <v>200</v>
      </c>
      <c r="K262" t="s">
        <v>241</v>
      </c>
      <c r="L262" t="s">
        <v>211</v>
      </c>
      <c r="M262" t="s">
        <v>225</v>
      </c>
      <c r="N262" t="str">
        <f t="shared" si="4"/>
        <v>SSSS</v>
      </c>
    </row>
    <row r="263" spans="1:14" x14ac:dyDescent="0.25">
      <c r="A263" t="s">
        <v>132</v>
      </c>
      <c r="B263">
        <v>1.9251343874126572</v>
      </c>
      <c r="C263">
        <v>2.2672546407601546</v>
      </c>
      <c r="D263">
        <v>1.7637461675571344</v>
      </c>
      <c r="E263">
        <v>1.4232975093303601</v>
      </c>
      <c r="F263">
        <v>1.2328419003554449</v>
      </c>
      <c r="G263">
        <v>1.1384312810990278</v>
      </c>
      <c r="H263">
        <v>1.0362451364943002</v>
      </c>
      <c r="I263">
        <v>0.92193738611381804</v>
      </c>
      <c r="J263" t="s">
        <v>200</v>
      </c>
      <c r="K263" t="s">
        <v>206</v>
      </c>
      <c r="L263" t="s">
        <v>211</v>
      </c>
      <c r="M263" t="s">
        <v>225</v>
      </c>
      <c r="N263" t="str">
        <f t="shared" si="4"/>
        <v>BMS</v>
      </c>
    </row>
    <row r="264" spans="1:14" x14ac:dyDescent="0.25">
      <c r="A264" t="s">
        <v>293</v>
      </c>
      <c r="B264">
        <v>3.7484576298726853</v>
      </c>
      <c r="C264">
        <v>3.7436063304618026</v>
      </c>
      <c r="D264">
        <v>2.8101174135100697</v>
      </c>
      <c r="E264">
        <v>2.2894052445397839</v>
      </c>
      <c r="F264">
        <v>1.9459868185607951</v>
      </c>
      <c r="G264">
        <v>1.7229218801656145</v>
      </c>
      <c r="H264">
        <v>1.5631005050515077</v>
      </c>
      <c r="I264">
        <v>1.4428209621229162</v>
      </c>
      <c r="J264" t="s">
        <v>200</v>
      </c>
      <c r="K264" t="s">
        <v>207</v>
      </c>
      <c r="L264" t="s">
        <v>211</v>
      </c>
      <c r="M264" t="s">
        <v>225</v>
      </c>
      <c r="N264" t="str">
        <f t="shared" si="4"/>
        <v>CC</v>
      </c>
    </row>
    <row r="265" spans="1:14" x14ac:dyDescent="0.25">
      <c r="A265" t="s">
        <v>396</v>
      </c>
      <c r="B265">
        <v>0.98972119515725321</v>
      </c>
      <c r="C265">
        <v>0.98580041331831803</v>
      </c>
      <c r="D265">
        <v>0.99147180604264695</v>
      </c>
      <c r="E265">
        <v>0.98448712514974734</v>
      </c>
      <c r="F265">
        <v>1.0054467584029239</v>
      </c>
      <c r="G265">
        <v>1.0191657089204813</v>
      </c>
      <c r="H265">
        <v>1.0271702121515049</v>
      </c>
      <c r="I265">
        <v>1.0372705683733845</v>
      </c>
      <c r="J265" t="s">
        <v>200</v>
      </c>
      <c r="K265" t="s">
        <v>233</v>
      </c>
      <c r="L265" t="s">
        <v>211</v>
      </c>
      <c r="M265" t="s">
        <v>225</v>
      </c>
      <c r="N265" t="str">
        <f t="shared" si="4"/>
        <v>POOL</v>
      </c>
    </row>
    <row r="266" spans="1:14" x14ac:dyDescent="0.25">
      <c r="A266" t="s">
        <v>133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 t="s">
        <v>200</v>
      </c>
      <c r="K266" t="s">
        <v>202</v>
      </c>
      <c r="L266" t="s">
        <v>212</v>
      </c>
      <c r="M266" t="s">
        <v>225</v>
      </c>
      <c r="N266" t="str">
        <f t="shared" si="4"/>
        <v>ZS</v>
      </c>
    </row>
    <row r="267" spans="1:14" x14ac:dyDescent="0.25">
      <c r="A267" t="s">
        <v>134</v>
      </c>
      <c r="B267">
        <v>0.93880028768374391</v>
      </c>
      <c r="C267">
        <v>0.98962033702990793</v>
      </c>
      <c r="D267">
        <v>0.96755580494621629</v>
      </c>
      <c r="E267">
        <v>0.9614037172244646</v>
      </c>
      <c r="F267">
        <v>0.98393480311349879</v>
      </c>
      <c r="G267">
        <v>0.99140546125445927</v>
      </c>
      <c r="H267">
        <v>1.0060005297626637</v>
      </c>
      <c r="I267">
        <v>1.0102137881211299</v>
      </c>
      <c r="J267" t="s">
        <v>200</v>
      </c>
      <c r="K267" t="s">
        <v>203</v>
      </c>
      <c r="L267" t="s">
        <v>212</v>
      </c>
      <c r="M267" t="s">
        <v>225</v>
      </c>
      <c r="N267" t="str">
        <f t="shared" si="4"/>
        <v>ZS\&amp;POOL</v>
      </c>
    </row>
    <row r="268" spans="1:14" x14ac:dyDescent="0.25">
      <c r="A268" t="s">
        <v>135</v>
      </c>
      <c r="B268">
        <v>0.982325302100166</v>
      </c>
      <c r="C268">
        <v>1.0297975678695921</v>
      </c>
      <c r="D268">
        <v>0.96680391644069208</v>
      </c>
      <c r="E268">
        <v>0.9128795722769707</v>
      </c>
      <c r="F268">
        <v>0.92711029570175685</v>
      </c>
      <c r="G268">
        <v>0.92358804608126122</v>
      </c>
      <c r="H268">
        <v>0.92488046551159775</v>
      </c>
      <c r="I268">
        <v>0.9304093594594236</v>
      </c>
      <c r="J268" t="s">
        <v>200</v>
      </c>
      <c r="K268" t="s">
        <v>204</v>
      </c>
      <c r="L268" t="s">
        <v>212</v>
      </c>
      <c r="M268" t="s">
        <v>225</v>
      </c>
      <c r="N268" t="str">
        <f t="shared" si="4"/>
        <v>ZSGL</v>
      </c>
    </row>
    <row r="269" spans="1:14" x14ac:dyDescent="0.25">
      <c r="A269" t="s">
        <v>397</v>
      </c>
      <c r="B269">
        <v>3.4752417968654465</v>
      </c>
      <c r="C269">
        <v>2.7258890626199088</v>
      </c>
      <c r="D269">
        <v>1.9906649263317078</v>
      </c>
      <c r="E269">
        <v>1.6058344515911327</v>
      </c>
      <c r="F269">
        <v>1.4138497983199239</v>
      </c>
      <c r="G269">
        <v>1.287105618273634</v>
      </c>
      <c r="H269">
        <v>1.1933697294953254</v>
      </c>
      <c r="I269">
        <v>1.1063114864055559</v>
      </c>
      <c r="J269" t="s">
        <v>200</v>
      </c>
      <c r="K269" t="s">
        <v>239</v>
      </c>
      <c r="L269" t="s">
        <v>212</v>
      </c>
      <c r="M269" t="s">
        <v>225</v>
      </c>
      <c r="N269" t="str">
        <f t="shared" si="4"/>
        <v>BFCS</v>
      </c>
    </row>
    <row r="270" spans="1:14" x14ac:dyDescent="0.25">
      <c r="A270" t="s">
        <v>398</v>
      </c>
      <c r="B270">
        <v>1.6754942238532413</v>
      </c>
      <c r="C270">
        <v>1.6365138205496894</v>
      </c>
      <c r="D270">
        <v>1.2543703218551987</v>
      </c>
      <c r="E270">
        <v>1.0513462081012235</v>
      </c>
      <c r="F270">
        <v>0.95135533886977808</v>
      </c>
      <c r="G270">
        <v>0.88458643792725933</v>
      </c>
      <c r="H270">
        <v>0.83892585625040206</v>
      </c>
      <c r="I270">
        <v>0.808458639531898</v>
      </c>
      <c r="J270" t="s">
        <v>200</v>
      </c>
      <c r="K270" t="s">
        <v>241</v>
      </c>
      <c r="L270" t="s">
        <v>212</v>
      </c>
      <c r="M270" t="s">
        <v>225</v>
      </c>
      <c r="N270" t="str">
        <f t="shared" si="4"/>
        <v>SSSS</v>
      </c>
    </row>
    <row r="271" spans="1:14" x14ac:dyDescent="0.25">
      <c r="A271" t="s">
        <v>136</v>
      </c>
      <c r="B271">
        <v>3.1525869546516527</v>
      </c>
      <c r="C271">
        <v>2.376758619474364</v>
      </c>
      <c r="D271">
        <v>1.7440985331846135</v>
      </c>
      <c r="E271">
        <v>1.3920847019801319</v>
      </c>
      <c r="F271">
        <v>1.2319368232509713</v>
      </c>
      <c r="G271">
        <v>1.1386194978037356</v>
      </c>
      <c r="H271">
        <v>1.0588897111839501</v>
      </c>
      <c r="I271">
        <v>0.98789875491668588</v>
      </c>
      <c r="J271" t="s">
        <v>200</v>
      </c>
      <c r="K271" t="s">
        <v>206</v>
      </c>
      <c r="L271" t="s">
        <v>212</v>
      </c>
      <c r="M271" t="s">
        <v>225</v>
      </c>
      <c r="N271" t="str">
        <f t="shared" si="4"/>
        <v>BMS</v>
      </c>
    </row>
    <row r="272" spans="1:14" x14ac:dyDescent="0.25">
      <c r="A272" t="s">
        <v>294</v>
      </c>
      <c r="B272">
        <v>5.2991423881407709</v>
      </c>
      <c r="C272">
        <v>4.1391799239905049</v>
      </c>
      <c r="D272">
        <v>2.9374323842535621</v>
      </c>
      <c r="E272">
        <v>2.3203286515147541</v>
      </c>
      <c r="F272">
        <v>1.9861950832248318</v>
      </c>
      <c r="G272">
        <v>1.7687795959527701</v>
      </c>
      <c r="H272">
        <v>1.6240755261982041</v>
      </c>
      <c r="I272">
        <v>1.5072408534540673</v>
      </c>
      <c r="J272" t="s">
        <v>200</v>
      </c>
      <c r="K272" t="s">
        <v>207</v>
      </c>
      <c r="L272" t="s">
        <v>212</v>
      </c>
      <c r="M272" t="s">
        <v>225</v>
      </c>
      <c r="N272" t="str">
        <f t="shared" si="4"/>
        <v>CC</v>
      </c>
    </row>
    <row r="273" spans="1:14" x14ac:dyDescent="0.25">
      <c r="A273" t="s">
        <v>399</v>
      </c>
      <c r="B273">
        <v>0.81181212889547349</v>
      </c>
      <c r="C273">
        <v>0.87391790933158564</v>
      </c>
      <c r="D273">
        <v>0.90315249134219755</v>
      </c>
      <c r="E273">
        <v>0.88293069571168625</v>
      </c>
      <c r="F273">
        <v>0.89923923387149074</v>
      </c>
      <c r="G273">
        <v>0.90093090362659056</v>
      </c>
      <c r="H273">
        <v>0.9350811791590119</v>
      </c>
      <c r="I273">
        <v>0.93855715784119309</v>
      </c>
      <c r="J273" t="s">
        <v>200</v>
      </c>
      <c r="K273" t="s">
        <v>233</v>
      </c>
      <c r="L273" t="s">
        <v>212</v>
      </c>
      <c r="M273" t="s">
        <v>225</v>
      </c>
      <c r="N273" t="str">
        <f t="shared" si="4"/>
        <v>POOL</v>
      </c>
    </row>
    <row r="274" spans="1:14" x14ac:dyDescent="0.25">
      <c r="A274" t="s">
        <v>137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 t="s">
        <v>200</v>
      </c>
      <c r="K274" t="s">
        <v>202</v>
      </c>
      <c r="L274" t="s">
        <v>213</v>
      </c>
      <c r="M274" t="s">
        <v>225</v>
      </c>
      <c r="N274" t="str">
        <f t="shared" si="4"/>
        <v>ZS</v>
      </c>
    </row>
    <row r="275" spans="1:14" x14ac:dyDescent="0.25">
      <c r="A275" t="s">
        <v>138</v>
      </c>
      <c r="B275">
        <v>0.98471521132533146</v>
      </c>
      <c r="C275">
        <v>1.0014834209142065</v>
      </c>
      <c r="D275">
        <v>1.0139499338511033</v>
      </c>
      <c r="E275">
        <v>1.001856685429009</v>
      </c>
      <c r="F275">
        <v>0.96378097661839457</v>
      </c>
      <c r="G275">
        <v>0.94427264252866649</v>
      </c>
      <c r="H275">
        <v>0.94502581150410636</v>
      </c>
      <c r="I275">
        <v>0.9396257861658367</v>
      </c>
      <c r="J275" t="s">
        <v>200</v>
      </c>
      <c r="K275" t="s">
        <v>203</v>
      </c>
      <c r="L275" t="s">
        <v>213</v>
      </c>
      <c r="M275" t="s">
        <v>225</v>
      </c>
      <c r="N275" t="str">
        <f t="shared" si="4"/>
        <v>ZS\&amp;POOL</v>
      </c>
    </row>
    <row r="276" spans="1:14" x14ac:dyDescent="0.25">
      <c r="A276" t="s">
        <v>139</v>
      </c>
      <c r="B276">
        <v>1.0644200686442429</v>
      </c>
      <c r="C276">
        <v>1.053496225276231</v>
      </c>
      <c r="D276">
        <v>1.0364386680968822</v>
      </c>
      <c r="E276">
        <v>1.0008339390359944</v>
      </c>
      <c r="F276">
        <v>1.0011390156475102</v>
      </c>
      <c r="G276">
        <v>0.98141603418966006</v>
      </c>
      <c r="H276">
        <v>0.96570232526567501</v>
      </c>
      <c r="I276">
        <v>0.95908586129820161</v>
      </c>
      <c r="J276" t="s">
        <v>200</v>
      </c>
      <c r="K276" t="s">
        <v>204</v>
      </c>
      <c r="L276" t="s">
        <v>213</v>
      </c>
      <c r="M276" t="s">
        <v>225</v>
      </c>
      <c r="N276" t="str">
        <f t="shared" si="4"/>
        <v>ZSGL</v>
      </c>
    </row>
    <row r="277" spans="1:14" x14ac:dyDescent="0.25">
      <c r="A277" t="s">
        <v>400</v>
      </c>
      <c r="B277">
        <v>2.9118882130511436</v>
      </c>
      <c r="C277">
        <v>2.0697375875433552</v>
      </c>
      <c r="D277">
        <v>1.5446680200896354</v>
      </c>
      <c r="E277">
        <v>1.3151623490449857</v>
      </c>
      <c r="F277">
        <v>1.1753196668714192</v>
      </c>
      <c r="G277">
        <v>1.0804467485017408</v>
      </c>
      <c r="H277">
        <v>0.99115804845879052</v>
      </c>
      <c r="I277">
        <v>0.95360447849294749</v>
      </c>
      <c r="J277" t="s">
        <v>200</v>
      </c>
      <c r="K277" t="s">
        <v>239</v>
      </c>
      <c r="L277" t="s">
        <v>213</v>
      </c>
      <c r="M277" t="s">
        <v>225</v>
      </c>
      <c r="N277" t="str">
        <f t="shared" si="4"/>
        <v>BFCS</v>
      </c>
    </row>
    <row r="278" spans="1:14" x14ac:dyDescent="0.25">
      <c r="A278" t="s">
        <v>401</v>
      </c>
      <c r="B278">
        <v>1.9038976258570859</v>
      </c>
      <c r="C278">
        <v>1.7302982948644163</v>
      </c>
      <c r="D278">
        <v>1.3497709821463881</v>
      </c>
      <c r="E278">
        <v>1.164729365815999</v>
      </c>
      <c r="F278">
        <v>1.0397211403859776</v>
      </c>
      <c r="G278">
        <v>0.95162451227474343</v>
      </c>
      <c r="H278">
        <v>0.88415350933413239</v>
      </c>
      <c r="I278">
        <v>0.86444574795245643</v>
      </c>
      <c r="J278" t="s">
        <v>200</v>
      </c>
      <c r="K278" t="s">
        <v>241</v>
      </c>
      <c r="L278" t="s">
        <v>213</v>
      </c>
      <c r="M278" t="s">
        <v>225</v>
      </c>
      <c r="N278" t="str">
        <f t="shared" si="4"/>
        <v>SSSS</v>
      </c>
    </row>
    <row r="279" spans="1:14" x14ac:dyDescent="0.25">
      <c r="A279" t="s">
        <v>140</v>
      </c>
      <c r="B279">
        <v>2.3834999761046576</v>
      </c>
      <c r="C279">
        <v>1.8018339105477581</v>
      </c>
      <c r="D279">
        <v>1.3743046333984406</v>
      </c>
      <c r="E279">
        <v>1.1348441549385138</v>
      </c>
      <c r="F279">
        <v>1.018056930082136</v>
      </c>
      <c r="G279">
        <v>0.94824851957579392</v>
      </c>
      <c r="H279">
        <v>0.86604412260404073</v>
      </c>
      <c r="I279">
        <v>0.82393008893354847</v>
      </c>
      <c r="J279" t="s">
        <v>200</v>
      </c>
      <c r="K279" t="s">
        <v>206</v>
      </c>
      <c r="L279" t="s">
        <v>213</v>
      </c>
      <c r="M279" t="s">
        <v>225</v>
      </c>
      <c r="N279" t="str">
        <f t="shared" si="4"/>
        <v>BMS</v>
      </c>
    </row>
    <row r="280" spans="1:14" x14ac:dyDescent="0.25">
      <c r="A280" t="s">
        <v>295</v>
      </c>
      <c r="B280">
        <v>3.739412411184583</v>
      </c>
      <c r="C280">
        <v>3.034314623588648</v>
      </c>
      <c r="D280">
        <v>2.2562083325518962</v>
      </c>
      <c r="E280">
        <v>1.8098504458606857</v>
      </c>
      <c r="F280">
        <v>1.5500514867514232</v>
      </c>
      <c r="G280">
        <v>1.3665729442212522</v>
      </c>
      <c r="H280">
        <v>1.2623035597011403</v>
      </c>
      <c r="I280">
        <v>1.1900357566450968</v>
      </c>
      <c r="J280" t="s">
        <v>200</v>
      </c>
      <c r="K280" t="s">
        <v>207</v>
      </c>
      <c r="L280" t="s">
        <v>213</v>
      </c>
      <c r="M280" t="s">
        <v>225</v>
      </c>
      <c r="N280" t="str">
        <f t="shared" si="4"/>
        <v>CC</v>
      </c>
    </row>
    <row r="281" spans="1:14" x14ac:dyDescent="0.25">
      <c r="A281" t="s">
        <v>402</v>
      </c>
      <c r="B281">
        <v>0.94471890877728215</v>
      </c>
      <c r="C281">
        <v>0.95840670177165344</v>
      </c>
      <c r="D281">
        <v>0.9581510710332275</v>
      </c>
      <c r="E281">
        <v>0.96767673487091876</v>
      </c>
      <c r="F281">
        <v>0.96907798532074907</v>
      </c>
      <c r="G281">
        <v>0.94908233577678258</v>
      </c>
      <c r="H281">
        <v>0.94430698914838718</v>
      </c>
      <c r="I281">
        <v>0.93795381374618814</v>
      </c>
      <c r="J281" t="s">
        <v>200</v>
      </c>
      <c r="K281" t="s">
        <v>233</v>
      </c>
      <c r="L281" t="s">
        <v>213</v>
      </c>
      <c r="M281" t="s">
        <v>225</v>
      </c>
      <c r="N281" t="str">
        <f t="shared" si="4"/>
        <v>POOL</v>
      </c>
    </row>
    <row r="282" spans="1:14" x14ac:dyDescent="0.25">
      <c r="A282" t="s">
        <v>141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 t="s">
        <v>200</v>
      </c>
      <c r="K282" t="s">
        <v>202</v>
      </c>
      <c r="L282" t="s">
        <v>214</v>
      </c>
      <c r="M282" t="s">
        <v>225</v>
      </c>
      <c r="N282" t="str">
        <f t="shared" si="4"/>
        <v>ZS</v>
      </c>
    </row>
    <row r="283" spans="1:14" x14ac:dyDescent="0.25">
      <c r="A283" t="s">
        <v>142</v>
      </c>
      <c r="B283">
        <v>1.0959335789584541</v>
      </c>
      <c r="C283">
        <v>1.0845918562560335</v>
      </c>
      <c r="D283">
        <v>1.0765824726033466</v>
      </c>
      <c r="E283">
        <v>1.0430968524922124</v>
      </c>
      <c r="F283">
        <v>1.0162876697097527</v>
      </c>
      <c r="G283">
        <v>0.98606539717612862</v>
      </c>
      <c r="H283">
        <v>0.97974903046947581</v>
      </c>
      <c r="I283">
        <v>0.96658111805160929</v>
      </c>
      <c r="J283" t="s">
        <v>200</v>
      </c>
      <c r="K283" t="s">
        <v>203</v>
      </c>
      <c r="L283" t="s">
        <v>214</v>
      </c>
      <c r="M283" t="s">
        <v>225</v>
      </c>
      <c r="N283" t="str">
        <f t="shared" si="4"/>
        <v>ZS\&amp;POOL</v>
      </c>
    </row>
    <row r="284" spans="1:14" x14ac:dyDescent="0.25">
      <c r="A284" t="s">
        <v>143</v>
      </c>
      <c r="B284">
        <v>0.89748248743523684</v>
      </c>
      <c r="C284">
        <v>0.84557876952241606</v>
      </c>
      <c r="D284">
        <v>0.90109194379267232</v>
      </c>
      <c r="E284">
        <v>0.90887306664906853</v>
      </c>
      <c r="F284">
        <v>0.94259770065050374</v>
      </c>
      <c r="G284">
        <v>0.92890387732780522</v>
      </c>
      <c r="H284">
        <v>0.93856708304283099</v>
      </c>
      <c r="I284">
        <v>0.92884283874861417</v>
      </c>
      <c r="J284" t="s">
        <v>200</v>
      </c>
      <c r="K284" t="s">
        <v>204</v>
      </c>
      <c r="L284" t="s">
        <v>214</v>
      </c>
      <c r="M284" t="s">
        <v>225</v>
      </c>
      <c r="N284" t="str">
        <f t="shared" si="4"/>
        <v>ZSGL</v>
      </c>
    </row>
    <row r="285" spans="1:14" x14ac:dyDescent="0.25">
      <c r="A285" t="s">
        <v>403</v>
      </c>
      <c r="B285">
        <v>3.3441608604118245</v>
      </c>
      <c r="C285">
        <v>2.5506008488889393</v>
      </c>
      <c r="D285">
        <v>1.9430599660300558</v>
      </c>
      <c r="E285">
        <v>1.5075926687864085</v>
      </c>
      <c r="F285">
        <v>1.3326455778148167</v>
      </c>
      <c r="G285">
        <v>1.1710660544121818</v>
      </c>
      <c r="H285">
        <v>1.0729547913430537</v>
      </c>
      <c r="I285">
        <v>1.0154324612072001</v>
      </c>
      <c r="J285" t="s">
        <v>200</v>
      </c>
      <c r="K285" t="s">
        <v>239</v>
      </c>
      <c r="L285" t="s">
        <v>214</v>
      </c>
      <c r="M285" t="s">
        <v>225</v>
      </c>
      <c r="N285" t="str">
        <f t="shared" si="4"/>
        <v>BFCS</v>
      </c>
    </row>
    <row r="286" spans="1:14" x14ac:dyDescent="0.25">
      <c r="A286" t="s">
        <v>404</v>
      </c>
      <c r="B286">
        <v>2.0337553061571958</v>
      </c>
      <c r="C286">
        <v>1.9612692289369829</v>
      </c>
      <c r="D286">
        <v>1.4815991867391081</v>
      </c>
      <c r="E286">
        <v>1.1947970697764265</v>
      </c>
      <c r="F286">
        <v>1.0200377424226688</v>
      </c>
      <c r="G286">
        <v>0.89282423389594856</v>
      </c>
      <c r="H286">
        <v>0.81832450132657797</v>
      </c>
      <c r="I286">
        <v>0.77537724152832366</v>
      </c>
      <c r="J286" t="s">
        <v>200</v>
      </c>
      <c r="K286" t="s">
        <v>241</v>
      </c>
      <c r="L286" t="s">
        <v>214</v>
      </c>
      <c r="M286" t="s">
        <v>225</v>
      </c>
      <c r="N286" t="str">
        <f t="shared" si="4"/>
        <v>SSSS</v>
      </c>
    </row>
    <row r="287" spans="1:14" x14ac:dyDescent="0.25">
      <c r="A287" t="s">
        <v>144</v>
      </c>
      <c r="B287">
        <v>2.5456765552582157</v>
      </c>
      <c r="C287">
        <v>2.0572350793765635</v>
      </c>
      <c r="D287">
        <v>1.5280530995898045</v>
      </c>
      <c r="E287">
        <v>1.2262837609699626</v>
      </c>
      <c r="F287">
        <v>1.066007449915426</v>
      </c>
      <c r="G287">
        <v>0.9763123276952681</v>
      </c>
      <c r="H287">
        <v>0.89140200954783499</v>
      </c>
      <c r="I287">
        <v>0.82724167040950014</v>
      </c>
      <c r="J287" t="s">
        <v>200</v>
      </c>
      <c r="K287" t="s">
        <v>206</v>
      </c>
      <c r="L287" t="s">
        <v>214</v>
      </c>
      <c r="M287" t="s">
        <v>225</v>
      </c>
      <c r="N287" t="str">
        <f t="shared" si="4"/>
        <v>BMS</v>
      </c>
    </row>
    <row r="288" spans="1:14" x14ac:dyDescent="0.25">
      <c r="A288" t="s">
        <v>296</v>
      </c>
      <c r="B288">
        <v>5.1312349549838174</v>
      </c>
      <c r="C288">
        <v>3.8643430278816147</v>
      </c>
      <c r="D288">
        <v>2.9192980960852646</v>
      </c>
      <c r="E288">
        <v>2.2660913324669423</v>
      </c>
      <c r="F288">
        <v>1.9003620137650992</v>
      </c>
      <c r="G288">
        <v>1.6550452097698263</v>
      </c>
      <c r="H288">
        <v>1.5044355026562168</v>
      </c>
      <c r="I288">
        <v>1.3956236888264437</v>
      </c>
      <c r="J288" t="s">
        <v>200</v>
      </c>
      <c r="K288" t="s">
        <v>207</v>
      </c>
      <c r="L288" t="s">
        <v>214</v>
      </c>
      <c r="M288" t="s">
        <v>225</v>
      </c>
      <c r="N288" t="str">
        <f t="shared" si="4"/>
        <v>CC</v>
      </c>
    </row>
    <row r="289" spans="1:14" x14ac:dyDescent="0.25">
      <c r="A289" t="s">
        <v>405</v>
      </c>
      <c r="B289">
        <v>1.0029040017488076</v>
      </c>
      <c r="C289">
        <v>1.0292707732422277</v>
      </c>
      <c r="D289">
        <v>1.1012851103031505</v>
      </c>
      <c r="E289">
        <v>1.0865820979980776</v>
      </c>
      <c r="F289">
        <v>1.0947087973386123</v>
      </c>
      <c r="G289">
        <v>1.0602179961511764</v>
      </c>
      <c r="H289">
        <v>1.0366843012326736</v>
      </c>
      <c r="I289">
        <v>1.0155458002812123</v>
      </c>
      <c r="J289" t="s">
        <v>200</v>
      </c>
      <c r="K289" t="s">
        <v>233</v>
      </c>
      <c r="L289" t="s">
        <v>214</v>
      </c>
      <c r="M289" t="s">
        <v>225</v>
      </c>
      <c r="N289" t="str">
        <f t="shared" si="4"/>
        <v>POOL</v>
      </c>
    </row>
    <row r="290" spans="1:14" x14ac:dyDescent="0.25">
      <c r="A290" t="s">
        <v>145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 t="s">
        <v>200</v>
      </c>
      <c r="K290" t="s">
        <v>202</v>
      </c>
      <c r="L290" t="s">
        <v>215</v>
      </c>
      <c r="M290" t="s">
        <v>225</v>
      </c>
      <c r="N290" t="str">
        <f t="shared" si="4"/>
        <v>ZS</v>
      </c>
    </row>
    <row r="291" spans="1:14" x14ac:dyDescent="0.25">
      <c r="A291" t="s">
        <v>146</v>
      </c>
      <c r="B291">
        <v>0.80829583226845148</v>
      </c>
      <c r="C291">
        <v>1.0364586639911502</v>
      </c>
      <c r="D291">
        <v>1.0724111100300402</v>
      </c>
      <c r="E291">
        <v>1.0942376266536316</v>
      </c>
      <c r="F291">
        <v>1.0044771415982481</v>
      </c>
      <c r="G291">
        <v>1.1412449237653659</v>
      </c>
      <c r="H291">
        <v>1.1993948946832746</v>
      </c>
      <c r="I291">
        <v>1.1292237050445217</v>
      </c>
      <c r="J291" t="s">
        <v>200</v>
      </c>
      <c r="K291" t="s">
        <v>203</v>
      </c>
      <c r="L291" t="s">
        <v>215</v>
      </c>
      <c r="M291" t="s">
        <v>225</v>
      </c>
      <c r="N291" t="str">
        <f t="shared" si="4"/>
        <v>ZS\&amp;POOL</v>
      </c>
    </row>
    <row r="292" spans="1:14" x14ac:dyDescent="0.25">
      <c r="A292" t="s">
        <v>147</v>
      </c>
      <c r="B292">
        <v>1.0328952850753006</v>
      </c>
      <c r="C292">
        <v>0.96908705860927158</v>
      </c>
      <c r="D292">
        <v>0.99448618252851162</v>
      </c>
      <c r="E292">
        <v>0.94756903835822825</v>
      </c>
      <c r="F292">
        <v>0.94719899741908953</v>
      </c>
      <c r="G292">
        <v>1.033620374401528</v>
      </c>
      <c r="H292">
        <v>1.1831899731446029</v>
      </c>
      <c r="I292">
        <v>1.0005631780325537</v>
      </c>
      <c r="J292" t="s">
        <v>200</v>
      </c>
      <c r="K292" t="s">
        <v>204</v>
      </c>
      <c r="L292" t="s">
        <v>215</v>
      </c>
      <c r="M292" t="s">
        <v>225</v>
      </c>
      <c r="N292" t="str">
        <f t="shared" si="4"/>
        <v>ZSGL</v>
      </c>
    </row>
    <row r="293" spans="1:14" x14ac:dyDescent="0.25">
      <c r="A293" t="s">
        <v>406</v>
      </c>
      <c r="B293">
        <v>1.1379652339609057</v>
      </c>
      <c r="C293">
        <v>0.95953072034736109</v>
      </c>
      <c r="D293">
        <v>1.1213441064713283</v>
      </c>
      <c r="E293">
        <v>0.96722535871769366</v>
      </c>
      <c r="F293">
        <v>0.84015425385961451</v>
      </c>
      <c r="G293">
        <v>0.9972978157473158</v>
      </c>
      <c r="H293">
        <v>0.92594296225573303</v>
      </c>
      <c r="I293">
        <v>0.75912129293041219</v>
      </c>
      <c r="J293" t="s">
        <v>200</v>
      </c>
      <c r="K293" t="s">
        <v>239</v>
      </c>
      <c r="L293" t="s">
        <v>215</v>
      </c>
      <c r="M293" t="s">
        <v>225</v>
      </c>
      <c r="N293" t="str">
        <f t="shared" si="4"/>
        <v>BFCS</v>
      </c>
    </row>
    <row r="294" spans="1:14" x14ac:dyDescent="0.25">
      <c r="A294" t="s">
        <v>407</v>
      </c>
      <c r="B294">
        <v>1.634978258653599</v>
      </c>
      <c r="C294">
        <v>1.4959524107668893</v>
      </c>
      <c r="D294">
        <v>1.4298919110496067</v>
      </c>
      <c r="E294">
        <v>1.2320870524675729</v>
      </c>
      <c r="F294">
        <v>1.0438242610725199</v>
      </c>
      <c r="G294">
        <v>1.0926214570470607</v>
      </c>
      <c r="H294">
        <v>1.1558877876325782</v>
      </c>
      <c r="I294">
        <v>1.0214380275435655</v>
      </c>
      <c r="J294" t="s">
        <v>200</v>
      </c>
      <c r="K294" t="s">
        <v>241</v>
      </c>
      <c r="L294" t="s">
        <v>215</v>
      </c>
      <c r="M294" t="s">
        <v>225</v>
      </c>
      <c r="N294" t="str">
        <f t="shared" si="4"/>
        <v>SSSS</v>
      </c>
    </row>
    <row r="295" spans="1:14" x14ac:dyDescent="0.25">
      <c r="A295" t="s">
        <v>148</v>
      </c>
      <c r="B295">
        <v>0.99641372799533112</v>
      </c>
      <c r="C295">
        <v>1.2001056881344867</v>
      </c>
      <c r="D295">
        <v>1.1624210895108353</v>
      </c>
      <c r="E295">
        <v>0.9065883730252372</v>
      </c>
      <c r="F295">
        <v>0.91341120867304404</v>
      </c>
      <c r="G295">
        <v>1.0206313862985905</v>
      </c>
      <c r="H295">
        <v>0.92018262541620499</v>
      </c>
      <c r="I295">
        <v>0.84610831909909001</v>
      </c>
      <c r="J295" t="s">
        <v>200</v>
      </c>
      <c r="K295" t="s">
        <v>206</v>
      </c>
      <c r="L295" t="s">
        <v>215</v>
      </c>
      <c r="M295" t="s">
        <v>225</v>
      </c>
      <c r="N295" t="str">
        <f t="shared" si="4"/>
        <v>BMS</v>
      </c>
    </row>
    <row r="296" spans="1:14" x14ac:dyDescent="0.25">
      <c r="A296" t="s">
        <v>297</v>
      </c>
      <c r="B296">
        <v>2.0733653130536229</v>
      </c>
      <c r="C296">
        <v>1.9261081110110354</v>
      </c>
      <c r="D296">
        <v>1.8141134094544942</v>
      </c>
      <c r="E296">
        <v>1.3924665344753795</v>
      </c>
      <c r="F296">
        <v>1.4198902565263467</v>
      </c>
      <c r="G296">
        <v>1.4459901373727166</v>
      </c>
      <c r="H296">
        <v>1.4056753925289838</v>
      </c>
      <c r="I296">
        <v>1.2399396359494441</v>
      </c>
      <c r="J296" t="s">
        <v>200</v>
      </c>
      <c r="K296" t="s">
        <v>207</v>
      </c>
      <c r="L296" t="s">
        <v>215</v>
      </c>
      <c r="M296" t="s">
        <v>225</v>
      </c>
      <c r="N296" t="str">
        <f t="shared" si="4"/>
        <v>CC</v>
      </c>
    </row>
    <row r="297" spans="1:14" x14ac:dyDescent="0.25">
      <c r="A297" t="s">
        <v>408</v>
      </c>
      <c r="B297">
        <v>0.91438161606492807</v>
      </c>
      <c r="C297">
        <v>0.90198137715170723</v>
      </c>
      <c r="D297">
        <v>0.92123899392712105</v>
      </c>
      <c r="E297">
        <v>1.0232159147986217</v>
      </c>
      <c r="F297">
        <v>0.96679963907119748</v>
      </c>
      <c r="G297">
        <v>1.0364381115376027</v>
      </c>
      <c r="H297">
        <v>1.1075007884494452</v>
      </c>
      <c r="I297">
        <v>1.0578811793282552</v>
      </c>
      <c r="J297" t="s">
        <v>200</v>
      </c>
      <c r="K297" t="s">
        <v>233</v>
      </c>
      <c r="L297" t="s">
        <v>215</v>
      </c>
      <c r="M297" t="s">
        <v>225</v>
      </c>
      <c r="N297" t="str">
        <f t="shared" si="4"/>
        <v>POOL</v>
      </c>
    </row>
    <row r="298" spans="1:14" x14ac:dyDescent="0.25">
      <c r="A298" t="s">
        <v>149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 t="s">
        <v>200</v>
      </c>
      <c r="K298" t="s">
        <v>202</v>
      </c>
      <c r="L298" t="s">
        <v>216</v>
      </c>
      <c r="M298" t="s">
        <v>225</v>
      </c>
      <c r="N298" t="str">
        <f t="shared" si="4"/>
        <v>ZS</v>
      </c>
    </row>
    <row r="299" spans="1:14" x14ac:dyDescent="0.25">
      <c r="A299" t="s">
        <v>150</v>
      </c>
      <c r="B299">
        <v>0.86512426405795773</v>
      </c>
      <c r="C299">
        <v>0.92532686022660338</v>
      </c>
      <c r="D299">
        <v>0.97586945184412277</v>
      </c>
      <c r="E299">
        <v>1.0849840375398498</v>
      </c>
      <c r="F299">
        <v>1.0542561526360701</v>
      </c>
      <c r="G299">
        <v>1.0347820600962796</v>
      </c>
      <c r="H299">
        <v>1.1279726908248306</v>
      </c>
      <c r="I299">
        <v>1.1340317066376431</v>
      </c>
      <c r="J299" t="s">
        <v>200</v>
      </c>
      <c r="K299" t="s">
        <v>203</v>
      </c>
      <c r="L299" t="s">
        <v>216</v>
      </c>
      <c r="M299" t="s">
        <v>225</v>
      </c>
      <c r="N299" t="str">
        <f t="shared" si="4"/>
        <v>ZS\&amp;POOL</v>
      </c>
    </row>
    <row r="300" spans="1:14" x14ac:dyDescent="0.25">
      <c r="A300" t="s">
        <v>151</v>
      </c>
      <c r="B300">
        <v>0.95536260048919885</v>
      </c>
      <c r="C300">
        <v>0.97429468010481568</v>
      </c>
      <c r="D300">
        <v>0.99903047096348707</v>
      </c>
      <c r="E300">
        <v>1.0486912003043805</v>
      </c>
      <c r="F300">
        <v>0.95805504807849851</v>
      </c>
      <c r="G300">
        <v>0.97015835421566099</v>
      </c>
      <c r="H300">
        <v>1.0544634969257296</v>
      </c>
      <c r="I300">
        <v>1.0694288513744661</v>
      </c>
      <c r="J300" t="s">
        <v>200</v>
      </c>
      <c r="K300" t="s">
        <v>204</v>
      </c>
      <c r="L300" t="s">
        <v>216</v>
      </c>
      <c r="M300" t="s">
        <v>225</v>
      </c>
      <c r="N300" t="str">
        <f t="shared" si="4"/>
        <v>ZSGL</v>
      </c>
    </row>
    <row r="301" spans="1:14" x14ac:dyDescent="0.25">
      <c r="A301" t="s">
        <v>409</v>
      </c>
      <c r="B301">
        <v>2.1394655452966207</v>
      </c>
      <c r="C301">
        <v>1.6296862044893952</v>
      </c>
      <c r="D301">
        <v>1.3905253093189436</v>
      </c>
      <c r="E301">
        <v>1.1561762039191568</v>
      </c>
      <c r="F301">
        <v>1.1241696641303058</v>
      </c>
      <c r="G301">
        <v>1.0166401684670388</v>
      </c>
      <c r="H301">
        <v>1.0141012525872755</v>
      </c>
      <c r="I301">
        <v>0.98860055650000045</v>
      </c>
      <c r="J301" t="s">
        <v>200</v>
      </c>
      <c r="K301" t="s">
        <v>239</v>
      </c>
      <c r="L301" t="s">
        <v>216</v>
      </c>
      <c r="M301" t="s">
        <v>225</v>
      </c>
      <c r="N301" t="str">
        <f t="shared" si="4"/>
        <v>BFCS</v>
      </c>
    </row>
    <row r="302" spans="1:14" x14ac:dyDescent="0.25">
      <c r="A302" t="s">
        <v>410</v>
      </c>
      <c r="B302">
        <v>1.6602539326882586</v>
      </c>
      <c r="C302">
        <v>2.6688894378054617</v>
      </c>
      <c r="D302">
        <v>2.3914771047419956</v>
      </c>
      <c r="E302">
        <v>2.1151197923872855</v>
      </c>
      <c r="F302">
        <v>1.8568486951133139</v>
      </c>
      <c r="G302">
        <v>1.6555236418450139</v>
      </c>
      <c r="H302">
        <v>1.6996264112023636</v>
      </c>
      <c r="I302">
        <v>1.6191571163277387</v>
      </c>
      <c r="J302" t="s">
        <v>200</v>
      </c>
      <c r="K302" t="s">
        <v>241</v>
      </c>
      <c r="L302" t="s">
        <v>216</v>
      </c>
      <c r="M302" t="s">
        <v>225</v>
      </c>
      <c r="N302" t="str">
        <f t="shared" si="4"/>
        <v>SSSS</v>
      </c>
    </row>
    <row r="303" spans="1:14" x14ac:dyDescent="0.25">
      <c r="A303" t="s">
        <v>152</v>
      </c>
      <c r="B303">
        <v>2.7565477312712039</v>
      </c>
      <c r="C303">
        <v>1.9989990172318735</v>
      </c>
      <c r="D303">
        <v>1.8401466755755702</v>
      </c>
      <c r="E303">
        <v>1.603897658515745</v>
      </c>
      <c r="F303">
        <v>1.4307634435719603</v>
      </c>
      <c r="G303">
        <v>1.3311108546376804</v>
      </c>
      <c r="H303">
        <v>1.3418210495811982</v>
      </c>
      <c r="I303">
        <v>1.3259364526574284</v>
      </c>
      <c r="J303" t="s">
        <v>200</v>
      </c>
      <c r="K303" t="s">
        <v>206</v>
      </c>
      <c r="L303" t="s">
        <v>216</v>
      </c>
      <c r="M303" t="s">
        <v>225</v>
      </c>
      <c r="N303" t="str">
        <f t="shared" si="4"/>
        <v>BMS</v>
      </c>
    </row>
    <row r="304" spans="1:14" x14ac:dyDescent="0.25">
      <c r="A304" t="s">
        <v>153</v>
      </c>
      <c r="B304">
        <v>3.2412864280351412</v>
      </c>
      <c r="C304">
        <v>2.5342677225973573</v>
      </c>
      <c r="D304">
        <v>2.2646259535320459</v>
      </c>
      <c r="E304">
        <v>2.0146707791444376</v>
      </c>
      <c r="F304">
        <v>1.8508189545847946</v>
      </c>
      <c r="G304">
        <v>1.5930738044595358</v>
      </c>
      <c r="H304">
        <v>1.5671569123224041</v>
      </c>
      <c r="I304">
        <v>1.5476369158390704</v>
      </c>
      <c r="J304" t="s">
        <v>200</v>
      </c>
      <c r="K304" t="s">
        <v>207</v>
      </c>
      <c r="L304" t="s">
        <v>216</v>
      </c>
      <c r="M304" t="s">
        <v>225</v>
      </c>
      <c r="N304" t="str">
        <f t="shared" si="4"/>
        <v>CC</v>
      </c>
    </row>
    <row r="305" spans="1:14" x14ac:dyDescent="0.25">
      <c r="A305" t="s">
        <v>411</v>
      </c>
      <c r="B305">
        <v>0.90528644385276125</v>
      </c>
      <c r="C305">
        <v>0.90854840286584926</v>
      </c>
      <c r="D305">
        <v>0.84591065466512172</v>
      </c>
      <c r="E305">
        <v>0.91081604545502792</v>
      </c>
      <c r="F305">
        <v>0.89276130509852769</v>
      </c>
      <c r="G305">
        <v>0.86835682549787552</v>
      </c>
      <c r="H305">
        <v>0.98686584507800235</v>
      </c>
      <c r="I305">
        <v>0.95071112339827546</v>
      </c>
      <c r="J305" t="s">
        <v>200</v>
      </c>
      <c r="K305" t="s">
        <v>233</v>
      </c>
      <c r="L305" t="s">
        <v>216</v>
      </c>
      <c r="M305" t="s">
        <v>225</v>
      </c>
      <c r="N305" t="str">
        <f t="shared" si="4"/>
        <v>POOL</v>
      </c>
    </row>
    <row r="306" spans="1:14" x14ac:dyDescent="0.25">
      <c r="A306" t="s">
        <v>154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 t="s">
        <v>200</v>
      </c>
      <c r="K306" t="s">
        <v>202</v>
      </c>
      <c r="L306" t="s">
        <v>217</v>
      </c>
      <c r="M306" t="s">
        <v>225</v>
      </c>
      <c r="N306" t="str">
        <f t="shared" si="4"/>
        <v>ZS</v>
      </c>
    </row>
    <row r="307" spans="1:14" x14ac:dyDescent="0.25">
      <c r="A307" t="s">
        <v>155</v>
      </c>
      <c r="B307">
        <v>0.87162793811043882</v>
      </c>
      <c r="C307">
        <v>0.91255648867449413</v>
      </c>
      <c r="D307">
        <v>0.98172579151057304</v>
      </c>
      <c r="E307">
        <v>0.99412546900580512</v>
      </c>
      <c r="F307">
        <v>1.0783187020845288</v>
      </c>
      <c r="G307">
        <v>1.105733308119766</v>
      </c>
      <c r="H307">
        <v>0.98561352983993766</v>
      </c>
      <c r="I307">
        <v>0.97934583528546471</v>
      </c>
      <c r="J307" t="s">
        <v>200</v>
      </c>
      <c r="K307" t="s">
        <v>203</v>
      </c>
      <c r="L307" t="s">
        <v>217</v>
      </c>
      <c r="M307" t="s">
        <v>225</v>
      </c>
      <c r="N307" t="str">
        <f t="shared" si="4"/>
        <v>ZS\&amp;POOL</v>
      </c>
    </row>
    <row r="308" spans="1:14" x14ac:dyDescent="0.25">
      <c r="A308" t="s">
        <v>156</v>
      </c>
      <c r="B308">
        <v>0.77013937849433045</v>
      </c>
      <c r="C308">
        <v>0.76551570607271824</v>
      </c>
      <c r="D308">
        <v>0.85297370672805928</v>
      </c>
      <c r="E308">
        <v>0.88333464094221359</v>
      </c>
      <c r="F308">
        <v>0.90555855533292151</v>
      </c>
      <c r="G308">
        <v>0.90181844516570442</v>
      </c>
      <c r="H308">
        <v>0.81101898720586862</v>
      </c>
      <c r="I308">
        <v>0.86701590084178271</v>
      </c>
      <c r="J308" t="s">
        <v>200</v>
      </c>
      <c r="K308" t="s">
        <v>204</v>
      </c>
      <c r="L308" t="s">
        <v>217</v>
      </c>
      <c r="M308" t="s">
        <v>225</v>
      </c>
      <c r="N308" t="str">
        <f t="shared" si="4"/>
        <v>ZSGL</v>
      </c>
    </row>
    <row r="309" spans="1:14" x14ac:dyDescent="0.25">
      <c r="A309" t="s">
        <v>412</v>
      </c>
      <c r="B309">
        <v>2.5970863349627984</v>
      </c>
      <c r="C309">
        <v>1.9067729720041413</v>
      </c>
      <c r="D309">
        <v>1.697337115845708</v>
      </c>
      <c r="E309">
        <v>1.4159809330861786</v>
      </c>
      <c r="F309">
        <v>1.2659804745166556</v>
      </c>
      <c r="G309">
        <v>1.1537011252011289</v>
      </c>
      <c r="H309">
        <v>1.0162638285962333</v>
      </c>
      <c r="I309">
        <v>0.97706139365262668</v>
      </c>
      <c r="J309" t="s">
        <v>200</v>
      </c>
      <c r="K309" t="s">
        <v>239</v>
      </c>
      <c r="L309" t="s">
        <v>217</v>
      </c>
      <c r="M309" t="s">
        <v>225</v>
      </c>
      <c r="N309" t="str">
        <f t="shared" si="4"/>
        <v>BFCS</v>
      </c>
    </row>
    <row r="310" spans="1:14" x14ac:dyDescent="0.25">
      <c r="A310" t="s">
        <v>413</v>
      </c>
      <c r="B310">
        <v>2.0115671305469678</v>
      </c>
      <c r="C310">
        <v>1.5918944921217542</v>
      </c>
      <c r="D310">
        <v>1.2872763506612548</v>
      </c>
      <c r="E310">
        <v>1.0926765897811674</v>
      </c>
      <c r="F310">
        <v>0.94113224652733518</v>
      </c>
      <c r="G310">
        <v>0.85884475260053084</v>
      </c>
      <c r="H310">
        <v>0.72785343174783079</v>
      </c>
      <c r="I310">
        <v>0.69306988651448564</v>
      </c>
      <c r="J310" t="s">
        <v>200</v>
      </c>
      <c r="K310" t="s">
        <v>241</v>
      </c>
      <c r="L310" t="s">
        <v>217</v>
      </c>
      <c r="M310" t="s">
        <v>225</v>
      </c>
      <c r="N310" t="str">
        <f t="shared" si="4"/>
        <v>SSSS</v>
      </c>
    </row>
    <row r="311" spans="1:14" x14ac:dyDescent="0.25">
      <c r="A311" t="s">
        <v>157</v>
      </c>
      <c r="B311">
        <v>1.748504862247751</v>
      </c>
      <c r="C311">
        <v>1.7735996721280789</v>
      </c>
      <c r="D311">
        <v>1.6618052490767616</v>
      </c>
      <c r="E311">
        <v>1.3247413174256357</v>
      </c>
      <c r="F311">
        <v>1.2145746165965452</v>
      </c>
      <c r="G311">
        <v>1.1035990074416708</v>
      </c>
      <c r="H311">
        <v>0.9827985372521707</v>
      </c>
      <c r="I311">
        <v>0.95514184755361975</v>
      </c>
      <c r="J311" t="s">
        <v>200</v>
      </c>
      <c r="K311" t="s">
        <v>206</v>
      </c>
      <c r="L311" t="s">
        <v>217</v>
      </c>
      <c r="M311" t="s">
        <v>225</v>
      </c>
      <c r="N311" t="str">
        <f t="shared" si="4"/>
        <v>BMS</v>
      </c>
    </row>
    <row r="312" spans="1:14" x14ac:dyDescent="0.25">
      <c r="A312" t="s">
        <v>158</v>
      </c>
      <c r="B312">
        <v>3.997809683825047</v>
      </c>
      <c r="C312">
        <v>3.1036804941834246</v>
      </c>
      <c r="D312">
        <v>2.6674389398596974</v>
      </c>
      <c r="E312">
        <v>2.2726800432238807</v>
      </c>
      <c r="F312">
        <v>1.9916103833633934</v>
      </c>
      <c r="G312">
        <v>1.8483043270579718</v>
      </c>
      <c r="H312">
        <v>1.6094455904662783</v>
      </c>
      <c r="I312">
        <v>1.4990909089821935</v>
      </c>
      <c r="J312" t="s">
        <v>200</v>
      </c>
      <c r="K312" t="s">
        <v>207</v>
      </c>
      <c r="L312" t="s">
        <v>217</v>
      </c>
      <c r="M312" t="s">
        <v>225</v>
      </c>
      <c r="N312" t="str">
        <f t="shared" si="4"/>
        <v>CC</v>
      </c>
    </row>
    <row r="313" spans="1:14" x14ac:dyDescent="0.25">
      <c r="A313" t="s">
        <v>414</v>
      </c>
      <c r="B313">
        <v>0.65557909961194649</v>
      </c>
      <c r="C313">
        <v>0.71913768806399714</v>
      </c>
      <c r="D313">
        <v>0.76271806293738043</v>
      </c>
      <c r="E313">
        <v>0.7723078745583174</v>
      </c>
      <c r="F313">
        <v>0.8313120954689488</v>
      </c>
      <c r="G313">
        <v>0.90075904760304071</v>
      </c>
      <c r="H313">
        <v>0.84186354753888026</v>
      </c>
      <c r="I313">
        <v>0.83788410109200429</v>
      </c>
      <c r="J313" t="s">
        <v>200</v>
      </c>
      <c r="K313" t="s">
        <v>233</v>
      </c>
      <c r="L313" t="s">
        <v>217</v>
      </c>
      <c r="M313" t="s">
        <v>225</v>
      </c>
      <c r="N313" t="str">
        <f t="shared" si="4"/>
        <v>POOL</v>
      </c>
    </row>
    <row r="314" spans="1:14" x14ac:dyDescent="0.25">
      <c r="A314" t="s">
        <v>159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 t="s">
        <v>200</v>
      </c>
      <c r="K314" t="s">
        <v>202</v>
      </c>
      <c r="L314" t="s">
        <v>218</v>
      </c>
      <c r="M314" t="s">
        <v>225</v>
      </c>
      <c r="N314" t="str">
        <f t="shared" si="4"/>
        <v>ZS</v>
      </c>
    </row>
    <row r="315" spans="1:14" x14ac:dyDescent="0.25">
      <c r="A315" t="s">
        <v>160</v>
      </c>
      <c r="B315">
        <v>0.94997833713379198</v>
      </c>
      <c r="C315">
        <v>0.88630538665790071</v>
      </c>
      <c r="D315">
        <v>0.87573764255140063</v>
      </c>
      <c r="E315">
        <v>0.92264975948125416</v>
      </c>
      <c r="F315">
        <v>0.91955593337053154</v>
      </c>
      <c r="G315">
        <v>0.90501882967637182</v>
      </c>
      <c r="H315">
        <v>0.9267396397703076</v>
      </c>
      <c r="I315">
        <v>0.92063149506116904</v>
      </c>
      <c r="J315" t="s">
        <v>200</v>
      </c>
      <c r="K315" t="s">
        <v>203</v>
      </c>
      <c r="L315" t="s">
        <v>218</v>
      </c>
      <c r="M315" t="s">
        <v>225</v>
      </c>
      <c r="N315" t="str">
        <f t="shared" si="4"/>
        <v>ZS\&amp;POOL</v>
      </c>
    </row>
    <row r="316" spans="1:14" x14ac:dyDescent="0.25">
      <c r="A316" t="s">
        <v>161</v>
      </c>
      <c r="B316">
        <v>1.0041433315551043</v>
      </c>
      <c r="C316">
        <v>0.99917093256505307</v>
      </c>
      <c r="D316">
        <v>0.9229340158803494</v>
      </c>
      <c r="E316">
        <v>0.97335988458230616</v>
      </c>
      <c r="F316">
        <v>0.97521398578442486</v>
      </c>
      <c r="G316">
        <v>0.98779888598547494</v>
      </c>
      <c r="H316">
        <v>1.0200613337670867</v>
      </c>
      <c r="I316">
        <v>1.0162671508113403</v>
      </c>
      <c r="J316" t="s">
        <v>200</v>
      </c>
      <c r="K316" t="s">
        <v>204</v>
      </c>
      <c r="L316" t="s">
        <v>218</v>
      </c>
      <c r="M316" t="s">
        <v>225</v>
      </c>
      <c r="N316" t="str">
        <f t="shared" si="4"/>
        <v>ZSGL</v>
      </c>
    </row>
    <row r="317" spans="1:14" x14ac:dyDescent="0.25">
      <c r="A317" t="s">
        <v>415</v>
      </c>
      <c r="B317">
        <v>3.5250476231449905</v>
      </c>
      <c r="C317">
        <v>2.8967681331237722</v>
      </c>
      <c r="D317">
        <v>2.0560160832967878</v>
      </c>
      <c r="E317">
        <v>1.6912926438577234</v>
      </c>
      <c r="F317">
        <v>1.4689955677130571</v>
      </c>
      <c r="G317">
        <v>1.2553061582771965</v>
      </c>
      <c r="H317">
        <v>1.2013784818652951</v>
      </c>
      <c r="I317">
        <v>1.1034674652345209</v>
      </c>
      <c r="J317" t="s">
        <v>200</v>
      </c>
      <c r="K317" t="s">
        <v>239</v>
      </c>
      <c r="L317" t="s">
        <v>218</v>
      </c>
      <c r="M317" t="s">
        <v>225</v>
      </c>
      <c r="N317" t="str">
        <f t="shared" si="4"/>
        <v>BFCS</v>
      </c>
    </row>
    <row r="318" spans="1:14" x14ac:dyDescent="0.25">
      <c r="A318" t="s">
        <v>416</v>
      </c>
      <c r="B318">
        <v>1.6411057151299551</v>
      </c>
      <c r="C318">
        <v>1.3271740242095724</v>
      </c>
      <c r="D318">
        <v>1.0350831227907211</v>
      </c>
      <c r="E318">
        <v>0.87702548675444902</v>
      </c>
      <c r="F318">
        <v>0.79790610910399085</v>
      </c>
      <c r="G318">
        <v>0.75249686691762041</v>
      </c>
      <c r="H318">
        <v>0.74378847626203548</v>
      </c>
      <c r="I318">
        <v>0.69854934401397528</v>
      </c>
      <c r="J318" t="s">
        <v>200</v>
      </c>
      <c r="K318" t="s">
        <v>241</v>
      </c>
      <c r="L318" t="s">
        <v>218</v>
      </c>
      <c r="M318" t="s">
        <v>225</v>
      </c>
      <c r="N318" t="str">
        <f t="shared" si="4"/>
        <v>SSSS</v>
      </c>
    </row>
    <row r="319" spans="1:14" x14ac:dyDescent="0.25">
      <c r="A319" t="s">
        <v>162</v>
      </c>
      <c r="B319">
        <v>3.0378925811127844</v>
      </c>
      <c r="C319">
        <v>2.4780349664118773</v>
      </c>
      <c r="D319">
        <v>1.7358685971963843</v>
      </c>
      <c r="E319">
        <v>1.4109419431366899</v>
      </c>
      <c r="F319">
        <v>1.1931450777415196</v>
      </c>
      <c r="G319">
        <v>1.0685473590360863</v>
      </c>
      <c r="H319">
        <v>0.98793252205309134</v>
      </c>
      <c r="I319">
        <v>0.93591779318657653</v>
      </c>
      <c r="J319" t="s">
        <v>200</v>
      </c>
      <c r="K319" t="s">
        <v>206</v>
      </c>
      <c r="L319" t="s">
        <v>218</v>
      </c>
      <c r="M319" t="s">
        <v>225</v>
      </c>
      <c r="N319" t="str">
        <f t="shared" si="4"/>
        <v>BMS</v>
      </c>
    </row>
    <row r="320" spans="1:14" x14ac:dyDescent="0.25">
      <c r="A320" t="s">
        <v>163</v>
      </c>
      <c r="B320">
        <v>5.5482555986068336</v>
      </c>
      <c r="C320">
        <v>4.6933925887931585</v>
      </c>
      <c r="D320">
        <v>3.2102883130870565</v>
      </c>
      <c r="E320">
        <v>2.6282519648073728</v>
      </c>
      <c r="F320">
        <v>2.2241100299055985</v>
      </c>
      <c r="G320">
        <v>1.9348890464713231</v>
      </c>
      <c r="H320">
        <v>1.806025988879463</v>
      </c>
      <c r="I320">
        <v>1.6770822123276263</v>
      </c>
      <c r="J320" t="s">
        <v>200</v>
      </c>
      <c r="K320" t="s">
        <v>207</v>
      </c>
      <c r="L320" t="s">
        <v>218</v>
      </c>
      <c r="M320" t="s">
        <v>225</v>
      </c>
      <c r="N320" t="str">
        <f t="shared" si="4"/>
        <v>CC</v>
      </c>
    </row>
    <row r="321" spans="1:14" x14ac:dyDescent="0.25">
      <c r="A321" t="s">
        <v>417</v>
      </c>
      <c r="B321">
        <v>1.0499222817965277</v>
      </c>
      <c r="C321">
        <v>1.0546699399868527</v>
      </c>
      <c r="D321">
        <v>0.98746453023662051</v>
      </c>
      <c r="E321">
        <v>1.0168418410559656</v>
      </c>
      <c r="F321">
        <v>1.0152349397063174</v>
      </c>
      <c r="G321">
        <v>1.0016040229297472</v>
      </c>
      <c r="H321">
        <v>1.0225040052547041</v>
      </c>
      <c r="I321">
        <v>1.0127939243275783</v>
      </c>
      <c r="J321" t="s">
        <v>200</v>
      </c>
      <c r="K321" t="s">
        <v>233</v>
      </c>
      <c r="L321" t="s">
        <v>218</v>
      </c>
      <c r="M321" t="s">
        <v>225</v>
      </c>
      <c r="N321" t="str">
        <f t="shared" si="4"/>
        <v>POOL</v>
      </c>
    </row>
    <row r="322" spans="1:14" x14ac:dyDescent="0.25">
      <c r="A322" t="s">
        <v>164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 t="s">
        <v>200</v>
      </c>
      <c r="K322" t="s">
        <v>202</v>
      </c>
      <c r="L322" t="s">
        <v>219</v>
      </c>
      <c r="M322" t="s">
        <v>225</v>
      </c>
      <c r="N322" t="str">
        <f t="shared" ref="N322:N385" si="5">VLOOKUP(K322,modelNames,2,FALSE)</f>
        <v>ZS</v>
      </c>
    </row>
    <row r="323" spans="1:14" x14ac:dyDescent="0.25">
      <c r="A323" t="s">
        <v>165</v>
      </c>
      <c r="B323">
        <v>1.2481321109637491</v>
      </c>
      <c r="C323">
        <v>1.1649477457279613</v>
      </c>
      <c r="D323">
        <v>1.1436593884534543</v>
      </c>
      <c r="E323">
        <v>1.1347211055396593</v>
      </c>
      <c r="F323">
        <v>1.1588882967956375</v>
      </c>
      <c r="G323">
        <v>1.1601568350977909</v>
      </c>
      <c r="H323">
        <v>1.1727949735601115</v>
      </c>
      <c r="I323">
        <v>1.1743264109210954</v>
      </c>
      <c r="J323" t="s">
        <v>200</v>
      </c>
      <c r="K323" t="s">
        <v>203</v>
      </c>
      <c r="L323" t="s">
        <v>219</v>
      </c>
      <c r="M323" t="s">
        <v>225</v>
      </c>
      <c r="N323" t="str">
        <f t="shared" si="5"/>
        <v>ZS\&amp;POOL</v>
      </c>
    </row>
    <row r="324" spans="1:14" x14ac:dyDescent="0.25">
      <c r="A324" t="s">
        <v>166</v>
      </c>
      <c r="B324">
        <v>0.97110782250150585</v>
      </c>
      <c r="C324">
        <v>0.97445517765151812</v>
      </c>
      <c r="D324">
        <v>0.97036571702172769</v>
      </c>
      <c r="E324">
        <v>0.96531816226336098</v>
      </c>
      <c r="F324">
        <v>0.98550215174309441</v>
      </c>
      <c r="G324">
        <v>0.96881316289883479</v>
      </c>
      <c r="H324">
        <v>0.9537800184747951</v>
      </c>
      <c r="I324">
        <v>0.94005684078965379</v>
      </c>
      <c r="J324" t="s">
        <v>200</v>
      </c>
      <c r="K324" t="s">
        <v>204</v>
      </c>
      <c r="L324" t="s">
        <v>219</v>
      </c>
      <c r="M324" t="s">
        <v>225</v>
      </c>
      <c r="N324" t="str">
        <f t="shared" si="5"/>
        <v>ZSGL</v>
      </c>
    </row>
    <row r="325" spans="1:14" x14ac:dyDescent="0.25">
      <c r="A325" t="s">
        <v>418</v>
      </c>
      <c r="B325">
        <v>3.1256310377771457</v>
      </c>
      <c r="C325">
        <v>2.6316774928125861</v>
      </c>
      <c r="D325">
        <v>1.8002636195695052</v>
      </c>
      <c r="E325">
        <v>1.4175502793241288</v>
      </c>
      <c r="F325">
        <v>1.1681772068694296</v>
      </c>
      <c r="G325">
        <v>1.0292891483733402</v>
      </c>
      <c r="H325">
        <v>0.9457488602231886</v>
      </c>
      <c r="I325">
        <v>0.85982207680455613</v>
      </c>
      <c r="J325" t="s">
        <v>200</v>
      </c>
      <c r="K325" t="s">
        <v>239</v>
      </c>
      <c r="L325" t="s">
        <v>219</v>
      </c>
      <c r="M325" t="s">
        <v>225</v>
      </c>
      <c r="N325" t="str">
        <f t="shared" si="5"/>
        <v>BFCS</v>
      </c>
    </row>
    <row r="326" spans="1:14" x14ac:dyDescent="0.25">
      <c r="A326" t="s">
        <v>419</v>
      </c>
      <c r="B326">
        <v>2.642383546313213</v>
      </c>
      <c r="C326">
        <v>2.8956387884289603</v>
      </c>
      <c r="D326">
        <v>1.9476560815944171</v>
      </c>
      <c r="E326">
        <v>1.543813528978679</v>
      </c>
      <c r="F326">
        <v>1.3057718256475397</v>
      </c>
      <c r="G326">
        <v>1.1244549438060525</v>
      </c>
      <c r="H326">
        <v>1.0107588698282239</v>
      </c>
      <c r="I326">
        <v>0.91846539105650948</v>
      </c>
      <c r="J326" t="s">
        <v>200</v>
      </c>
      <c r="K326" t="s">
        <v>241</v>
      </c>
      <c r="L326" t="s">
        <v>219</v>
      </c>
      <c r="M326" t="s">
        <v>225</v>
      </c>
      <c r="N326" t="str">
        <f t="shared" si="5"/>
        <v>SSSS</v>
      </c>
    </row>
    <row r="327" spans="1:14" x14ac:dyDescent="0.25">
      <c r="A327" t="s">
        <v>167</v>
      </c>
      <c r="B327">
        <v>2.4545286291170076</v>
      </c>
      <c r="C327">
        <v>1.8753832440227567</v>
      </c>
      <c r="D327">
        <v>1.257074265384124</v>
      </c>
      <c r="E327">
        <v>0.97857210986761534</v>
      </c>
      <c r="F327">
        <v>0.80561476485143424</v>
      </c>
      <c r="G327">
        <v>0.72984715104721143</v>
      </c>
      <c r="H327">
        <v>0.64189678237303416</v>
      </c>
      <c r="I327">
        <v>0.58997910057091263</v>
      </c>
      <c r="J327" t="s">
        <v>200</v>
      </c>
      <c r="K327" t="s">
        <v>206</v>
      </c>
      <c r="L327" t="s">
        <v>219</v>
      </c>
      <c r="M327" t="s">
        <v>225</v>
      </c>
      <c r="N327" t="str">
        <f t="shared" si="5"/>
        <v>BMS</v>
      </c>
    </row>
    <row r="328" spans="1:14" x14ac:dyDescent="0.25">
      <c r="A328" t="s">
        <v>168</v>
      </c>
      <c r="B328">
        <v>9.0933160207949939</v>
      </c>
      <c r="C328">
        <v>7.3614013092069017</v>
      </c>
      <c r="D328">
        <v>4.9939610527410458</v>
      </c>
      <c r="E328">
        <v>3.9025355114622351</v>
      </c>
      <c r="F328">
        <v>3.3147511268844876</v>
      </c>
      <c r="G328">
        <v>2.8865555530944889</v>
      </c>
      <c r="H328">
        <v>2.5731093875653404</v>
      </c>
      <c r="I328">
        <v>2.3342880509587518</v>
      </c>
      <c r="J328" t="s">
        <v>200</v>
      </c>
      <c r="K328" t="s">
        <v>207</v>
      </c>
      <c r="L328" t="s">
        <v>219</v>
      </c>
      <c r="M328" t="s">
        <v>225</v>
      </c>
      <c r="N328" t="str">
        <f t="shared" si="5"/>
        <v>CC</v>
      </c>
    </row>
    <row r="329" spans="1:14" x14ac:dyDescent="0.25">
      <c r="A329" t="s">
        <v>420</v>
      </c>
      <c r="B329">
        <v>1.1054093417976063</v>
      </c>
      <c r="C329">
        <v>1.1004595511616178</v>
      </c>
      <c r="D329">
        <v>1.078371191719685</v>
      </c>
      <c r="E329">
        <v>1.0538638349749863</v>
      </c>
      <c r="F329">
        <v>1.0443331351620035</v>
      </c>
      <c r="G329">
        <v>1.0083785992354686</v>
      </c>
      <c r="H329">
        <v>0.9839790670402494</v>
      </c>
      <c r="I329">
        <v>0.96666290842727443</v>
      </c>
      <c r="J329" t="s">
        <v>200</v>
      </c>
      <c r="K329" t="s">
        <v>233</v>
      </c>
      <c r="L329" t="s">
        <v>219</v>
      </c>
      <c r="M329" t="s">
        <v>225</v>
      </c>
      <c r="N329" t="str">
        <f t="shared" si="5"/>
        <v>POOL</v>
      </c>
    </row>
    <row r="330" spans="1:14" x14ac:dyDescent="0.25">
      <c r="A330" t="s">
        <v>169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 t="s">
        <v>200</v>
      </c>
      <c r="K330" t="s">
        <v>202</v>
      </c>
      <c r="L330" t="s">
        <v>220</v>
      </c>
      <c r="M330" t="s">
        <v>225</v>
      </c>
      <c r="N330" t="str">
        <f t="shared" si="5"/>
        <v>ZS</v>
      </c>
    </row>
    <row r="331" spans="1:14" x14ac:dyDescent="0.25">
      <c r="A331" t="s">
        <v>170</v>
      </c>
      <c r="B331">
        <v>1.0052034586692118</v>
      </c>
      <c r="C331">
        <v>1.0111559292955707</v>
      </c>
      <c r="D331">
        <v>1.0459326577923729</v>
      </c>
      <c r="E331">
        <v>1.0593072206431944</v>
      </c>
      <c r="F331">
        <v>1.0543405726178234</v>
      </c>
      <c r="G331">
        <v>1.0675284997214598</v>
      </c>
      <c r="H331">
        <v>1.0565711220932938</v>
      </c>
      <c r="I331">
        <v>1.0879690973733949</v>
      </c>
      <c r="J331" t="s">
        <v>200</v>
      </c>
      <c r="K331" t="s">
        <v>203</v>
      </c>
      <c r="L331" t="s">
        <v>220</v>
      </c>
      <c r="M331" t="s">
        <v>225</v>
      </c>
      <c r="N331" t="str">
        <f t="shared" si="5"/>
        <v>ZS\&amp;POOL</v>
      </c>
    </row>
    <row r="332" spans="1:14" x14ac:dyDescent="0.25">
      <c r="A332" t="s">
        <v>171</v>
      </c>
      <c r="B332">
        <v>1.1111767358304145</v>
      </c>
      <c r="C332">
        <v>1.0064905516866653</v>
      </c>
      <c r="D332">
        <v>0.98188830386625381</v>
      </c>
      <c r="E332">
        <v>1.0171349580191762</v>
      </c>
      <c r="F332">
        <v>1.020728706501894</v>
      </c>
      <c r="G332">
        <v>1.0660097548835221</v>
      </c>
      <c r="H332">
        <v>1.0772959229505221</v>
      </c>
      <c r="I332">
        <v>1.0924358375661236</v>
      </c>
      <c r="J332" t="s">
        <v>200</v>
      </c>
      <c r="K332" t="s">
        <v>204</v>
      </c>
      <c r="L332" t="s">
        <v>220</v>
      </c>
      <c r="M332" t="s">
        <v>225</v>
      </c>
      <c r="N332" t="str">
        <f t="shared" si="5"/>
        <v>ZSGL</v>
      </c>
    </row>
    <row r="333" spans="1:14" x14ac:dyDescent="0.25">
      <c r="A333" t="s">
        <v>421</v>
      </c>
      <c r="B333">
        <v>2.7454248074730652</v>
      </c>
      <c r="C333">
        <v>1.9927633836759868</v>
      </c>
      <c r="D333">
        <v>1.5061985247326093</v>
      </c>
      <c r="E333">
        <v>1.3375015654151721</v>
      </c>
      <c r="F333">
        <v>1.2183658165682703</v>
      </c>
      <c r="G333">
        <v>1.127991063123063</v>
      </c>
      <c r="H333">
        <v>1.0826370125413263</v>
      </c>
      <c r="I333">
        <v>1.0230356733706252</v>
      </c>
      <c r="J333" t="s">
        <v>200</v>
      </c>
      <c r="K333" t="s">
        <v>239</v>
      </c>
      <c r="L333" t="s">
        <v>220</v>
      </c>
      <c r="M333" t="s">
        <v>225</v>
      </c>
      <c r="N333" t="str">
        <f t="shared" si="5"/>
        <v>BFCS</v>
      </c>
    </row>
    <row r="334" spans="1:14" x14ac:dyDescent="0.25">
      <c r="A334" t="s">
        <v>422</v>
      </c>
      <c r="B334">
        <v>1.8521447300484086</v>
      </c>
      <c r="C334">
        <v>2.3938109051304144</v>
      </c>
      <c r="D334">
        <v>1.8780148173588938</v>
      </c>
      <c r="E334">
        <v>1.6224641473504302</v>
      </c>
      <c r="F334">
        <v>1.4657052197597005</v>
      </c>
      <c r="G334">
        <v>1.4029592301900251</v>
      </c>
      <c r="H334">
        <v>1.3109389688201853</v>
      </c>
      <c r="I334">
        <v>1.2619964669774577</v>
      </c>
      <c r="J334" t="s">
        <v>200</v>
      </c>
      <c r="K334" t="s">
        <v>241</v>
      </c>
      <c r="L334" t="s">
        <v>220</v>
      </c>
      <c r="M334" t="s">
        <v>225</v>
      </c>
      <c r="N334" t="str">
        <f t="shared" si="5"/>
        <v>SSSS</v>
      </c>
    </row>
    <row r="335" spans="1:14" x14ac:dyDescent="0.25">
      <c r="A335" t="s">
        <v>172</v>
      </c>
      <c r="B335">
        <v>1.9030490933342001</v>
      </c>
      <c r="C335">
        <v>1.5077310430056308</v>
      </c>
      <c r="D335">
        <v>1.2336123926844325</v>
      </c>
      <c r="E335">
        <v>1.059296092982523</v>
      </c>
      <c r="F335">
        <v>0.9337348529829258</v>
      </c>
      <c r="G335">
        <v>0.91178949413646404</v>
      </c>
      <c r="H335">
        <v>0.83409839521016749</v>
      </c>
      <c r="I335">
        <v>0.87515271265405903</v>
      </c>
      <c r="J335" t="s">
        <v>200</v>
      </c>
      <c r="K335" t="s">
        <v>206</v>
      </c>
      <c r="L335" t="s">
        <v>220</v>
      </c>
      <c r="M335" t="s">
        <v>225</v>
      </c>
      <c r="N335" t="str">
        <f t="shared" si="5"/>
        <v>BMS</v>
      </c>
    </row>
    <row r="336" spans="1:14" x14ac:dyDescent="0.25">
      <c r="A336" t="s">
        <v>173</v>
      </c>
      <c r="B336">
        <v>3.3095287436656085</v>
      </c>
      <c r="C336">
        <v>2.794743494178618</v>
      </c>
      <c r="D336">
        <v>2.1849987586791384</v>
      </c>
      <c r="E336">
        <v>1.8750575864439283</v>
      </c>
      <c r="F336">
        <v>1.6937042163654343</v>
      </c>
      <c r="G336">
        <v>1.5941897407884498</v>
      </c>
      <c r="H336">
        <v>1.5000522199909427</v>
      </c>
      <c r="I336">
        <v>1.4340703326832087</v>
      </c>
      <c r="J336" t="s">
        <v>200</v>
      </c>
      <c r="K336" t="s">
        <v>207</v>
      </c>
      <c r="L336" t="s">
        <v>220</v>
      </c>
      <c r="M336" t="s">
        <v>225</v>
      </c>
      <c r="N336" t="str">
        <f t="shared" si="5"/>
        <v>CC</v>
      </c>
    </row>
    <row r="337" spans="1:14" x14ac:dyDescent="0.25">
      <c r="A337" t="s">
        <v>423</v>
      </c>
      <c r="B337">
        <v>1.0001174350536515</v>
      </c>
      <c r="C337">
        <v>0.99623086821959761</v>
      </c>
      <c r="D337">
        <v>1.025991198457751</v>
      </c>
      <c r="E337">
        <v>1.0448459967008872</v>
      </c>
      <c r="F337">
        <v>1.0467003670028245</v>
      </c>
      <c r="G337">
        <v>1.0911948495491006</v>
      </c>
      <c r="H337">
        <v>1.0908422765902734</v>
      </c>
      <c r="I337">
        <v>1.1335956204306665</v>
      </c>
      <c r="J337" t="s">
        <v>200</v>
      </c>
      <c r="K337" t="s">
        <v>233</v>
      </c>
      <c r="L337" t="s">
        <v>220</v>
      </c>
      <c r="M337" t="s">
        <v>225</v>
      </c>
      <c r="N337" t="str">
        <f t="shared" si="5"/>
        <v>POOL</v>
      </c>
    </row>
    <row r="338" spans="1:14" x14ac:dyDescent="0.25">
      <c r="A338" t="s">
        <v>174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 t="s">
        <v>200</v>
      </c>
      <c r="K338" t="s">
        <v>202</v>
      </c>
      <c r="L338" t="s">
        <v>221</v>
      </c>
      <c r="M338" t="s">
        <v>225</v>
      </c>
      <c r="N338" t="str">
        <f t="shared" si="5"/>
        <v>ZS</v>
      </c>
    </row>
    <row r="339" spans="1:14" x14ac:dyDescent="0.25">
      <c r="A339" t="s">
        <v>175</v>
      </c>
      <c r="B339">
        <v>0.89848449315055523</v>
      </c>
      <c r="C339">
        <v>0.98290736830655068</v>
      </c>
      <c r="D339">
        <v>1.0300789318095311</v>
      </c>
      <c r="E339">
        <v>1.028405840272387</v>
      </c>
      <c r="F339">
        <v>1.0290210101033976</v>
      </c>
      <c r="G339">
        <v>1.0171772379742012</v>
      </c>
      <c r="H339">
        <v>1.0025209990920225</v>
      </c>
      <c r="I339">
        <v>0.98160986295432073</v>
      </c>
      <c r="J339" t="s">
        <v>200</v>
      </c>
      <c r="K339" t="s">
        <v>203</v>
      </c>
      <c r="L339" t="s">
        <v>221</v>
      </c>
      <c r="M339" t="s">
        <v>225</v>
      </c>
      <c r="N339" t="str">
        <f t="shared" si="5"/>
        <v>ZS\&amp;POOL</v>
      </c>
    </row>
    <row r="340" spans="1:14" x14ac:dyDescent="0.25">
      <c r="A340" t="s">
        <v>176</v>
      </c>
      <c r="B340">
        <v>0.8702565526424404</v>
      </c>
      <c r="C340">
        <v>0.88693383542793114</v>
      </c>
      <c r="D340">
        <v>0.92473932287212568</v>
      </c>
      <c r="E340">
        <v>0.92563625760592427</v>
      </c>
      <c r="F340">
        <v>0.93391899615426743</v>
      </c>
      <c r="G340">
        <v>0.91936082930897756</v>
      </c>
      <c r="H340">
        <v>0.92439599665912142</v>
      </c>
      <c r="I340">
        <v>0.92892682468814902</v>
      </c>
      <c r="J340" t="s">
        <v>200</v>
      </c>
      <c r="K340" t="s">
        <v>204</v>
      </c>
      <c r="L340" t="s">
        <v>221</v>
      </c>
      <c r="M340" t="s">
        <v>225</v>
      </c>
      <c r="N340" t="str">
        <f t="shared" si="5"/>
        <v>ZSGL</v>
      </c>
    </row>
    <row r="341" spans="1:14" x14ac:dyDescent="0.25">
      <c r="A341" t="s">
        <v>424</v>
      </c>
      <c r="B341">
        <v>2.9269774152231594</v>
      </c>
      <c r="C341">
        <v>2.3680752614443237</v>
      </c>
      <c r="D341">
        <v>1.7407096756799427</v>
      </c>
      <c r="E341">
        <v>1.3692553429273553</v>
      </c>
      <c r="F341">
        <v>1.2168896520702008</v>
      </c>
      <c r="G341">
        <v>1.0683252648146231</v>
      </c>
      <c r="H341">
        <v>0.97589894040448322</v>
      </c>
      <c r="I341">
        <v>0.9162898064474303</v>
      </c>
      <c r="J341" t="s">
        <v>200</v>
      </c>
      <c r="K341" t="s">
        <v>239</v>
      </c>
      <c r="L341" t="s">
        <v>221</v>
      </c>
      <c r="M341" t="s">
        <v>225</v>
      </c>
      <c r="N341" t="str">
        <f t="shared" si="5"/>
        <v>BFCS</v>
      </c>
    </row>
    <row r="342" spans="1:14" x14ac:dyDescent="0.25">
      <c r="A342" t="s">
        <v>425</v>
      </c>
      <c r="B342">
        <v>1.7709893009993189</v>
      </c>
      <c r="C342">
        <v>1.783651080009782</v>
      </c>
      <c r="D342">
        <v>1.3780190633791742</v>
      </c>
      <c r="E342">
        <v>1.1109796361577726</v>
      </c>
      <c r="F342">
        <v>0.99324212661236655</v>
      </c>
      <c r="G342">
        <v>0.8847742202795339</v>
      </c>
      <c r="H342">
        <v>0.83634663612509264</v>
      </c>
      <c r="I342">
        <v>0.78816007346538774</v>
      </c>
      <c r="J342" t="s">
        <v>200</v>
      </c>
      <c r="K342" t="s">
        <v>241</v>
      </c>
      <c r="L342" t="s">
        <v>221</v>
      </c>
      <c r="M342" t="s">
        <v>225</v>
      </c>
      <c r="N342" t="str">
        <f t="shared" si="5"/>
        <v>SSSS</v>
      </c>
    </row>
    <row r="343" spans="1:14" x14ac:dyDescent="0.25">
      <c r="A343" t="s">
        <v>177</v>
      </c>
      <c r="B343">
        <v>2.8076439437772081</v>
      </c>
      <c r="C343">
        <v>1.9304549539419684</v>
      </c>
      <c r="D343">
        <v>1.4353004680432639</v>
      </c>
      <c r="E343">
        <v>1.124723437233655</v>
      </c>
      <c r="F343">
        <v>0.97457653586898352</v>
      </c>
      <c r="G343">
        <v>0.86561566465866124</v>
      </c>
      <c r="H343">
        <v>0.79593332022862373</v>
      </c>
      <c r="I343">
        <v>0.74425609723688357</v>
      </c>
      <c r="J343" t="s">
        <v>200</v>
      </c>
      <c r="K343" t="s">
        <v>206</v>
      </c>
      <c r="L343" t="s">
        <v>221</v>
      </c>
      <c r="M343" t="s">
        <v>225</v>
      </c>
      <c r="N343" t="str">
        <f t="shared" si="5"/>
        <v>BMS</v>
      </c>
    </row>
    <row r="344" spans="1:14" x14ac:dyDescent="0.25">
      <c r="A344" t="s">
        <v>178</v>
      </c>
      <c r="B344">
        <v>4.6930740059885299</v>
      </c>
      <c r="C344">
        <v>3.8807357796905211</v>
      </c>
      <c r="D344">
        <v>2.7979931798459723</v>
      </c>
      <c r="E344">
        <v>2.1614313437847645</v>
      </c>
      <c r="F344">
        <v>1.8019332591109067</v>
      </c>
      <c r="G344">
        <v>1.5734031426354336</v>
      </c>
      <c r="H344">
        <v>1.4099658998087925</v>
      </c>
      <c r="I344">
        <v>1.3053818526078689</v>
      </c>
      <c r="J344" t="s">
        <v>200</v>
      </c>
      <c r="K344" t="s">
        <v>207</v>
      </c>
      <c r="L344" t="s">
        <v>221</v>
      </c>
      <c r="M344" t="s">
        <v>225</v>
      </c>
      <c r="N344" t="str">
        <f t="shared" si="5"/>
        <v>CC</v>
      </c>
    </row>
    <row r="345" spans="1:14" x14ac:dyDescent="0.25">
      <c r="A345" t="s">
        <v>426</v>
      </c>
      <c r="B345">
        <v>0.78271327127633572</v>
      </c>
      <c r="C345">
        <v>0.83518193373663729</v>
      </c>
      <c r="D345">
        <v>0.89076729817476696</v>
      </c>
      <c r="E345">
        <v>0.86305230808301125</v>
      </c>
      <c r="F345">
        <v>0.85104371857773919</v>
      </c>
      <c r="G345">
        <v>0.84038486350429098</v>
      </c>
      <c r="H345">
        <v>0.83918696896510703</v>
      </c>
      <c r="I345">
        <v>0.84708189056322081</v>
      </c>
      <c r="J345" t="s">
        <v>200</v>
      </c>
      <c r="K345" t="s">
        <v>233</v>
      </c>
      <c r="L345" t="s">
        <v>221</v>
      </c>
      <c r="M345" t="s">
        <v>225</v>
      </c>
      <c r="N345" t="str">
        <f t="shared" si="5"/>
        <v>POOL</v>
      </c>
    </row>
    <row r="346" spans="1:14" x14ac:dyDescent="0.25">
      <c r="A346" t="s">
        <v>179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 t="s">
        <v>200</v>
      </c>
      <c r="K346" t="s">
        <v>202</v>
      </c>
      <c r="L346" t="s">
        <v>222</v>
      </c>
      <c r="M346" t="s">
        <v>225</v>
      </c>
      <c r="N346" t="str">
        <f t="shared" si="5"/>
        <v>ZS</v>
      </c>
    </row>
    <row r="347" spans="1:14" x14ac:dyDescent="0.25">
      <c r="A347" t="s">
        <v>180</v>
      </c>
      <c r="B347">
        <v>0.95372833158103809</v>
      </c>
      <c r="C347">
        <v>0.94699731821226973</v>
      </c>
      <c r="D347">
        <v>0.95407140318328887</v>
      </c>
      <c r="E347">
        <v>0.9610551283985721</v>
      </c>
      <c r="F347">
        <v>0.97174558755570628</v>
      </c>
      <c r="G347">
        <v>0.96384302991659532</v>
      </c>
      <c r="H347">
        <v>0.96404927731090206</v>
      </c>
      <c r="I347">
        <v>0.98792792789459838</v>
      </c>
      <c r="J347" t="s">
        <v>200</v>
      </c>
      <c r="K347" t="s">
        <v>203</v>
      </c>
      <c r="L347" t="s">
        <v>222</v>
      </c>
      <c r="M347" t="s">
        <v>225</v>
      </c>
      <c r="N347" t="str">
        <f t="shared" si="5"/>
        <v>ZS\&amp;POOL</v>
      </c>
    </row>
    <row r="348" spans="1:14" x14ac:dyDescent="0.25">
      <c r="A348" t="s">
        <v>181</v>
      </c>
      <c r="B348">
        <v>0.97047626420336608</v>
      </c>
      <c r="C348">
        <v>0.97387944103316937</v>
      </c>
      <c r="D348">
        <v>0.95852886655349367</v>
      </c>
      <c r="E348">
        <v>0.96201635627659887</v>
      </c>
      <c r="F348">
        <v>0.94273435792344051</v>
      </c>
      <c r="G348">
        <v>0.9680251479406452</v>
      </c>
      <c r="H348">
        <v>0.96854097353197655</v>
      </c>
      <c r="I348">
        <v>0.99975542011533503</v>
      </c>
      <c r="J348" t="s">
        <v>200</v>
      </c>
      <c r="K348" t="s">
        <v>204</v>
      </c>
      <c r="L348" t="s">
        <v>222</v>
      </c>
      <c r="M348" t="s">
        <v>225</v>
      </c>
      <c r="N348" t="str">
        <f t="shared" si="5"/>
        <v>ZSGL</v>
      </c>
    </row>
    <row r="349" spans="1:14" x14ac:dyDescent="0.25">
      <c r="A349" t="s">
        <v>427</v>
      </c>
      <c r="B349">
        <v>1.3201775650661904</v>
      </c>
      <c r="C349">
        <v>1.1908491577035967</v>
      </c>
      <c r="D349">
        <v>1.120660675702009</v>
      </c>
      <c r="E349">
        <v>1.0254812895927636</v>
      </c>
      <c r="F349">
        <v>0.99249165799349093</v>
      </c>
      <c r="G349">
        <v>0.93794333828419474</v>
      </c>
      <c r="H349">
        <v>0.90693482343853127</v>
      </c>
      <c r="I349">
        <v>0.89748320556291805</v>
      </c>
      <c r="J349" t="s">
        <v>200</v>
      </c>
      <c r="K349" t="s">
        <v>239</v>
      </c>
      <c r="L349" t="s">
        <v>222</v>
      </c>
      <c r="M349" t="s">
        <v>225</v>
      </c>
      <c r="N349" t="str">
        <f t="shared" si="5"/>
        <v>BFCS</v>
      </c>
    </row>
    <row r="350" spans="1:14" x14ac:dyDescent="0.25">
      <c r="A350" t="s">
        <v>428</v>
      </c>
      <c r="B350">
        <v>1.1676682117049995</v>
      </c>
      <c r="C350">
        <v>1.2093545952250895</v>
      </c>
      <c r="D350">
        <v>1.045603171071132</v>
      </c>
      <c r="E350">
        <v>1.0532653958991465</v>
      </c>
      <c r="F350">
        <v>1.0453926593728091</v>
      </c>
      <c r="G350">
        <v>1.0623452056432616</v>
      </c>
      <c r="H350">
        <v>1.0691626433262378</v>
      </c>
      <c r="I350">
        <v>1.1187556001576282</v>
      </c>
      <c r="J350" t="s">
        <v>200</v>
      </c>
      <c r="K350" t="s">
        <v>241</v>
      </c>
      <c r="L350" t="s">
        <v>222</v>
      </c>
      <c r="M350" t="s">
        <v>225</v>
      </c>
      <c r="N350" t="str">
        <f t="shared" si="5"/>
        <v>SSSS</v>
      </c>
    </row>
    <row r="351" spans="1:14" x14ac:dyDescent="0.25">
      <c r="A351" t="s">
        <v>182</v>
      </c>
      <c r="B351">
        <v>1.4286987883797113</v>
      </c>
      <c r="C351">
        <v>1.2518033832231581</v>
      </c>
      <c r="D351">
        <v>1.1113438256273058</v>
      </c>
      <c r="E351">
        <v>1.0402021263427597</v>
      </c>
      <c r="F351">
        <v>0.97945019738831374</v>
      </c>
      <c r="G351">
        <v>0.9893486213707704</v>
      </c>
      <c r="H351">
        <v>0.95484018352178968</v>
      </c>
      <c r="I351">
        <v>0.9761246308084317</v>
      </c>
      <c r="J351" t="s">
        <v>200</v>
      </c>
      <c r="K351" t="s">
        <v>206</v>
      </c>
      <c r="L351" t="s">
        <v>222</v>
      </c>
      <c r="M351" t="s">
        <v>225</v>
      </c>
      <c r="N351" t="str">
        <f t="shared" si="5"/>
        <v>BMS</v>
      </c>
    </row>
    <row r="352" spans="1:14" x14ac:dyDescent="0.25">
      <c r="A352" t="s">
        <v>183</v>
      </c>
      <c r="B352">
        <v>1.8238314007501804</v>
      </c>
      <c r="C352">
        <v>1.4416465086700612</v>
      </c>
      <c r="D352">
        <v>1.1928945046099972</v>
      </c>
      <c r="E352">
        <v>1.1087012300761958</v>
      </c>
      <c r="F352">
        <v>1.0067067457437398</v>
      </c>
      <c r="G352">
        <v>0.96540127457895408</v>
      </c>
      <c r="H352">
        <v>0.90974125371638848</v>
      </c>
      <c r="I352">
        <v>0.92951632958936437</v>
      </c>
      <c r="J352" t="s">
        <v>200</v>
      </c>
      <c r="K352" t="s">
        <v>207</v>
      </c>
      <c r="L352" t="s">
        <v>222</v>
      </c>
      <c r="M352" t="s">
        <v>225</v>
      </c>
      <c r="N352" t="str">
        <f t="shared" si="5"/>
        <v>CC</v>
      </c>
    </row>
    <row r="353" spans="1:14" x14ac:dyDescent="0.25">
      <c r="A353" t="s">
        <v>429</v>
      </c>
      <c r="B353">
        <v>0.98704062539502246</v>
      </c>
      <c r="C353">
        <v>0.97580802955948476</v>
      </c>
      <c r="D353">
        <v>0.95886688121517594</v>
      </c>
      <c r="E353">
        <v>0.95280402899251249</v>
      </c>
      <c r="F353">
        <v>0.94565213294661477</v>
      </c>
      <c r="G353">
        <v>0.96135396418601637</v>
      </c>
      <c r="H353">
        <v>0.95789739804855822</v>
      </c>
      <c r="I353">
        <v>0.99221203257124579</v>
      </c>
      <c r="J353" t="s">
        <v>200</v>
      </c>
      <c r="K353" t="s">
        <v>233</v>
      </c>
      <c r="L353" t="s">
        <v>222</v>
      </c>
      <c r="M353" t="s">
        <v>225</v>
      </c>
      <c r="N353" t="str">
        <f t="shared" si="5"/>
        <v>POOL</v>
      </c>
    </row>
    <row r="354" spans="1:14" x14ac:dyDescent="0.25">
      <c r="A354" t="s">
        <v>184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 t="s">
        <v>200</v>
      </c>
      <c r="K354" t="s">
        <v>202</v>
      </c>
      <c r="L354" t="s">
        <v>223</v>
      </c>
      <c r="M354" t="s">
        <v>225</v>
      </c>
      <c r="N354" t="str">
        <f t="shared" si="5"/>
        <v>ZS</v>
      </c>
    </row>
    <row r="355" spans="1:14" x14ac:dyDescent="0.25">
      <c r="A355" t="s">
        <v>185</v>
      </c>
      <c r="B355">
        <v>0.99751745492768751</v>
      </c>
      <c r="C355">
        <v>0.96475046521986574</v>
      </c>
      <c r="D355">
        <v>0.98855181739974762</v>
      </c>
      <c r="E355">
        <v>0.96319768016568441</v>
      </c>
      <c r="F355">
        <v>1.0244819932950699</v>
      </c>
      <c r="G355">
        <v>1.0251424532136377</v>
      </c>
      <c r="H355">
        <v>1.054119389727719</v>
      </c>
      <c r="I355">
        <v>1.0626439918193176</v>
      </c>
      <c r="J355" t="s">
        <v>200</v>
      </c>
      <c r="K355" t="s">
        <v>203</v>
      </c>
      <c r="L355" t="s">
        <v>223</v>
      </c>
      <c r="M355" t="s">
        <v>225</v>
      </c>
      <c r="N355" t="str">
        <f t="shared" si="5"/>
        <v>ZS\&amp;POOL</v>
      </c>
    </row>
    <row r="356" spans="1:14" x14ac:dyDescent="0.25">
      <c r="A356" t="s">
        <v>186</v>
      </c>
      <c r="B356">
        <v>1.1122081741467555</v>
      </c>
      <c r="C356">
        <v>1.0688747922963766</v>
      </c>
      <c r="D356">
        <v>1.1037020228707222</v>
      </c>
      <c r="E356">
        <v>1.083093736993928</v>
      </c>
      <c r="F356">
        <v>1.1038997105653505</v>
      </c>
      <c r="G356">
        <v>1.1085415381981747</v>
      </c>
      <c r="H356">
        <v>1.1223344651755121</v>
      </c>
      <c r="I356">
        <v>1.1188728918121282</v>
      </c>
      <c r="J356" t="s">
        <v>200</v>
      </c>
      <c r="K356" t="s">
        <v>204</v>
      </c>
      <c r="L356" t="s">
        <v>223</v>
      </c>
      <c r="M356" t="s">
        <v>225</v>
      </c>
      <c r="N356" t="str">
        <f t="shared" si="5"/>
        <v>ZSGL</v>
      </c>
    </row>
    <row r="357" spans="1:14" x14ac:dyDescent="0.25">
      <c r="A357" t="s">
        <v>430</v>
      </c>
      <c r="B357">
        <v>2.0135083467541439</v>
      </c>
      <c r="C357">
        <v>1.9772729827515345</v>
      </c>
      <c r="D357">
        <v>1.6722008456917994</v>
      </c>
      <c r="E357">
        <v>1.425558206801167</v>
      </c>
      <c r="F357">
        <v>1.3197205615883019</v>
      </c>
      <c r="G357">
        <v>1.207623036358165</v>
      </c>
      <c r="H357">
        <v>1.239375292786995</v>
      </c>
      <c r="I357">
        <v>1.1896625743232021</v>
      </c>
      <c r="J357" t="s">
        <v>200</v>
      </c>
      <c r="K357" t="s">
        <v>239</v>
      </c>
      <c r="L357" t="s">
        <v>223</v>
      </c>
      <c r="M357" t="s">
        <v>225</v>
      </c>
      <c r="N357" t="str">
        <f t="shared" si="5"/>
        <v>BFCS</v>
      </c>
    </row>
    <row r="358" spans="1:14" x14ac:dyDescent="0.25">
      <c r="A358" t="s">
        <v>431</v>
      </c>
      <c r="B358">
        <v>1.2723987673998636</v>
      </c>
      <c r="C358">
        <v>1.4281630760624129</v>
      </c>
      <c r="D358">
        <v>1.2233823490247058</v>
      </c>
      <c r="E358">
        <v>1.1081802931918159</v>
      </c>
      <c r="F358">
        <v>1.0632178646653585</v>
      </c>
      <c r="G358">
        <v>0.99518335577795503</v>
      </c>
      <c r="H358">
        <v>0.99385063480407621</v>
      </c>
      <c r="I358">
        <v>0.99927384183484091</v>
      </c>
      <c r="J358" t="s">
        <v>200</v>
      </c>
      <c r="K358" t="s">
        <v>241</v>
      </c>
      <c r="L358" t="s">
        <v>223</v>
      </c>
      <c r="M358" t="s">
        <v>225</v>
      </c>
      <c r="N358" t="str">
        <f t="shared" si="5"/>
        <v>SSSS</v>
      </c>
    </row>
    <row r="359" spans="1:14" x14ac:dyDescent="0.25">
      <c r="A359" t="s">
        <v>187</v>
      </c>
      <c r="B359">
        <v>2.0238182494888997</v>
      </c>
      <c r="C359">
        <v>1.8235418787531366</v>
      </c>
      <c r="D359">
        <v>1.542177781366735</v>
      </c>
      <c r="E359">
        <v>1.2979499361906102</v>
      </c>
      <c r="F359">
        <v>1.1539820001225018</v>
      </c>
      <c r="G359">
        <v>1.0838396418991798</v>
      </c>
      <c r="H359">
        <v>1.0529808600977082</v>
      </c>
      <c r="I359">
        <v>1.0190378885379621</v>
      </c>
      <c r="J359" t="s">
        <v>200</v>
      </c>
      <c r="K359" t="s">
        <v>206</v>
      </c>
      <c r="L359" t="s">
        <v>223</v>
      </c>
      <c r="M359" t="s">
        <v>225</v>
      </c>
      <c r="N359" t="str">
        <f t="shared" si="5"/>
        <v>BMS</v>
      </c>
    </row>
    <row r="360" spans="1:14" x14ac:dyDescent="0.25">
      <c r="A360" t="s">
        <v>188</v>
      </c>
      <c r="B360">
        <v>2.3577258949719222</v>
      </c>
      <c r="C360">
        <v>2.5815448609290836</v>
      </c>
      <c r="D360">
        <v>2.0712117571926378</v>
      </c>
      <c r="E360">
        <v>1.7087110939316774</v>
      </c>
      <c r="F360">
        <v>1.5392063157975242</v>
      </c>
      <c r="G360">
        <v>1.4203853315456314</v>
      </c>
      <c r="H360">
        <v>1.3875186216386268</v>
      </c>
      <c r="I360">
        <v>1.3027781515685748</v>
      </c>
      <c r="J360" t="s">
        <v>200</v>
      </c>
      <c r="K360" t="s">
        <v>207</v>
      </c>
      <c r="L360" t="s">
        <v>223</v>
      </c>
      <c r="M360" t="s">
        <v>225</v>
      </c>
      <c r="N360" t="str">
        <f t="shared" si="5"/>
        <v>CC</v>
      </c>
    </row>
    <row r="361" spans="1:14" x14ac:dyDescent="0.25">
      <c r="A361" t="s">
        <v>432</v>
      </c>
      <c r="B361">
        <v>1.0776085955326591</v>
      </c>
      <c r="C361">
        <v>1.0872195200707437</v>
      </c>
      <c r="D361">
        <v>1.1023435909930792</v>
      </c>
      <c r="E361">
        <v>1.0809718612412933</v>
      </c>
      <c r="F361">
        <v>1.1004229895998425</v>
      </c>
      <c r="G361">
        <v>1.1422394037599712</v>
      </c>
      <c r="H361">
        <v>1.1706940560034418</v>
      </c>
      <c r="I361">
        <v>1.1879426850655144</v>
      </c>
      <c r="J361" t="s">
        <v>200</v>
      </c>
      <c r="K361" t="s">
        <v>233</v>
      </c>
      <c r="L361" t="s">
        <v>223</v>
      </c>
      <c r="M361" t="s">
        <v>225</v>
      </c>
      <c r="N361" t="str">
        <f t="shared" si="5"/>
        <v>POOL</v>
      </c>
    </row>
    <row r="362" spans="1:14" x14ac:dyDescent="0.25">
      <c r="A362" t="s">
        <v>164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 t="s">
        <v>200</v>
      </c>
      <c r="K362" t="s">
        <v>202</v>
      </c>
      <c r="L362" t="s">
        <v>219</v>
      </c>
      <c r="M362" t="s">
        <v>225</v>
      </c>
      <c r="N362" t="str">
        <f t="shared" si="5"/>
        <v>ZS</v>
      </c>
    </row>
    <row r="363" spans="1:14" x14ac:dyDescent="0.25">
      <c r="A363" t="s">
        <v>165</v>
      </c>
      <c r="B363">
        <v>1.2481321109637491</v>
      </c>
      <c r="C363">
        <v>1.1649477457279613</v>
      </c>
      <c r="D363">
        <v>1.1436593884534543</v>
      </c>
      <c r="E363">
        <v>1.1347211055396593</v>
      </c>
      <c r="F363">
        <v>1.1588882967956375</v>
      </c>
      <c r="G363">
        <v>1.1601568350977909</v>
      </c>
      <c r="H363">
        <v>1.1727949735601115</v>
      </c>
      <c r="I363">
        <v>1.1743264109210954</v>
      </c>
      <c r="J363" t="s">
        <v>200</v>
      </c>
      <c r="K363" t="s">
        <v>203</v>
      </c>
      <c r="L363" t="s">
        <v>219</v>
      </c>
      <c r="M363" t="s">
        <v>225</v>
      </c>
      <c r="N363" t="str">
        <f t="shared" si="5"/>
        <v>ZS\&amp;POOL</v>
      </c>
    </row>
    <row r="364" spans="1:14" x14ac:dyDescent="0.25">
      <c r="A364" t="s">
        <v>166</v>
      </c>
      <c r="B364">
        <v>0.97110782250150585</v>
      </c>
      <c r="C364">
        <v>0.97445517765151812</v>
      </c>
      <c r="D364">
        <v>0.97036571702172769</v>
      </c>
      <c r="E364">
        <v>0.96531816226336098</v>
      </c>
      <c r="F364">
        <v>0.98550215174309441</v>
      </c>
      <c r="G364">
        <v>0.96881316289883479</v>
      </c>
      <c r="H364">
        <v>0.9537800184747951</v>
      </c>
      <c r="I364">
        <v>0.94005684078965379</v>
      </c>
      <c r="J364" t="s">
        <v>200</v>
      </c>
      <c r="K364" t="s">
        <v>204</v>
      </c>
      <c r="L364" t="s">
        <v>219</v>
      </c>
      <c r="M364" t="s">
        <v>225</v>
      </c>
      <c r="N364" t="str">
        <f t="shared" si="5"/>
        <v>ZSGL</v>
      </c>
    </row>
    <row r="365" spans="1:14" x14ac:dyDescent="0.25">
      <c r="A365" t="s">
        <v>418</v>
      </c>
      <c r="B365">
        <v>3.1256310377771457</v>
      </c>
      <c r="C365">
        <v>2.6316774928125861</v>
      </c>
      <c r="D365">
        <v>1.8002636195695052</v>
      </c>
      <c r="E365">
        <v>1.4175502793241288</v>
      </c>
      <c r="F365">
        <v>1.1681772068694296</v>
      </c>
      <c r="G365">
        <v>1.0292891483733402</v>
      </c>
      <c r="H365">
        <v>0.9457488602231886</v>
      </c>
      <c r="I365">
        <v>0.85982207680455613</v>
      </c>
      <c r="J365" t="s">
        <v>200</v>
      </c>
      <c r="K365" t="s">
        <v>239</v>
      </c>
      <c r="L365" t="s">
        <v>219</v>
      </c>
      <c r="M365" t="s">
        <v>225</v>
      </c>
      <c r="N365" t="str">
        <f t="shared" si="5"/>
        <v>BFCS</v>
      </c>
    </row>
    <row r="366" spans="1:14" x14ac:dyDescent="0.25">
      <c r="A366" t="s">
        <v>419</v>
      </c>
      <c r="B366">
        <v>2.642383546313213</v>
      </c>
      <c r="C366">
        <v>2.8956387884289603</v>
      </c>
      <c r="D366">
        <v>1.9476560815944171</v>
      </c>
      <c r="E366">
        <v>1.543813528978679</v>
      </c>
      <c r="F366">
        <v>1.3057718256475397</v>
      </c>
      <c r="G366">
        <v>1.1244549438060525</v>
      </c>
      <c r="H366">
        <v>1.0107588698282239</v>
      </c>
      <c r="I366">
        <v>0.91846539105650948</v>
      </c>
      <c r="J366" t="s">
        <v>200</v>
      </c>
      <c r="K366" t="s">
        <v>241</v>
      </c>
      <c r="L366" t="s">
        <v>219</v>
      </c>
      <c r="M366" t="s">
        <v>225</v>
      </c>
      <c r="N366" t="str">
        <f t="shared" si="5"/>
        <v>SSSS</v>
      </c>
    </row>
    <row r="367" spans="1:14" x14ac:dyDescent="0.25">
      <c r="A367" t="s">
        <v>167</v>
      </c>
      <c r="B367">
        <v>2.4545286291170076</v>
      </c>
      <c r="C367">
        <v>1.8753832440227567</v>
      </c>
      <c r="D367">
        <v>1.257074265384124</v>
      </c>
      <c r="E367">
        <v>0.97857210986761534</v>
      </c>
      <c r="F367">
        <v>0.80561476485143424</v>
      </c>
      <c r="G367">
        <v>0.72984715104721143</v>
      </c>
      <c r="H367">
        <v>0.64189678237303416</v>
      </c>
      <c r="I367">
        <v>0.58997910057091263</v>
      </c>
      <c r="J367" t="s">
        <v>200</v>
      </c>
      <c r="K367" t="s">
        <v>206</v>
      </c>
      <c r="L367" t="s">
        <v>219</v>
      </c>
      <c r="M367" t="s">
        <v>225</v>
      </c>
      <c r="N367" t="str">
        <f t="shared" si="5"/>
        <v>BMS</v>
      </c>
    </row>
    <row r="368" spans="1:14" x14ac:dyDescent="0.25">
      <c r="A368" t="s">
        <v>168</v>
      </c>
      <c r="B368">
        <v>9.0933160207949939</v>
      </c>
      <c r="C368">
        <v>7.3614013092069017</v>
      </c>
      <c r="D368">
        <v>4.9939610527410458</v>
      </c>
      <c r="E368">
        <v>3.9025355114622351</v>
      </c>
      <c r="F368">
        <v>3.3147511268844876</v>
      </c>
      <c r="G368">
        <v>2.8865555530944889</v>
      </c>
      <c r="H368">
        <v>2.5731093875653404</v>
      </c>
      <c r="I368">
        <v>2.3342880509587518</v>
      </c>
      <c r="J368" t="s">
        <v>200</v>
      </c>
      <c r="K368" t="s">
        <v>207</v>
      </c>
      <c r="L368" t="s">
        <v>219</v>
      </c>
      <c r="M368" t="s">
        <v>225</v>
      </c>
      <c r="N368" t="str">
        <f t="shared" si="5"/>
        <v>CC</v>
      </c>
    </row>
    <row r="369" spans="1:14" x14ac:dyDescent="0.25">
      <c r="A369" t="s">
        <v>420</v>
      </c>
      <c r="B369">
        <v>1.1054093417976063</v>
      </c>
      <c r="C369">
        <v>1.1004595511616178</v>
      </c>
      <c r="D369">
        <v>1.078371191719685</v>
      </c>
      <c r="E369">
        <v>1.0538638349749863</v>
      </c>
      <c r="F369">
        <v>1.0443331351620035</v>
      </c>
      <c r="G369">
        <v>1.0083785992354686</v>
      </c>
      <c r="H369">
        <v>0.9839790670402494</v>
      </c>
      <c r="I369">
        <v>0.96666290842727443</v>
      </c>
      <c r="J369" t="s">
        <v>200</v>
      </c>
      <c r="K369" t="s">
        <v>233</v>
      </c>
      <c r="L369" t="s">
        <v>219</v>
      </c>
      <c r="M369" t="s">
        <v>225</v>
      </c>
      <c r="N369" t="str">
        <f t="shared" si="5"/>
        <v>POOL</v>
      </c>
    </row>
    <row r="370" spans="1:14" x14ac:dyDescent="0.25">
      <c r="A370" t="s">
        <v>449</v>
      </c>
      <c r="B370">
        <v>0.92456448646963663</v>
      </c>
      <c r="C370">
        <v>0.86771436154173875</v>
      </c>
      <c r="D370">
        <v>0.7785847738053705</v>
      </c>
      <c r="E370">
        <v>0.70938005501596391</v>
      </c>
      <c r="F370">
        <v>0.66376032385106365</v>
      </c>
      <c r="G370">
        <v>0.61770022367165689</v>
      </c>
      <c r="H370">
        <v>0.5772724688873665</v>
      </c>
      <c r="I370">
        <v>0.54060444769507343</v>
      </c>
      <c r="J370" t="s">
        <v>200</v>
      </c>
      <c r="K370" t="s">
        <v>226</v>
      </c>
      <c r="L370" t="s">
        <v>219</v>
      </c>
      <c r="M370" t="s">
        <v>225</v>
      </c>
      <c r="N370" t="str">
        <f t="shared" si="5"/>
        <v>J</v>
      </c>
    </row>
    <row r="371" spans="1:14" x14ac:dyDescent="0.25">
      <c r="A371" t="s">
        <v>169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 t="s">
        <v>200</v>
      </c>
      <c r="K371" t="s">
        <v>202</v>
      </c>
      <c r="L371" t="s">
        <v>220</v>
      </c>
      <c r="M371" t="s">
        <v>225</v>
      </c>
      <c r="N371" t="str">
        <f t="shared" si="5"/>
        <v>ZS</v>
      </c>
    </row>
    <row r="372" spans="1:14" x14ac:dyDescent="0.25">
      <c r="A372" t="s">
        <v>170</v>
      </c>
      <c r="B372">
        <v>1.0052034586692118</v>
      </c>
      <c r="C372">
        <v>1.0111559292955707</v>
      </c>
      <c r="D372">
        <v>1.0459326577923729</v>
      </c>
      <c r="E372">
        <v>1.0593072206431944</v>
      </c>
      <c r="F372">
        <v>1.0543405726178234</v>
      </c>
      <c r="G372">
        <v>1.0675284997214598</v>
      </c>
      <c r="H372">
        <v>1.0565711220932938</v>
      </c>
      <c r="I372">
        <v>1.0879690973733949</v>
      </c>
      <c r="J372" t="s">
        <v>200</v>
      </c>
      <c r="K372" t="s">
        <v>203</v>
      </c>
      <c r="L372" t="s">
        <v>220</v>
      </c>
      <c r="M372" t="s">
        <v>225</v>
      </c>
      <c r="N372" t="str">
        <f t="shared" si="5"/>
        <v>ZS\&amp;POOL</v>
      </c>
    </row>
    <row r="373" spans="1:14" x14ac:dyDescent="0.25">
      <c r="A373" t="s">
        <v>171</v>
      </c>
      <c r="B373">
        <v>1.1111767358304145</v>
      </c>
      <c r="C373">
        <v>1.0064905516866653</v>
      </c>
      <c r="D373">
        <v>0.98188830386625381</v>
      </c>
      <c r="E373">
        <v>1.0171349580191762</v>
      </c>
      <c r="F373">
        <v>1.020728706501894</v>
      </c>
      <c r="G373">
        <v>1.0660097548835221</v>
      </c>
      <c r="H373">
        <v>1.0772959229505221</v>
      </c>
      <c r="I373">
        <v>1.0924358375661236</v>
      </c>
      <c r="J373" t="s">
        <v>200</v>
      </c>
      <c r="K373" t="s">
        <v>204</v>
      </c>
      <c r="L373" t="s">
        <v>220</v>
      </c>
      <c r="M373" t="s">
        <v>225</v>
      </c>
      <c r="N373" t="str">
        <f t="shared" si="5"/>
        <v>ZSGL</v>
      </c>
    </row>
    <row r="374" spans="1:14" x14ac:dyDescent="0.25">
      <c r="A374" t="s">
        <v>421</v>
      </c>
      <c r="B374">
        <v>2.7454248074730652</v>
      </c>
      <c r="C374">
        <v>1.9927633836759868</v>
      </c>
      <c r="D374">
        <v>1.5061985247326093</v>
      </c>
      <c r="E374">
        <v>1.3375015654151721</v>
      </c>
      <c r="F374">
        <v>1.2183658165682703</v>
      </c>
      <c r="G374">
        <v>1.127991063123063</v>
      </c>
      <c r="H374">
        <v>1.0826370125413263</v>
      </c>
      <c r="I374">
        <v>1.0230356733706252</v>
      </c>
      <c r="J374" t="s">
        <v>200</v>
      </c>
      <c r="K374" t="s">
        <v>239</v>
      </c>
      <c r="L374" t="s">
        <v>220</v>
      </c>
      <c r="M374" t="s">
        <v>225</v>
      </c>
      <c r="N374" t="str">
        <f t="shared" si="5"/>
        <v>BFCS</v>
      </c>
    </row>
    <row r="375" spans="1:14" x14ac:dyDescent="0.25">
      <c r="A375" t="s">
        <v>422</v>
      </c>
      <c r="B375">
        <v>1.8521447300484086</v>
      </c>
      <c r="C375">
        <v>2.3938109051304144</v>
      </c>
      <c r="D375">
        <v>1.8780148173588938</v>
      </c>
      <c r="E375">
        <v>1.6224641473504302</v>
      </c>
      <c r="F375">
        <v>1.4657052197597005</v>
      </c>
      <c r="G375">
        <v>1.4029592301900251</v>
      </c>
      <c r="H375">
        <v>1.3109389688201853</v>
      </c>
      <c r="I375">
        <v>1.2619964669774577</v>
      </c>
      <c r="J375" t="s">
        <v>200</v>
      </c>
      <c r="K375" t="s">
        <v>241</v>
      </c>
      <c r="L375" t="s">
        <v>220</v>
      </c>
      <c r="M375" t="s">
        <v>225</v>
      </c>
      <c r="N375" t="str">
        <f t="shared" si="5"/>
        <v>SSSS</v>
      </c>
    </row>
    <row r="376" spans="1:14" x14ac:dyDescent="0.25">
      <c r="A376" t="s">
        <v>172</v>
      </c>
      <c r="B376">
        <v>1.9030490933342001</v>
      </c>
      <c r="C376">
        <v>1.5077310430056308</v>
      </c>
      <c r="D376">
        <v>1.2336123926844325</v>
      </c>
      <c r="E376">
        <v>1.059296092982523</v>
      </c>
      <c r="F376">
        <v>0.9337348529829258</v>
      </c>
      <c r="G376">
        <v>0.91178949413646404</v>
      </c>
      <c r="H376">
        <v>0.83409839521016749</v>
      </c>
      <c r="I376">
        <v>0.87515271265405903</v>
      </c>
      <c r="J376" t="s">
        <v>200</v>
      </c>
      <c r="K376" t="s">
        <v>206</v>
      </c>
      <c r="L376" t="s">
        <v>220</v>
      </c>
      <c r="M376" t="s">
        <v>225</v>
      </c>
      <c r="N376" t="str">
        <f t="shared" si="5"/>
        <v>BMS</v>
      </c>
    </row>
    <row r="377" spans="1:14" x14ac:dyDescent="0.25">
      <c r="A377" t="s">
        <v>173</v>
      </c>
      <c r="B377">
        <v>3.3095287436656085</v>
      </c>
      <c r="C377">
        <v>2.794743494178618</v>
      </c>
      <c r="D377">
        <v>2.1849987586791384</v>
      </c>
      <c r="E377">
        <v>1.8750575864439283</v>
      </c>
      <c r="F377">
        <v>1.6937042163654343</v>
      </c>
      <c r="G377">
        <v>1.5941897407884498</v>
      </c>
      <c r="H377">
        <v>1.5000522199909427</v>
      </c>
      <c r="I377">
        <v>1.4340703326832087</v>
      </c>
      <c r="J377" t="s">
        <v>200</v>
      </c>
      <c r="K377" t="s">
        <v>207</v>
      </c>
      <c r="L377" t="s">
        <v>220</v>
      </c>
      <c r="M377" t="s">
        <v>225</v>
      </c>
      <c r="N377" t="str">
        <f t="shared" si="5"/>
        <v>CC</v>
      </c>
    </row>
    <row r="378" spans="1:14" x14ac:dyDescent="0.25">
      <c r="A378" t="s">
        <v>423</v>
      </c>
      <c r="B378">
        <v>1.0001174350536515</v>
      </c>
      <c r="C378">
        <v>0.99623086821959761</v>
      </c>
      <c r="D378">
        <v>1.025991198457751</v>
      </c>
      <c r="E378">
        <v>1.0448459967008872</v>
      </c>
      <c r="F378">
        <v>1.0467003670028245</v>
      </c>
      <c r="G378">
        <v>1.0911948495491006</v>
      </c>
      <c r="H378">
        <v>1.0908422765902734</v>
      </c>
      <c r="I378">
        <v>1.1335956204306665</v>
      </c>
      <c r="J378" t="s">
        <v>200</v>
      </c>
      <c r="K378" t="s">
        <v>233</v>
      </c>
      <c r="L378" t="s">
        <v>220</v>
      </c>
      <c r="M378" t="s">
        <v>225</v>
      </c>
      <c r="N378" t="str">
        <f t="shared" si="5"/>
        <v>POOL</v>
      </c>
    </row>
    <row r="379" spans="1:14" x14ac:dyDescent="0.25">
      <c r="A379" t="s">
        <v>450</v>
      </c>
      <c r="B379">
        <v>0.87181807236729048</v>
      </c>
      <c r="C379">
        <v>0.92542988179127006</v>
      </c>
      <c r="D379">
        <v>0.91400104808242388</v>
      </c>
      <c r="E379">
        <v>0.93330903217119332</v>
      </c>
      <c r="F379">
        <v>0.92115581765772259</v>
      </c>
      <c r="G379">
        <v>0.92678102237206794</v>
      </c>
      <c r="H379">
        <v>0.90494527735836294</v>
      </c>
      <c r="I379">
        <v>0.90608358422457669</v>
      </c>
      <c r="J379" t="s">
        <v>200</v>
      </c>
      <c r="K379" t="s">
        <v>226</v>
      </c>
      <c r="L379" t="s">
        <v>220</v>
      </c>
      <c r="M379" t="s">
        <v>225</v>
      </c>
      <c r="N379" t="str">
        <f t="shared" si="5"/>
        <v>J</v>
      </c>
    </row>
    <row r="380" spans="1:14" x14ac:dyDescent="0.25">
      <c r="A380" t="s">
        <v>174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 t="s">
        <v>200</v>
      </c>
      <c r="K380" t="s">
        <v>202</v>
      </c>
      <c r="L380" t="s">
        <v>221</v>
      </c>
      <c r="M380" t="s">
        <v>225</v>
      </c>
      <c r="N380" t="str">
        <f t="shared" si="5"/>
        <v>ZS</v>
      </c>
    </row>
    <row r="381" spans="1:14" x14ac:dyDescent="0.25">
      <c r="A381" t="s">
        <v>175</v>
      </c>
      <c r="B381">
        <v>0.89848449315055523</v>
      </c>
      <c r="C381">
        <v>0.98290736830655068</v>
      </c>
      <c r="D381">
        <v>1.0300789318095311</v>
      </c>
      <c r="E381">
        <v>1.028405840272387</v>
      </c>
      <c r="F381">
        <v>1.0290210101033976</v>
      </c>
      <c r="G381">
        <v>1.0171772379742012</v>
      </c>
      <c r="H381">
        <v>1.0025209990920225</v>
      </c>
      <c r="I381">
        <v>0.98160986295432073</v>
      </c>
      <c r="J381" t="s">
        <v>200</v>
      </c>
      <c r="K381" t="s">
        <v>203</v>
      </c>
      <c r="L381" t="s">
        <v>221</v>
      </c>
      <c r="M381" t="s">
        <v>225</v>
      </c>
      <c r="N381" t="str">
        <f t="shared" si="5"/>
        <v>ZS\&amp;POOL</v>
      </c>
    </row>
    <row r="382" spans="1:14" x14ac:dyDescent="0.25">
      <c r="A382" t="s">
        <v>176</v>
      </c>
      <c r="B382">
        <v>0.8702565526424404</v>
      </c>
      <c r="C382">
        <v>0.88693383542793114</v>
      </c>
      <c r="D382">
        <v>0.92473932287212568</v>
      </c>
      <c r="E382">
        <v>0.92563625760592427</v>
      </c>
      <c r="F382">
        <v>0.93391899615426743</v>
      </c>
      <c r="G382">
        <v>0.91936082930897756</v>
      </c>
      <c r="H382">
        <v>0.92439599665912142</v>
      </c>
      <c r="I382">
        <v>0.92892682468814902</v>
      </c>
      <c r="J382" t="s">
        <v>200</v>
      </c>
      <c r="K382" t="s">
        <v>204</v>
      </c>
      <c r="L382" t="s">
        <v>221</v>
      </c>
      <c r="M382" t="s">
        <v>225</v>
      </c>
      <c r="N382" t="str">
        <f t="shared" si="5"/>
        <v>ZSGL</v>
      </c>
    </row>
    <row r="383" spans="1:14" x14ac:dyDescent="0.25">
      <c r="A383" t="s">
        <v>424</v>
      </c>
      <c r="B383">
        <v>2.9269774152231594</v>
      </c>
      <c r="C383">
        <v>2.3680752614443237</v>
      </c>
      <c r="D383">
        <v>1.7407096756799427</v>
      </c>
      <c r="E383">
        <v>1.3692553429273553</v>
      </c>
      <c r="F383">
        <v>1.2168896520702008</v>
      </c>
      <c r="G383">
        <v>1.0683252648146231</v>
      </c>
      <c r="H383">
        <v>0.97589894040448322</v>
      </c>
      <c r="I383">
        <v>0.9162898064474303</v>
      </c>
      <c r="J383" t="s">
        <v>200</v>
      </c>
      <c r="K383" t="s">
        <v>239</v>
      </c>
      <c r="L383" t="s">
        <v>221</v>
      </c>
      <c r="M383" t="s">
        <v>225</v>
      </c>
      <c r="N383" t="str">
        <f t="shared" si="5"/>
        <v>BFCS</v>
      </c>
    </row>
    <row r="384" spans="1:14" x14ac:dyDescent="0.25">
      <c r="A384" t="s">
        <v>425</v>
      </c>
      <c r="B384">
        <v>1.7709893009993189</v>
      </c>
      <c r="C384">
        <v>1.783651080009782</v>
      </c>
      <c r="D384">
        <v>1.3780190633791742</v>
      </c>
      <c r="E384">
        <v>1.1109796361577726</v>
      </c>
      <c r="F384">
        <v>0.99324212661236655</v>
      </c>
      <c r="G384">
        <v>0.8847742202795339</v>
      </c>
      <c r="H384">
        <v>0.83634663612509264</v>
      </c>
      <c r="I384">
        <v>0.78816007346538774</v>
      </c>
      <c r="J384" t="s">
        <v>200</v>
      </c>
      <c r="K384" t="s">
        <v>241</v>
      </c>
      <c r="L384" t="s">
        <v>221</v>
      </c>
      <c r="M384" t="s">
        <v>225</v>
      </c>
      <c r="N384" t="str">
        <f t="shared" si="5"/>
        <v>SSSS</v>
      </c>
    </row>
    <row r="385" spans="1:14" x14ac:dyDescent="0.25">
      <c r="A385" t="s">
        <v>177</v>
      </c>
      <c r="B385">
        <v>2.8076439437772081</v>
      </c>
      <c r="C385">
        <v>1.9304549539419684</v>
      </c>
      <c r="D385">
        <v>1.4353004680432639</v>
      </c>
      <c r="E385">
        <v>1.124723437233655</v>
      </c>
      <c r="F385">
        <v>0.97457653586898352</v>
      </c>
      <c r="G385">
        <v>0.86561566465866124</v>
      </c>
      <c r="H385">
        <v>0.79593332022862373</v>
      </c>
      <c r="I385">
        <v>0.74425609723688357</v>
      </c>
      <c r="J385" t="s">
        <v>200</v>
      </c>
      <c r="K385" t="s">
        <v>206</v>
      </c>
      <c r="L385" t="s">
        <v>221</v>
      </c>
      <c r="M385" t="s">
        <v>225</v>
      </c>
      <c r="N385" t="str">
        <f t="shared" si="5"/>
        <v>BMS</v>
      </c>
    </row>
    <row r="386" spans="1:14" x14ac:dyDescent="0.25">
      <c r="A386" t="s">
        <v>178</v>
      </c>
      <c r="B386">
        <v>4.6930740059885299</v>
      </c>
      <c r="C386">
        <v>3.8807357796905211</v>
      </c>
      <c r="D386">
        <v>2.7979931798459723</v>
      </c>
      <c r="E386">
        <v>2.1614313437847645</v>
      </c>
      <c r="F386">
        <v>1.8019332591109067</v>
      </c>
      <c r="G386">
        <v>1.5734031426354336</v>
      </c>
      <c r="H386">
        <v>1.4099658998087925</v>
      </c>
      <c r="I386">
        <v>1.3053818526078689</v>
      </c>
      <c r="J386" t="s">
        <v>200</v>
      </c>
      <c r="K386" t="s">
        <v>207</v>
      </c>
      <c r="L386" t="s">
        <v>221</v>
      </c>
      <c r="M386" t="s">
        <v>225</v>
      </c>
      <c r="N386" t="str">
        <f t="shared" ref="N386:N405" si="6">VLOOKUP(K386,modelNames,2,FALSE)</f>
        <v>CC</v>
      </c>
    </row>
    <row r="387" spans="1:14" x14ac:dyDescent="0.25">
      <c r="A387" t="s">
        <v>426</v>
      </c>
      <c r="B387">
        <v>0.78271327127633572</v>
      </c>
      <c r="C387">
        <v>0.83518193373663729</v>
      </c>
      <c r="D387">
        <v>0.89076729817476696</v>
      </c>
      <c r="E387">
        <v>0.86305230808301125</v>
      </c>
      <c r="F387">
        <v>0.85104371857773919</v>
      </c>
      <c r="G387">
        <v>0.84038486350429098</v>
      </c>
      <c r="H387">
        <v>0.83918696896510703</v>
      </c>
      <c r="I387">
        <v>0.84708189056322081</v>
      </c>
      <c r="J387" t="s">
        <v>200</v>
      </c>
      <c r="K387" t="s">
        <v>233</v>
      </c>
      <c r="L387" t="s">
        <v>221</v>
      </c>
      <c r="M387" t="s">
        <v>225</v>
      </c>
      <c r="N387" t="str">
        <f t="shared" si="6"/>
        <v>POOL</v>
      </c>
    </row>
    <row r="388" spans="1:14" x14ac:dyDescent="0.25">
      <c r="A388" t="s">
        <v>451</v>
      </c>
      <c r="B388">
        <v>0.77754615311797826</v>
      </c>
      <c r="C388">
        <v>0.80083011891985112</v>
      </c>
      <c r="D388">
        <v>0.82348891904969579</v>
      </c>
      <c r="E388">
        <v>0.79806718435023305</v>
      </c>
      <c r="F388">
        <v>0.77854425707386143</v>
      </c>
      <c r="G388">
        <v>0.74551216729846126</v>
      </c>
      <c r="H388">
        <v>0.72783457801387319</v>
      </c>
      <c r="I388">
        <v>0.71503618583159423</v>
      </c>
      <c r="J388" t="s">
        <v>200</v>
      </c>
      <c r="K388" t="s">
        <v>226</v>
      </c>
      <c r="L388" t="s">
        <v>221</v>
      </c>
      <c r="M388" t="s">
        <v>225</v>
      </c>
      <c r="N388" t="str">
        <f t="shared" si="6"/>
        <v>J</v>
      </c>
    </row>
    <row r="389" spans="1:14" x14ac:dyDescent="0.25">
      <c r="A389" t="s">
        <v>179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 t="s">
        <v>200</v>
      </c>
      <c r="K389" t="s">
        <v>202</v>
      </c>
      <c r="L389" t="s">
        <v>222</v>
      </c>
      <c r="M389" t="s">
        <v>225</v>
      </c>
      <c r="N389" t="str">
        <f t="shared" si="6"/>
        <v>ZS</v>
      </c>
    </row>
    <row r="390" spans="1:14" x14ac:dyDescent="0.25">
      <c r="A390" t="s">
        <v>180</v>
      </c>
      <c r="B390">
        <v>0.95372833158103809</v>
      </c>
      <c r="C390">
        <v>0.94699731821226973</v>
      </c>
      <c r="D390">
        <v>0.95407140318328887</v>
      </c>
      <c r="E390">
        <v>0.9610551283985721</v>
      </c>
      <c r="F390">
        <v>0.97174558755570628</v>
      </c>
      <c r="G390">
        <v>0.96384302991659532</v>
      </c>
      <c r="H390">
        <v>0.96404927731090206</v>
      </c>
      <c r="I390">
        <v>0.98792792789459838</v>
      </c>
      <c r="J390" t="s">
        <v>200</v>
      </c>
      <c r="K390" t="s">
        <v>203</v>
      </c>
      <c r="L390" t="s">
        <v>222</v>
      </c>
      <c r="M390" t="s">
        <v>225</v>
      </c>
      <c r="N390" t="str">
        <f t="shared" si="6"/>
        <v>ZS\&amp;POOL</v>
      </c>
    </row>
    <row r="391" spans="1:14" x14ac:dyDescent="0.25">
      <c r="A391" t="s">
        <v>181</v>
      </c>
      <c r="B391">
        <v>0.97047626420336608</v>
      </c>
      <c r="C391">
        <v>0.97387944103316937</v>
      </c>
      <c r="D391">
        <v>0.95852886655349367</v>
      </c>
      <c r="E391">
        <v>0.96201635627659887</v>
      </c>
      <c r="F391">
        <v>0.94273435792344051</v>
      </c>
      <c r="G391">
        <v>0.9680251479406452</v>
      </c>
      <c r="H391">
        <v>0.96854097353197655</v>
      </c>
      <c r="I391">
        <v>0.99975542011533503</v>
      </c>
      <c r="J391" t="s">
        <v>200</v>
      </c>
      <c r="K391" t="s">
        <v>204</v>
      </c>
      <c r="L391" t="s">
        <v>222</v>
      </c>
      <c r="M391" t="s">
        <v>225</v>
      </c>
      <c r="N391" t="str">
        <f t="shared" si="6"/>
        <v>ZSGL</v>
      </c>
    </row>
    <row r="392" spans="1:14" x14ac:dyDescent="0.25">
      <c r="A392" t="s">
        <v>427</v>
      </c>
      <c r="B392">
        <v>1.3201775650661904</v>
      </c>
      <c r="C392">
        <v>1.1908491577035967</v>
      </c>
      <c r="D392">
        <v>1.120660675702009</v>
      </c>
      <c r="E392">
        <v>1.0254812895927636</v>
      </c>
      <c r="F392">
        <v>0.99249165799349093</v>
      </c>
      <c r="G392">
        <v>0.93794333828419474</v>
      </c>
      <c r="H392">
        <v>0.90693482343853127</v>
      </c>
      <c r="I392">
        <v>0.89748320556291805</v>
      </c>
      <c r="J392" t="s">
        <v>200</v>
      </c>
      <c r="K392" t="s">
        <v>239</v>
      </c>
      <c r="L392" t="s">
        <v>222</v>
      </c>
      <c r="M392" t="s">
        <v>225</v>
      </c>
      <c r="N392" t="str">
        <f t="shared" si="6"/>
        <v>BFCS</v>
      </c>
    </row>
    <row r="393" spans="1:14" x14ac:dyDescent="0.25">
      <c r="A393" t="s">
        <v>428</v>
      </c>
      <c r="B393">
        <v>1.1676682117049995</v>
      </c>
      <c r="C393">
        <v>1.2093545952250895</v>
      </c>
      <c r="D393">
        <v>1.045603171071132</v>
      </c>
      <c r="E393">
        <v>1.0532653958991465</v>
      </c>
      <c r="F393">
        <v>1.0453926593728091</v>
      </c>
      <c r="G393">
        <v>1.0623452056432616</v>
      </c>
      <c r="H393">
        <v>1.0691626433262378</v>
      </c>
      <c r="I393">
        <v>1.1187556001576282</v>
      </c>
      <c r="J393" t="s">
        <v>200</v>
      </c>
      <c r="K393" t="s">
        <v>241</v>
      </c>
      <c r="L393" t="s">
        <v>222</v>
      </c>
      <c r="M393" t="s">
        <v>225</v>
      </c>
      <c r="N393" t="str">
        <f t="shared" si="6"/>
        <v>SSSS</v>
      </c>
    </row>
    <row r="394" spans="1:14" x14ac:dyDescent="0.25">
      <c r="A394" t="s">
        <v>182</v>
      </c>
      <c r="B394">
        <v>1.4286987883797113</v>
      </c>
      <c r="C394">
        <v>1.2518033832231581</v>
      </c>
      <c r="D394">
        <v>1.1113438256273058</v>
      </c>
      <c r="E394">
        <v>1.0402021263427597</v>
      </c>
      <c r="F394">
        <v>0.97945019738831374</v>
      </c>
      <c r="G394">
        <v>0.9893486213707704</v>
      </c>
      <c r="H394">
        <v>0.95484018352178968</v>
      </c>
      <c r="I394">
        <v>0.9761246308084317</v>
      </c>
      <c r="J394" t="s">
        <v>200</v>
      </c>
      <c r="K394" t="s">
        <v>206</v>
      </c>
      <c r="L394" t="s">
        <v>222</v>
      </c>
      <c r="M394" t="s">
        <v>225</v>
      </c>
      <c r="N394" t="str">
        <f t="shared" si="6"/>
        <v>BMS</v>
      </c>
    </row>
    <row r="395" spans="1:14" x14ac:dyDescent="0.25">
      <c r="A395" t="s">
        <v>183</v>
      </c>
      <c r="B395">
        <v>1.8238314007501804</v>
      </c>
      <c r="C395">
        <v>1.4416465086700612</v>
      </c>
      <c r="D395">
        <v>1.1928945046099972</v>
      </c>
      <c r="E395">
        <v>1.1087012300761958</v>
      </c>
      <c r="F395">
        <v>1.0067067457437398</v>
      </c>
      <c r="G395">
        <v>0.96540127457895408</v>
      </c>
      <c r="H395">
        <v>0.90974125371638848</v>
      </c>
      <c r="I395">
        <v>0.92951632958936437</v>
      </c>
      <c r="J395" t="s">
        <v>200</v>
      </c>
      <c r="K395" t="s">
        <v>207</v>
      </c>
      <c r="L395" t="s">
        <v>222</v>
      </c>
      <c r="M395" t="s">
        <v>225</v>
      </c>
      <c r="N395" t="str">
        <f t="shared" si="6"/>
        <v>CC</v>
      </c>
    </row>
    <row r="396" spans="1:14" x14ac:dyDescent="0.25">
      <c r="A396" t="s">
        <v>429</v>
      </c>
      <c r="B396">
        <v>0.98704062539502246</v>
      </c>
      <c r="C396">
        <v>0.97580802955948476</v>
      </c>
      <c r="D396">
        <v>0.95886688121517594</v>
      </c>
      <c r="E396">
        <v>0.95280402899251249</v>
      </c>
      <c r="F396">
        <v>0.94565213294661477</v>
      </c>
      <c r="G396">
        <v>0.96135396418601637</v>
      </c>
      <c r="H396">
        <v>0.95789739804855822</v>
      </c>
      <c r="I396">
        <v>0.99221203257124579</v>
      </c>
      <c r="J396" t="s">
        <v>200</v>
      </c>
      <c r="K396" t="s">
        <v>233</v>
      </c>
      <c r="L396" t="s">
        <v>222</v>
      </c>
      <c r="M396" t="s">
        <v>225</v>
      </c>
      <c r="N396" t="str">
        <f t="shared" si="6"/>
        <v>POOL</v>
      </c>
    </row>
    <row r="397" spans="1:14" x14ac:dyDescent="0.25">
      <c r="A397" t="s">
        <v>452</v>
      </c>
      <c r="B397">
        <v>0.96379221170886653</v>
      </c>
      <c r="C397">
        <v>0.81243792359260802</v>
      </c>
      <c r="D397">
        <v>0.80494488500250694</v>
      </c>
      <c r="E397">
        <v>0.76668717736046665</v>
      </c>
      <c r="F397">
        <v>0.75889294047063993</v>
      </c>
      <c r="G397">
        <v>0.73993453227775474</v>
      </c>
      <c r="H397">
        <v>0.75042233859888186</v>
      </c>
      <c r="I397">
        <v>0.76103898978086904</v>
      </c>
      <c r="J397" t="s">
        <v>200</v>
      </c>
      <c r="K397" t="s">
        <v>226</v>
      </c>
      <c r="L397" t="s">
        <v>222</v>
      </c>
      <c r="M397" t="s">
        <v>225</v>
      </c>
      <c r="N397" t="str">
        <f t="shared" si="6"/>
        <v>J</v>
      </c>
    </row>
    <row r="398" spans="1:14" x14ac:dyDescent="0.25">
      <c r="A398" t="s">
        <v>184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 t="s">
        <v>200</v>
      </c>
      <c r="K398" t="s">
        <v>202</v>
      </c>
      <c r="L398" t="s">
        <v>223</v>
      </c>
      <c r="M398" t="s">
        <v>225</v>
      </c>
      <c r="N398" t="str">
        <f t="shared" si="6"/>
        <v>ZS</v>
      </c>
    </row>
    <row r="399" spans="1:14" x14ac:dyDescent="0.25">
      <c r="A399" t="s">
        <v>185</v>
      </c>
      <c r="B399">
        <v>0.99751745492768751</v>
      </c>
      <c r="C399">
        <v>0.96475046521986574</v>
      </c>
      <c r="D399">
        <v>0.98855181739974762</v>
      </c>
      <c r="E399">
        <v>0.96319768016568441</v>
      </c>
      <c r="F399">
        <v>1.0244819932950699</v>
      </c>
      <c r="G399">
        <v>1.0251424532136377</v>
      </c>
      <c r="H399">
        <v>1.054119389727719</v>
      </c>
      <c r="I399">
        <v>1.0626439918193176</v>
      </c>
      <c r="J399" t="s">
        <v>200</v>
      </c>
      <c r="K399" t="s">
        <v>203</v>
      </c>
      <c r="L399" t="s">
        <v>223</v>
      </c>
      <c r="M399" t="s">
        <v>225</v>
      </c>
      <c r="N399" t="str">
        <f t="shared" si="6"/>
        <v>ZS\&amp;POOL</v>
      </c>
    </row>
    <row r="400" spans="1:14" x14ac:dyDescent="0.25">
      <c r="A400" t="s">
        <v>186</v>
      </c>
      <c r="B400">
        <v>1.1122081741467555</v>
      </c>
      <c r="C400">
        <v>1.0688747922963766</v>
      </c>
      <c r="D400">
        <v>1.1037020228707222</v>
      </c>
      <c r="E400">
        <v>1.083093736993928</v>
      </c>
      <c r="F400">
        <v>1.1038997105653505</v>
      </c>
      <c r="G400">
        <v>1.1085415381981747</v>
      </c>
      <c r="H400">
        <v>1.1223344651755121</v>
      </c>
      <c r="I400">
        <v>1.1188728918121282</v>
      </c>
      <c r="J400" t="s">
        <v>200</v>
      </c>
      <c r="K400" t="s">
        <v>204</v>
      </c>
      <c r="L400" t="s">
        <v>223</v>
      </c>
      <c r="M400" t="s">
        <v>225</v>
      </c>
      <c r="N400" t="str">
        <f t="shared" si="6"/>
        <v>ZSGL</v>
      </c>
    </row>
    <row r="401" spans="1:14" x14ac:dyDescent="0.25">
      <c r="A401" t="s">
        <v>430</v>
      </c>
      <c r="B401">
        <v>2.0135083467541439</v>
      </c>
      <c r="C401">
        <v>1.9772729827515345</v>
      </c>
      <c r="D401">
        <v>1.6722008456917994</v>
      </c>
      <c r="E401">
        <v>1.425558206801167</v>
      </c>
      <c r="F401">
        <v>1.3197205615883019</v>
      </c>
      <c r="G401">
        <v>1.207623036358165</v>
      </c>
      <c r="H401">
        <v>1.239375292786995</v>
      </c>
      <c r="I401">
        <v>1.1896625743232021</v>
      </c>
      <c r="J401" t="s">
        <v>200</v>
      </c>
      <c r="K401" t="s">
        <v>239</v>
      </c>
      <c r="L401" t="s">
        <v>223</v>
      </c>
      <c r="M401" t="s">
        <v>225</v>
      </c>
      <c r="N401" t="str">
        <f t="shared" si="6"/>
        <v>BFCS</v>
      </c>
    </row>
    <row r="402" spans="1:14" x14ac:dyDescent="0.25">
      <c r="A402" t="s">
        <v>431</v>
      </c>
      <c r="B402">
        <v>1.2723987673998636</v>
      </c>
      <c r="C402">
        <v>1.4281630760624129</v>
      </c>
      <c r="D402">
        <v>1.2233823490247058</v>
      </c>
      <c r="E402">
        <v>1.1081802931918159</v>
      </c>
      <c r="F402">
        <v>1.0632178646653585</v>
      </c>
      <c r="G402">
        <v>0.99518335577795503</v>
      </c>
      <c r="H402">
        <v>0.99385063480407621</v>
      </c>
      <c r="I402">
        <v>0.99927384183484091</v>
      </c>
      <c r="J402" t="s">
        <v>200</v>
      </c>
      <c r="K402" t="s">
        <v>241</v>
      </c>
      <c r="L402" t="s">
        <v>223</v>
      </c>
      <c r="M402" t="s">
        <v>225</v>
      </c>
      <c r="N402" t="str">
        <f t="shared" si="6"/>
        <v>SSSS</v>
      </c>
    </row>
    <row r="403" spans="1:14" x14ac:dyDescent="0.25">
      <c r="A403" t="s">
        <v>187</v>
      </c>
      <c r="B403">
        <v>2.0238182494888997</v>
      </c>
      <c r="C403">
        <v>1.8235418787531366</v>
      </c>
      <c r="D403">
        <v>1.542177781366735</v>
      </c>
      <c r="E403">
        <v>1.2979499361906102</v>
      </c>
      <c r="F403">
        <v>1.1539820001225018</v>
      </c>
      <c r="G403">
        <v>1.0838396418991798</v>
      </c>
      <c r="H403">
        <v>1.0529808600977082</v>
      </c>
      <c r="I403">
        <v>1.0190378885379621</v>
      </c>
      <c r="J403" t="s">
        <v>200</v>
      </c>
      <c r="K403" t="s">
        <v>206</v>
      </c>
      <c r="L403" t="s">
        <v>223</v>
      </c>
      <c r="M403" t="s">
        <v>225</v>
      </c>
      <c r="N403" t="str">
        <f t="shared" si="6"/>
        <v>BMS</v>
      </c>
    </row>
    <row r="404" spans="1:14" x14ac:dyDescent="0.25">
      <c r="A404" t="s">
        <v>188</v>
      </c>
      <c r="B404">
        <v>2.3577258949719222</v>
      </c>
      <c r="C404">
        <v>2.5815448609290836</v>
      </c>
      <c r="D404">
        <v>2.0712117571926378</v>
      </c>
      <c r="E404">
        <v>1.7087110939316774</v>
      </c>
      <c r="F404">
        <v>1.5392063157975242</v>
      </c>
      <c r="G404">
        <v>1.4203853315456314</v>
      </c>
      <c r="H404">
        <v>1.3875186216386268</v>
      </c>
      <c r="I404">
        <v>1.3027781515685748</v>
      </c>
      <c r="J404" t="s">
        <v>200</v>
      </c>
      <c r="K404" t="s">
        <v>207</v>
      </c>
      <c r="L404" t="s">
        <v>223</v>
      </c>
      <c r="M404" t="s">
        <v>225</v>
      </c>
      <c r="N404" t="str">
        <f t="shared" si="6"/>
        <v>CC</v>
      </c>
    </row>
    <row r="405" spans="1:14" x14ac:dyDescent="0.25">
      <c r="A405" t="s">
        <v>432</v>
      </c>
      <c r="B405">
        <v>1.0776085955326591</v>
      </c>
      <c r="C405">
        <v>1.0872195200707437</v>
      </c>
      <c r="D405">
        <v>1.1023435909930792</v>
      </c>
      <c r="E405">
        <v>1.0809718612412933</v>
      </c>
      <c r="F405">
        <v>1.1004229895998425</v>
      </c>
      <c r="G405">
        <v>1.1422394037599712</v>
      </c>
      <c r="H405">
        <v>1.1706940560034418</v>
      </c>
      <c r="I405">
        <v>1.1879426850655144</v>
      </c>
      <c r="J405" t="s">
        <v>200</v>
      </c>
      <c r="K405" t="s">
        <v>233</v>
      </c>
      <c r="L405" t="s">
        <v>223</v>
      </c>
      <c r="M405" t="s">
        <v>225</v>
      </c>
      <c r="N405" t="str">
        <f t="shared" si="6"/>
        <v>POOL</v>
      </c>
    </row>
    <row r="406" spans="1:14" x14ac:dyDescent="0.25">
      <c r="A406" t="s">
        <v>453</v>
      </c>
      <c r="B406">
        <v>0.96659370407751599</v>
      </c>
      <c r="C406">
        <v>0.97691701269662745</v>
      </c>
      <c r="D406">
        <v>0.99914171206299462</v>
      </c>
      <c r="E406">
        <v>0.9647388270189533</v>
      </c>
      <c r="F406">
        <v>0.97425243684796514</v>
      </c>
      <c r="G406">
        <v>0.97300954881802471</v>
      </c>
      <c r="H406">
        <v>0.98684562784984475</v>
      </c>
      <c r="I406">
        <v>0.97421517149173553</v>
      </c>
      <c r="J406" t="s">
        <v>200</v>
      </c>
      <c r="K406" t="s">
        <v>226</v>
      </c>
      <c r="L406" t="s">
        <v>223</v>
      </c>
      <c r="M406" t="s">
        <v>225</v>
      </c>
      <c r="N406" t="s">
        <v>454</v>
      </c>
    </row>
  </sheetData>
  <autoFilter ref="A1:M271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A906-47EB-4993-8EB1-3AA61FC69D7D}">
  <dimension ref="A1:BC35"/>
  <sheetViews>
    <sheetView zoomScale="85" zoomScaleNormal="85" workbookViewId="0">
      <selection activeCell="B20" sqref="B20"/>
    </sheetView>
  </sheetViews>
  <sheetFormatPr defaultRowHeight="15" x14ac:dyDescent="0.25"/>
  <cols>
    <col min="1" max="1" width="12.7109375" bestFit="1" customWidth="1"/>
    <col min="2" max="2" width="15.140625" bestFit="1" customWidth="1"/>
    <col min="3" max="16" width="4.7109375" bestFit="1" customWidth="1"/>
    <col min="17" max="17" width="6.28515625" bestFit="1" customWidth="1"/>
    <col min="18" max="18" width="9.5703125" bestFit="1" customWidth="1"/>
    <col min="19" max="19" width="13.85546875" bestFit="1" customWidth="1"/>
    <col min="20" max="20" width="16.28515625" bestFit="1" customWidth="1"/>
    <col min="21" max="21" width="3.28515625" bestFit="1" customWidth="1"/>
    <col min="22" max="22" width="3.7109375" bestFit="1" customWidth="1"/>
    <col min="23" max="23" width="3.5703125" bestFit="1" customWidth="1"/>
    <col min="24" max="24" width="3.42578125" bestFit="1" customWidth="1"/>
    <col min="25" max="27" width="3.5703125" bestFit="1" customWidth="1"/>
    <col min="28" max="28" width="3.28515625" bestFit="1" customWidth="1"/>
    <col min="29" max="29" width="3.7109375" bestFit="1" customWidth="1"/>
    <col min="30" max="30" width="3" bestFit="1" customWidth="1"/>
    <col min="31" max="31" width="2.7109375" bestFit="1" customWidth="1"/>
    <col min="32" max="32" width="2.85546875" bestFit="1" customWidth="1"/>
    <col min="33" max="33" width="4" bestFit="1" customWidth="1"/>
    <col min="34" max="34" width="3.5703125" bestFit="1" customWidth="1"/>
    <col min="35" max="35" width="11.28515625" bestFit="1" customWidth="1"/>
    <col min="36" max="37" width="4.42578125" bestFit="1" customWidth="1"/>
    <col min="38" max="38" width="5.140625" bestFit="1" customWidth="1"/>
    <col min="39" max="39" width="13.85546875" bestFit="1" customWidth="1"/>
    <col min="40" max="40" width="16.28515625" customWidth="1"/>
    <col min="41" max="41" width="3.28515625" bestFit="1" customWidth="1"/>
    <col min="42" max="42" width="3.7109375" bestFit="1" customWidth="1"/>
    <col min="43" max="43" width="3.5703125" bestFit="1" customWidth="1"/>
    <col min="44" max="44" width="3.42578125" bestFit="1" customWidth="1"/>
    <col min="45" max="47" width="3.5703125" bestFit="1" customWidth="1"/>
    <col min="48" max="48" width="3.28515625" bestFit="1" customWidth="1"/>
    <col min="49" max="49" width="3.7109375" bestFit="1" customWidth="1"/>
    <col min="50" max="50" width="3" bestFit="1" customWidth="1"/>
    <col min="51" max="51" width="2.7109375" bestFit="1" customWidth="1"/>
    <col min="52" max="52" width="2.85546875" bestFit="1" customWidth="1"/>
    <col min="53" max="53" width="4" bestFit="1" customWidth="1"/>
    <col min="54" max="54" width="3.5703125" bestFit="1" customWidth="1"/>
    <col min="55" max="55" width="11.28515625" bestFit="1" customWidth="1"/>
    <col min="56" max="56" width="5.140625" bestFit="1" customWidth="1"/>
    <col min="57" max="61" width="4.42578125" bestFit="1" customWidth="1"/>
    <col min="62" max="62" width="4.5703125" bestFit="1" customWidth="1"/>
    <col min="63" max="73" width="4.42578125" bestFit="1" customWidth="1"/>
    <col min="74" max="74" width="4.5703125" bestFit="1" customWidth="1"/>
    <col min="75" max="79" width="4.42578125" bestFit="1" customWidth="1"/>
    <col min="80" max="80" width="5.42578125" bestFit="1" customWidth="1"/>
    <col min="81" max="85" width="4.42578125" bestFit="1" customWidth="1"/>
    <col min="86" max="86" width="5" bestFit="1" customWidth="1"/>
    <col min="87" max="91" width="4.42578125" bestFit="1" customWidth="1"/>
  </cols>
  <sheetData>
    <row r="1" spans="1:55" x14ac:dyDescent="0.25">
      <c r="S1" s="10">
        <v>0.1</v>
      </c>
      <c r="AM1" s="10">
        <v>0.05</v>
      </c>
    </row>
    <row r="3" spans="1:55" x14ac:dyDescent="0.25">
      <c r="A3" s="2" t="s">
        <v>433</v>
      </c>
      <c r="B3" s="2" t="s">
        <v>228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S3" s="7" t="s">
        <v>433</v>
      </c>
      <c r="T3" s="7" t="s">
        <v>228</v>
      </c>
      <c r="AM3" s="7" t="s">
        <v>433</v>
      </c>
      <c r="AN3" s="7" t="s">
        <v>228</v>
      </c>
    </row>
    <row r="4" spans="1:55" x14ac:dyDescent="0.25">
      <c r="A4" s="2" t="s">
        <v>227</v>
      </c>
      <c r="B4" s="3" t="s">
        <v>215</v>
      </c>
      <c r="C4" s="3" t="s">
        <v>221</v>
      </c>
      <c r="D4" s="3" t="s">
        <v>220</v>
      </c>
      <c r="E4" s="3" t="s">
        <v>216</v>
      </c>
      <c r="F4" s="3" t="s">
        <v>214</v>
      </c>
      <c r="G4" s="3" t="s">
        <v>223</v>
      </c>
      <c r="H4" s="3" t="s">
        <v>218</v>
      </c>
      <c r="I4" s="3" t="s">
        <v>209</v>
      </c>
      <c r="J4" s="3" t="s">
        <v>210</v>
      </c>
      <c r="K4" s="3" t="s">
        <v>212</v>
      </c>
      <c r="L4" s="3" t="s">
        <v>222</v>
      </c>
      <c r="M4" s="3" t="s">
        <v>211</v>
      </c>
      <c r="N4" s="3" t="s">
        <v>219</v>
      </c>
      <c r="O4" s="3" t="s">
        <v>217</v>
      </c>
      <c r="P4" s="3" t="s">
        <v>213</v>
      </c>
      <c r="S4" s="7" t="s">
        <v>227</v>
      </c>
      <c r="T4" t="s">
        <v>215</v>
      </c>
      <c r="U4" t="s">
        <v>221</v>
      </c>
      <c r="V4" t="s">
        <v>220</v>
      </c>
      <c r="W4" t="s">
        <v>216</v>
      </c>
      <c r="X4" t="s">
        <v>214</v>
      </c>
      <c r="Y4" t="s">
        <v>223</v>
      </c>
      <c r="Z4" t="s">
        <v>218</v>
      </c>
      <c r="AA4" t="s">
        <v>209</v>
      </c>
      <c r="AB4" t="s">
        <v>210</v>
      </c>
      <c r="AC4" t="s">
        <v>212</v>
      </c>
      <c r="AD4" t="s">
        <v>222</v>
      </c>
      <c r="AE4" t="s">
        <v>211</v>
      </c>
      <c r="AF4" t="s">
        <v>219</v>
      </c>
      <c r="AG4" t="s">
        <v>217</v>
      </c>
      <c r="AH4" t="s">
        <v>213</v>
      </c>
      <c r="AI4" t="s">
        <v>434</v>
      </c>
      <c r="AM4" s="7" t="s">
        <v>227</v>
      </c>
      <c r="AN4" t="s">
        <v>215</v>
      </c>
      <c r="AO4" t="s">
        <v>221</v>
      </c>
      <c r="AP4" t="s">
        <v>220</v>
      </c>
      <c r="AQ4" t="s">
        <v>216</v>
      </c>
      <c r="AR4" t="s">
        <v>214</v>
      </c>
      <c r="AS4" t="s">
        <v>223</v>
      </c>
      <c r="AT4" t="s">
        <v>218</v>
      </c>
      <c r="AU4" t="s">
        <v>209</v>
      </c>
      <c r="AV4" t="s">
        <v>210</v>
      </c>
      <c r="AW4" t="s">
        <v>212</v>
      </c>
      <c r="AX4" t="s">
        <v>222</v>
      </c>
      <c r="AY4" t="s">
        <v>211</v>
      </c>
      <c r="AZ4" t="s">
        <v>219</v>
      </c>
      <c r="BA4" t="s">
        <v>217</v>
      </c>
      <c r="BB4" t="s">
        <v>213</v>
      </c>
      <c r="BC4" t="s">
        <v>434</v>
      </c>
    </row>
    <row r="5" spans="1:55" x14ac:dyDescent="0.25">
      <c r="A5" s="4" t="s">
        <v>198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S5" s="8" t="s">
        <v>198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3</v>
      </c>
      <c r="AB5">
        <v>0</v>
      </c>
      <c r="AC5">
        <v>0</v>
      </c>
      <c r="AD5">
        <v>0</v>
      </c>
      <c r="AE5">
        <v>2</v>
      </c>
      <c r="AF5">
        <v>3</v>
      </c>
      <c r="AG5">
        <v>0</v>
      </c>
      <c r="AH5">
        <v>1</v>
      </c>
      <c r="AI5">
        <v>12</v>
      </c>
      <c r="AM5" s="8" t="s">
        <v>198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2</v>
      </c>
      <c r="AZ5">
        <v>1</v>
      </c>
      <c r="BA5">
        <v>0</v>
      </c>
      <c r="BB5">
        <v>1</v>
      </c>
      <c r="BC5">
        <v>6</v>
      </c>
    </row>
    <row r="6" spans="1:55" x14ac:dyDescent="0.25">
      <c r="A6" s="6" t="s">
        <v>447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S6" s="9" t="s">
        <v>447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M6" s="9" t="s">
        <v>447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5">
      <c r="A7" s="6" t="s">
        <v>446</v>
      </c>
      <c r="B7" s="5">
        <v>0.98906183000609149</v>
      </c>
      <c r="C7" s="5">
        <v>0.97699227514162956</v>
      </c>
      <c r="D7" s="5">
        <v>0.96592351578166136</v>
      </c>
      <c r="E7" s="5">
        <v>0.99166505076652467</v>
      </c>
      <c r="F7" s="5">
        <v>0.97246306614511924</v>
      </c>
      <c r="G7" s="5">
        <v>1.0322443747120094</v>
      </c>
      <c r="H7" s="5">
        <v>1.0017492943187953</v>
      </c>
      <c r="I7" s="5">
        <v>0.96808741543948251</v>
      </c>
      <c r="J7" s="5">
        <v>1.0019519497524101</v>
      </c>
      <c r="K7" s="5">
        <v>0.98579759046668491</v>
      </c>
      <c r="L7" s="5">
        <v>0.97768331770071348</v>
      </c>
      <c r="M7" s="5">
        <v>0.98595421348839629</v>
      </c>
      <c r="N7" s="5">
        <v>0.96336126483406137</v>
      </c>
      <c r="O7" s="5">
        <v>0.9822666987097195</v>
      </c>
      <c r="P7" s="5">
        <v>0.98206474942417765</v>
      </c>
      <c r="S7" s="9" t="s">
        <v>446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5</v>
      </c>
      <c r="AM7" s="9" t="s">
        <v>446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1</v>
      </c>
      <c r="BC7">
        <v>3</v>
      </c>
    </row>
    <row r="8" spans="1:55" x14ac:dyDescent="0.25">
      <c r="A8" s="6" t="s">
        <v>438</v>
      </c>
      <c r="B8" s="5">
        <v>0.99159285460065083</v>
      </c>
      <c r="C8" s="5">
        <v>0.9896941760596395</v>
      </c>
      <c r="D8" s="5">
        <v>1.0046955764639387</v>
      </c>
      <c r="E8" s="5">
        <v>0.99446595726023079</v>
      </c>
      <c r="F8" s="5">
        <v>1.0602665830342806</v>
      </c>
      <c r="G8" s="5">
        <v>1.0157567165739065</v>
      </c>
      <c r="H8" s="5">
        <v>0.97944955843767101</v>
      </c>
      <c r="I8" s="5">
        <v>0.98280452506771032</v>
      </c>
      <c r="J8" s="5">
        <v>1.0257085015870091</v>
      </c>
      <c r="K8" s="5">
        <v>0.99041453055979967</v>
      </c>
      <c r="L8" s="5">
        <v>1.0389268556621636</v>
      </c>
      <c r="M8" s="5">
        <v>0.9633125911347421</v>
      </c>
      <c r="N8" s="5">
        <v>0.96348392161671825</v>
      </c>
      <c r="O8" s="5">
        <v>1.000222220960447</v>
      </c>
      <c r="P8" s="5">
        <v>1.000947309693156</v>
      </c>
      <c r="S8" s="9" t="s">
        <v>438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2</v>
      </c>
      <c r="AM8" s="9" t="s">
        <v>438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1</v>
      </c>
    </row>
    <row r="9" spans="1:55" x14ac:dyDescent="0.25">
      <c r="A9" s="6" t="s">
        <v>448</v>
      </c>
      <c r="B9" s="5">
        <v>1.003359599334855</v>
      </c>
      <c r="C9" s="5">
        <v>0.9778415110034846</v>
      </c>
      <c r="D9" s="5">
        <v>1.0041148331925811</v>
      </c>
      <c r="E9" s="5">
        <v>0.99753324044475766</v>
      </c>
      <c r="F9" s="5">
        <v>1.01768412197573</v>
      </c>
      <c r="G9" s="5">
        <v>1.0085670084104814</v>
      </c>
      <c r="H9" s="5">
        <v>0.98686579149445786</v>
      </c>
      <c r="I9" s="5">
        <v>0.98719820476159659</v>
      </c>
      <c r="J9" s="5">
        <v>1.0134780297967836</v>
      </c>
      <c r="K9" s="5">
        <v>1.0062203653641359</v>
      </c>
      <c r="L9" s="5">
        <v>0.98980181135734502</v>
      </c>
      <c r="M9" s="5">
        <v>1.0146340766000976</v>
      </c>
      <c r="N9" s="5">
        <v>0.99246480668043813</v>
      </c>
      <c r="O9" s="5">
        <v>1.0101005718781078</v>
      </c>
      <c r="P9" s="5">
        <v>1.0083415808558049</v>
      </c>
      <c r="S9" s="9" t="s">
        <v>448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M9" s="9" t="s">
        <v>448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s="6" t="s">
        <v>454</v>
      </c>
      <c r="B10" s="5">
        <v>0.98627065382013368</v>
      </c>
      <c r="C10" s="5">
        <v>0.96266625851766874</v>
      </c>
      <c r="D10" s="5">
        <v>0.96950245833072868</v>
      </c>
      <c r="E10" s="5">
        <v>1.0154965515835079</v>
      </c>
      <c r="F10" s="5">
        <v>0.99857615809774447</v>
      </c>
      <c r="G10" s="5">
        <v>1.0841565171325847</v>
      </c>
      <c r="H10" s="5">
        <v>1.0337619828236546</v>
      </c>
      <c r="I10" s="5">
        <v>0.94034668608178729</v>
      </c>
      <c r="J10" s="5">
        <v>1.0147694799450204</v>
      </c>
      <c r="K10" s="5">
        <v>0.97726112693575318</v>
      </c>
      <c r="L10" s="5">
        <v>1.031209869189309</v>
      </c>
      <c r="M10" s="5">
        <v>0.94859567721320626</v>
      </c>
      <c r="N10" s="5">
        <v>0.96733756543766891</v>
      </c>
      <c r="O10" s="5">
        <v>0.98148160430523845</v>
      </c>
      <c r="P10" s="5">
        <v>0.99746083240883809</v>
      </c>
      <c r="S10" s="9" t="s">
        <v>454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2</v>
      </c>
      <c r="AM10" s="9" t="s">
        <v>454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1</v>
      </c>
    </row>
    <row r="11" spans="1:55" x14ac:dyDescent="0.25">
      <c r="A11" s="6" t="s">
        <v>439</v>
      </c>
      <c r="B11" s="5">
        <v>1.1256729298767683</v>
      </c>
      <c r="C11" s="5">
        <v>0.94966489166784451</v>
      </c>
      <c r="D11" s="5">
        <v>0.97017013919140105</v>
      </c>
      <c r="E11" s="5">
        <v>1.0583183817481618</v>
      </c>
      <c r="F11" s="5">
        <v>1.0558248242249075</v>
      </c>
      <c r="G11" s="5">
        <v>1.0209020610945703</v>
      </c>
      <c r="H11" s="5">
        <v>1.0861227303933585</v>
      </c>
      <c r="I11" s="5">
        <v>0.95894220752181381</v>
      </c>
      <c r="J11" s="5">
        <v>1.0777371076197952</v>
      </c>
      <c r="K11" s="5">
        <v>1.0541973809339356</v>
      </c>
      <c r="L11" s="5">
        <v>0.96468704320712129</v>
      </c>
      <c r="M11" s="5">
        <v>1.0175975749730957</v>
      </c>
      <c r="N11" s="5">
        <v>0.95968781225695265</v>
      </c>
      <c r="O11" s="5">
        <v>1.0004288951721259</v>
      </c>
      <c r="P11" s="5">
        <v>1.1079435698232807</v>
      </c>
      <c r="S11" s="9" t="s">
        <v>439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M11" s="9" t="s">
        <v>439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25">
      <c r="A12" s="6" t="s">
        <v>440</v>
      </c>
      <c r="B12" s="5">
        <v>1.1840477586655789</v>
      </c>
      <c r="C12" s="5">
        <v>0.98170778831985817</v>
      </c>
      <c r="D12" s="5">
        <v>1.3886899018758267</v>
      </c>
      <c r="E12" s="5">
        <v>7.8809122927404278</v>
      </c>
      <c r="F12" s="5">
        <v>1.3203544403023333</v>
      </c>
      <c r="G12" s="5">
        <v>1.0702147551199694</v>
      </c>
      <c r="H12" s="5">
        <v>1.2502025825391332</v>
      </c>
      <c r="I12" s="5">
        <v>0.98328678099857447</v>
      </c>
      <c r="J12" s="5">
        <v>1.619074616867245</v>
      </c>
      <c r="K12" s="5">
        <v>1.2841811052443051</v>
      </c>
      <c r="L12" s="5">
        <v>1.1360496087718828</v>
      </c>
      <c r="M12" s="5">
        <v>1.5811515739646131</v>
      </c>
      <c r="N12" s="5">
        <v>0.99489862122139217</v>
      </c>
      <c r="O12" s="5">
        <v>2.4008004823427536</v>
      </c>
      <c r="P12" s="5">
        <v>1.2576171197822734</v>
      </c>
      <c r="S12" s="9" t="s">
        <v>440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M12" s="9" t="s">
        <v>440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s="6" t="s">
        <v>441</v>
      </c>
      <c r="B13" s="5">
        <v>1.1293640657486803</v>
      </c>
      <c r="C13" s="5">
        <v>0.96651499303488875</v>
      </c>
      <c r="D13" s="5">
        <v>1.2339340382684607</v>
      </c>
      <c r="E13" s="5">
        <v>1.4718089280031399</v>
      </c>
      <c r="F13" s="5">
        <v>0.99314109602899747</v>
      </c>
      <c r="G13" s="5">
        <v>1.1514250818259635</v>
      </c>
      <c r="H13" s="5">
        <v>1.0997746275296125</v>
      </c>
      <c r="I13" s="5">
        <v>0.92441024723655552</v>
      </c>
      <c r="J13" s="5">
        <v>1.0695816755913228</v>
      </c>
      <c r="K13" s="5">
        <v>1.0613019503574597</v>
      </c>
      <c r="L13" s="5">
        <v>1.0026721274311754</v>
      </c>
      <c r="M13" s="5">
        <v>1.0919533263151431</v>
      </c>
      <c r="N13" s="5">
        <v>1.0277552427151309</v>
      </c>
      <c r="O13" s="5">
        <v>0.94929524520830011</v>
      </c>
      <c r="P13" s="5">
        <v>1.2657966666514875</v>
      </c>
      <c r="S13" s="9" t="s">
        <v>441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M13" s="9" t="s">
        <v>441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</row>
    <row r="14" spans="1:55" x14ac:dyDescent="0.25">
      <c r="A14" s="6" t="s">
        <v>442</v>
      </c>
      <c r="B14" s="5">
        <v>1.3315832907124618</v>
      </c>
      <c r="C14" s="5">
        <v>0.99984755357192268</v>
      </c>
      <c r="D14" s="5">
        <v>1.4298071864854864</v>
      </c>
      <c r="E14" s="5">
        <v>2.9337657179953895</v>
      </c>
      <c r="F14" s="5">
        <v>0.99436648171444397</v>
      </c>
      <c r="G14" s="5">
        <v>1.1175425716180851</v>
      </c>
      <c r="H14" s="5">
        <v>1.0992701331370869</v>
      </c>
      <c r="I14" s="5">
        <v>0.97111271856327275</v>
      </c>
      <c r="J14" s="5">
        <v>1.2523473255965991</v>
      </c>
      <c r="K14" s="5">
        <v>1.163448901273928</v>
      </c>
      <c r="L14" s="5">
        <v>1.0500489838437563</v>
      </c>
      <c r="M14" s="5">
        <v>1.1281171034305473</v>
      </c>
      <c r="N14" s="5">
        <v>1.024471767010467</v>
      </c>
      <c r="O14" s="5">
        <v>1.3730019533743103</v>
      </c>
      <c r="P14" s="5">
        <v>1.287437902652574</v>
      </c>
      <c r="S14" s="9" t="s">
        <v>442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M14" s="9" t="s">
        <v>442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s="4" t="s">
        <v>199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S15" s="8" t="s">
        <v>199</v>
      </c>
      <c r="T15">
        <v>3</v>
      </c>
      <c r="U15">
        <v>1</v>
      </c>
      <c r="V15">
        <v>2</v>
      </c>
      <c r="W15">
        <v>3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2</v>
      </c>
      <c r="AE15">
        <v>1</v>
      </c>
      <c r="AF15">
        <v>0</v>
      </c>
      <c r="AG15">
        <v>4</v>
      </c>
      <c r="AH15">
        <v>0</v>
      </c>
      <c r="AI15">
        <v>18</v>
      </c>
      <c r="AM15" s="8" t="s">
        <v>199</v>
      </c>
      <c r="AN15">
        <v>2</v>
      </c>
      <c r="AO15">
        <v>1</v>
      </c>
      <c r="AP15">
        <v>1</v>
      </c>
      <c r="AQ15">
        <v>3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2</v>
      </c>
      <c r="AY15">
        <v>1</v>
      </c>
      <c r="AZ15">
        <v>0</v>
      </c>
      <c r="BA15">
        <v>4</v>
      </c>
      <c r="BB15">
        <v>0</v>
      </c>
      <c r="BC15">
        <v>15</v>
      </c>
    </row>
    <row r="16" spans="1:55" x14ac:dyDescent="0.25">
      <c r="A16" s="6" t="s">
        <v>447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S16" s="9" t="s">
        <v>447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M16" s="9" t="s">
        <v>447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s="6" t="s">
        <v>446</v>
      </c>
      <c r="B17" s="5">
        <v>0.83737299526392694</v>
      </c>
      <c r="C17" s="5">
        <v>0.98386148531441786</v>
      </c>
      <c r="D17" s="5">
        <v>1.0108824632467808</v>
      </c>
      <c r="E17" s="5">
        <v>0.9248066545519652</v>
      </c>
      <c r="F17" s="5">
        <v>0.99462519997851684</v>
      </c>
      <c r="G17" s="5">
        <v>0.99910887349057176</v>
      </c>
      <c r="H17" s="5">
        <v>0.9872823907851872</v>
      </c>
      <c r="I17" s="5">
        <v>1.0122139889051009</v>
      </c>
      <c r="J17" s="5">
        <v>0.96620632614531921</v>
      </c>
      <c r="K17" s="5">
        <v>1.0040174026499653</v>
      </c>
      <c r="L17" s="5">
        <v>0.93261870210873332</v>
      </c>
      <c r="M17" s="5">
        <v>0.91400343774093229</v>
      </c>
      <c r="N17" s="5">
        <v>1.0013096939253299</v>
      </c>
      <c r="O17" s="5">
        <v>0.94965064061205318</v>
      </c>
      <c r="P17" s="5">
        <v>0.9923909352704342</v>
      </c>
      <c r="S17" s="9" t="s">
        <v>446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7</v>
      </c>
      <c r="AM17" s="9" t="s">
        <v>446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5</v>
      </c>
    </row>
    <row r="18" spans="1:55" x14ac:dyDescent="0.25">
      <c r="A18" s="6" t="s">
        <v>438</v>
      </c>
      <c r="B18" s="5">
        <v>0.8831253265020238</v>
      </c>
      <c r="C18" s="5">
        <v>0.9812827813121181</v>
      </c>
      <c r="D18" s="5">
        <v>0.99389774116197283</v>
      </c>
      <c r="E18" s="5">
        <v>0.85264128097003111</v>
      </c>
      <c r="F18" s="5">
        <v>1.0057890483018195</v>
      </c>
      <c r="G18" s="5">
        <v>1.0189930526092175</v>
      </c>
      <c r="H18" s="5">
        <v>1.0278711828833391</v>
      </c>
      <c r="I18" s="5">
        <v>1.0163090064242617</v>
      </c>
      <c r="J18" s="5">
        <v>1.0063413312825942</v>
      </c>
      <c r="K18" s="5">
        <v>1.0025179473668877</v>
      </c>
      <c r="L18" s="5">
        <v>0.98292744649755748</v>
      </c>
      <c r="M18" s="5">
        <v>0.9827545395460503</v>
      </c>
      <c r="N18" s="5">
        <v>0.97542930099261704</v>
      </c>
      <c r="O18" s="5">
        <v>0.71307861978475506</v>
      </c>
      <c r="P18" s="5">
        <v>0.99998452249114556</v>
      </c>
      <c r="S18" s="9" t="s">
        <v>438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2</v>
      </c>
      <c r="AM18" s="9" t="s">
        <v>438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2</v>
      </c>
    </row>
    <row r="19" spans="1:55" x14ac:dyDescent="0.25">
      <c r="A19" s="6" t="s">
        <v>448</v>
      </c>
      <c r="B19" s="5">
        <v>0.86456609295968123</v>
      </c>
      <c r="C19" s="5">
        <v>1.0002011370194459</v>
      </c>
      <c r="D19" s="5">
        <v>0.98207424306854241</v>
      </c>
      <c r="E19" s="5">
        <v>0.9824997406346232</v>
      </c>
      <c r="F19" s="5">
        <v>1.0023733584437466</v>
      </c>
      <c r="G19" s="5">
        <v>1.005906017240864</v>
      </c>
      <c r="H19" s="5">
        <v>1.0212852773264991</v>
      </c>
      <c r="I19" s="5">
        <v>1.0204361730334885</v>
      </c>
      <c r="J19" s="5">
        <v>1.0177540407572288</v>
      </c>
      <c r="K19" s="5">
        <v>0.98974856311219461</v>
      </c>
      <c r="L19" s="5">
        <v>1.0323658724063884</v>
      </c>
      <c r="M19" s="5">
        <v>1.0237121255046424</v>
      </c>
      <c r="N19" s="5">
        <v>0.98338203175307048</v>
      </c>
      <c r="O19" s="5">
        <v>0.7398957839119904</v>
      </c>
      <c r="P19" s="5">
        <v>0.99619081901020634</v>
      </c>
      <c r="S19" s="9" t="s">
        <v>448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3</v>
      </c>
      <c r="AM19" s="9" t="s">
        <v>448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2</v>
      </c>
    </row>
    <row r="20" spans="1:55" x14ac:dyDescent="0.25">
      <c r="A20" s="6" t="s">
        <v>454</v>
      </c>
      <c r="B20" s="5">
        <v>0.78453630379761996</v>
      </c>
      <c r="C20" s="5">
        <v>1.1289722590974429</v>
      </c>
      <c r="D20" s="5">
        <v>1.040268921403684</v>
      </c>
      <c r="E20" s="5">
        <v>0.45268636409823776</v>
      </c>
      <c r="F20" s="5">
        <v>1.0491842102246125</v>
      </c>
      <c r="G20" s="5">
        <v>0.95185496808020087</v>
      </c>
      <c r="H20" s="5">
        <v>1.0223443473385432</v>
      </c>
      <c r="I20" s="5">
        <v>1.1198447326569536</v>
      </c>
      <c r="J20" s="5">
        <v>1.0730609924980434</v>
      </c>
      <c r="K20" s="5">
        <v>1.0879171216743673</v>
      </c>
      <c r="L20" s="5">
        <v>0.88997786865825923</v>
      </c>
      <c r="M20" s="5">
        <v>0.97197355188951351</v>
      </c>
      <c r="N20" s="5">
        <v>1.0735342302252702</v>
      </c>
      <c r="O20" s="5">
        <v>0.82533329510296372</v>
      </c>
      <c r="P20" s="5">
        <v>1.050171591671051</v>
      </c>
      <c r="S20" s="9" t="s">
        <v>454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4</v>
      </c>
      <c r="AM20" s="9" t="s">
        <v>454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1</v>
      </c>
      <c r="BB20">
        <v>0</v>
      </c>
      <c r="BC20">
        <v>4</v>
      </c>
    </row>
    <row r="21" spans="1:55" x14ac:dyDescent="0.25">
      <c r="A21" s="6" t="s">
        <v>439</v>
      </c>
      <c r="B21" s="5">
        <v>3.8508057402992026</v>
      </c>
      <c r="C21" s="5">
        <v>1.208140651866253</v>
      </c>
      <c r="D21" s="5">
        <v>1.2066970410564857</v>
      </c>
      <c r="E21" s="5">
        <v>7.7790285268226746</v>
      </c>
      <c r="F21" s="5">
        <v>1.2184218889281708</v>
      </c>
      <c r="G21" s="5">
        <v>1.6694101773842038</v>
      </c>
      <c r="H21" s="5">
        <v>1.5168986672676867</v>
      </c>
      <c r="I21" s="5">
        <v>1.2148153455384136</v>
      </c>
      <c r="J21" s="5">
        <v>1.7501219248354305</v>
      </c>
      <c r="K21" s="5">
        <v>2.1995598196488131</v>
      </c>
      <c r="L21" s="5">
        <v>1.0619849407658084</v>
      </c>
      <c r="M21" s="5">
        <v>2.8626208612286912</v>
      </c>
      <c r="N21" s="5">
        <v>1.131690284366472</v>
      </c>
      <c r="O21" s="5">
        <v>6.5436336704347831</v>
      </c>
      <c r="P21" s="5">
        <v>1.2218966338022184</v>
      </c>
      <c r="S21" s="9" t="s">
        <v>439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M21" s="9" t="s">
        <v>439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s="6" t="s">
        <v>440</v>
      </c>
      <c r="B22" s="5">
        <v>2.117833593569221</v>
      </c>
      <c r="C22" s="5">
        <v>1.3315087161238974</v>
      </c>
      <c r="D22" s="5">
        <v>0.8957880961404725</v>
      </c>
      <c r="E22" s="5">
        <v>3.3130996498227505</v>
      </c>
      <c r="F22" s="5">
        <v>0.97950679495315385</v>
      </c>
      <c r="G22" s="5">
        <v>0.99811461410729285</v>
      </c>
      <c r="H22" s="5">
        <v>1.1210708563042202</v>
      </c>
      <c r="I22" s="5">
        <v>1.1491992435921468</v>
      </c>
      <c r="J22" s="5">
        <v>1.0540686620499271</v>
      </c>
      <c r="K22" s="5">
        <v>1.3379860057167807</v>
      </c>
      <c r="L22" s="5">
        <v>1.0221666690996616</v>
      </c>
      <c r="M22" s="5">
        <v>1.3269600380594897</v>
      </c>
      <c r="N22" s="5">
        <v>1.0192569866314385</v>
      </c>
      <c r="O22" s="5">
        <v>2.7815215696573325</v>
      </c>
      <c r="P22" s="5">
        <v>0.99194038085568736</v>
      </c>
      <c r="S22" s="9" t="s">
        <v>440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M22" s="9" t="s">
        <v>440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</row>
    <row r="23" spans="1:55" x14ac:dyDescent="0.25">
      <c r="A23" s="6" t="s">
        <v>441</v>
      </c>
      <c r="B23" s="5">
        <v>2.0945427706763606</v>
      </c>
      <c r="C23" s="5">
        <v>1.0519691837904763</v>
      </c>
      <c r="D23" s="5">
        <v>0.94949534466392516</v>
      </c>
      <c r="E23" s="5">
        <v>4.9174474374473096</v>
      </c>
      <c r="F23" s="5">
        <v>1.0006595158568659</v>
      </c>
      <c r="G23" s="5">
        <v>1.1776220451604666</v>
      </c>
      <c r="H23" s="5">
        <v>1.4165100862541422</v>
      </c>
      <c r="I23" s="5">
        <v>0.94067067133108229</v>
      </c>
      <c r="J23" s="5">
        <v>1.0559615957925954</v>
      </c>
      <c r="K23" s="5">
        <v>1.4192374862584116</v>
      </c>
      <c r="L23" s="5">
        <v>0.92518253150715135</v>
      </c>
      <c r="M23" s="5">
        <v>1.312376663373507</v>
      </c>
      <c r="N23" s="5">
        <v>1.0099218959188048</v>
      </c>
      <c r="O23" s="5">
        <v>2.5527161029563108</v>
      </c>
      <c r="P23" s="5">
        <v>1.0981952137610955</v>
      </c>
      <c r="S23" s="9" t="s">
        <v>441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M23" s="9" t="s">
        <v>441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</row>
    <row r="24" spans="1:55" x14ac:dyDescent="0.25">
      <c r="A24" s="6" t="s">
        <v>442</v>
      </c>
      <c r="B24" s="5">
        <v>3.5487105295845325</v>
      </c>
      <c r="C24" s="5">
        <v>1.1064807876636114</v>
      </c>
      <c r="D24" s="5">
        <v>0.96233387573941198</v>
      </c>
      <c r="E24" s="5">
        <v>7.5878015808624442</v>
      </c>
      <c r="F24" s="5">
        <v>0.99179046237458357</v>
      </c>
      <c r="G24" s="5">
        <v>1.4241665916084161</v>
      </c>
      <c r="H24" s="5">
        <v>1.3821561119871997</v>
      </c>
      <c r="I24" s="5">
        <v>1.1973232888592809</v>
      </c>
      <c r="J24" s="5">
        <v>1.1337010930459532</v>
      </c>
      <c r="K24" s="5">
        <v>1.3742211600398964</v>
      </c>
      <c r="L24" s="5">
        <v>1.0612179006440141</v>
      </c>
      <c r="M24" s="5">
        <v>1.3001140565932108</v>
      </c>
      <c r="N24" s="5">
        <v>1.3093426517585998</v>
      </c>
      <c r="O24" s="5">
        <v>4.6306340301834421</v>
      </c>
      <c r="P24" s="5">
        <v>0.96316075360314313</v>
      </c>
      <c r="S24" s="9" t="s">
        <v>442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M24" s="9" t="s">
        <v>442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5">
      <c r="A25" s="4" t="s">
        <v>200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S25" s="8" t="s">
        <v>200</v>
      </c>
      <c r="T25">
        <v>4</v>
      </c>
      <c r="U25">
        <v>3</v>
      </c>
      <c r="V25">
        <v>0</v>
      </c>
      <c r="W25">
        <v>4</v>
      </c>
      <c r="X25">
        <v>2</v>
      </c>
      <c r="Y25">
        <v>1</v>
      </c>
      <c r="Z25">
        <v>2</v>
      </c>
      <c r="AA25">
        <v>1</v>
      </c>
      <c r="AB25">
        <v>0</v>
      </c>
      <c r="AC25">
        <v>3</v>
      </c>
      <c r="AD25">
        <v>2</v>
      </c>
      <c r="AE25">
        <v>0</v>
      </c>
      <c r="AF25">
        <v>1</v>
      </c>
      <c r="AG25">
        <v>4</v>
      </c>
      <c r="AH25">
        <v>3</v>
      </c>
      <c r="AI25">
        <v>30</v>
      </c>
      <c r="AM25" s="8" t="s">
        <v>200</v>
      </c>
      <c r="AN25">
        <v>3</v>
      </c>
      <c r="AO25">
        <v>3</v>
      </c>
      <c r="AP25">
        <v>0</v>
      </c>
      <c r="AQ25">
        <v>3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3</v>
      </c>
      <c r="AX25">
        <v>2</v>
      </c>
      <c r="AY25">
        <v>0</v>
      </c>
      <c r="AZ25">
        <v>1</v>
      </c>
      <c r="BA25">
        <v>4</v>
      </c>
      <c r="BB25">
        <v>3</v>
      </c>
      <c r="BC25">
        <v>26</v>
      </c>
    </row>
    <row r="26" spans="1:55" x14ac:dyDescent="0.25">
      <c r="A26" s="6" t="s">
        <v>447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S26" s="9" t="s">
        <v>447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M26" s="9" t="s">
        <v>447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s="6" t="s">
        <v>446</v>
      </c>
      <c r="B27" s="5">
        <v>0.74409766797466936</v>
      </c>
      <c r="C27" s="5">
        <v>1.0269022528163581</v>
      </c>
      <c r="D27" s="5">
        <v>0.96069195142662578</v>
      </c>
      <c r="E27" s="5">
        <v>0.89179243128919494</v>
      </c>
      <c r="F27" s="5">
        <v>0.92112627650598233</v>
      </c>
      <c r="G27" s="5">
        <v>0.96020163607193276</v>
      </c>
      <c r="H27" s="5">
        <v>0.9394013219640398</v>
      </c>
      <c r="I27" s="5">
        <v>1.0545602401520462</v>
      </c>
      <c r="J27" s="5">
        <v>1.0253010796966238</v>
      </c>
      <c r="K27" s="5">
        <v>0.91918354206411146</v>
      </c>
      <c r="L27" s="5">
        <v>0.97592434258649541</v>
      </c>
      <c r="M27" s="5">
        <v>0.95654270544654474</v>
      </c>
      <c r="N27" s="5">
        <v>1.2068250711393993</v>
      </c>
      <c r="O27" s="5">
        <v>0.85145030570323244</v>
      </c>
      <c r="P27" s="5">
        <v>0.93238272812302092</v>
      </c>
      <c r="S27" s="9" t="s">
        <v>446</v>
      </c>
      <c r="T27">
        <v>1</v>
      </c>
      <c r="U27">
        <v>0</v>
      </c>
      <c r="V27">
        <v>0</v>
      </c>
      <c r="W27">
        <v>1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8</v>
      </c>
      <c r="AM27" s="9" t="s">
        <v>446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1</v>
      </c>
      <c r="BB27">
        <v>1</v>
      </c>
      <c r="BC27">
        <v>7</v>
      </c>
    </row>
    <row r="28" spans="1:55" x14ac:dyDescent="0.25">
      <c r="A28" s="6" t="s">
        <v>438</v>
      </c>
      <c r="B28" s="5">
        <v>0.61160014346699698</v>
      </c>
      <c r="C28" s="5">
        <v>0.93087654290375521</v>
      </c>
      <c r="D28" s="5">
        <v>0.97551276015156441</v>
      </c>
      <c r="E28" s="5">
        <v>0.78498145956951804</v>
      </c>
      <c r="F28" s="5">
        <v>0.96783506317718815</v>
      </c>
      <c r="G28" s="5">
        <v>0.99687397904252895</v>
      </c>
      <c r="H28" s="5">
        <v>0.99644466390911768</v>
      </c>
      <c r="I28" s="5">
        <v>0.9996136602327097</v>
      </c>
      <c r="J28" s="5">
        <v>0.97606708099519413</v>
      </c>
      <c r="K28" s="5">
        <v>0.85577555576536113</v>
      </c>
      <c r="L28" s="5">
        <v>1.0009544526952381</v>
      </c>
      <c r="M28" s="5">
        <v>1.0127247093094143</v>
      </c>
      <c r="N28" s="5">
        <v>1.1466806960330269</v>
      </c>
      <c r="O28" s="5">
        <v>0.58506175355573209</v>
      </c>
      <c r="P28" s="5">
        <v>0.93786326230092221</v>
      </c>
      <c r="S28" s="9" t="s">
        <v>438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6</v>
      </c>
      <c r="AM28" s="9" t="s">
        <v>438</v>
      </c>
      <c r="AN28">
        <v>1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6</v>
      </c>
    </row>
    <row r="29" spans="1:55" x14ac:dyDescent="0.25">
      <c r="A29" s="6" t="s">
        <v>448</v>
      </c>
      <c r="B29" s="5">
        <v>0.77578200416395859</v>
      </c>
      <c r="C29" s="5">
        <v>0.9687671840312555</v>
      </c>
      <c r="D29" s="5">
        <v>1.0211557967930791</v>
      </c>
      <c r="E29" s="5">
        <v>0.95373234701956666</v>
      </c>
      <c r="F29" s="5">
        <v>0.93562796999307329</v>
      </c>
      <c r="G29" s="5">
        <v>0.98401973939383314</v>
      </c>
      <c r="H29" s="5">
        <v>0.98992678585726157</v>
      </c>
      <c r="I29" s="5">
        <v>0.93323541509588626</v>
      </c>
      <c r="J29" s="5">
        <v>1.0335082605833732</v>
      </c>
      <c r="K29" s="5">
        <v>0.998956074876307</v>
      </c>
      <c r="L29" s="5">
        <v>0.98785124191718354</v>
      </c>
      <c r="M29" s="5">
        <v>1.0039361537945553</v>
      </c>
      <c r="N29" s="5">
        <v>0.90361880800426231</v>
      </c>
      <c r="O29" s="5">
        <v>0.81267769019798941</v>
      </c>
      <c r="P29" s="5">
        <v>1.0210570684460865</v>
      </c>
      <c r="S29" s="9" t="s">
        <v>448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9</v>
      </c>
      <c r="AM29" s="9" t="s">
        <v>448</v>
      </c>
      <c r="AN29">
        <v>1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1</v>
      </c>
      <c r="BB29">
        <v>0</v>
      </c>
      <c r="BC29">
        <v>7</v>
      </c>
    </row>
    <row r="30" spans="1:55" x14ac:dyDescent="0.25">
      <c r="A30" s="6" t="s">
        <v>454</v>
      </c>
      <c r="B30" s="5">
        <v>0.35073195040395827</v>
      </c>
      <c r="C30" s="5">
        <v>0.88639114351192838</v>
      </c>
      <c r="D30" s="5">
        <v>0.94486427639863046</v>
      </c>
      <c r="E30" s="5">
        <v>0.19772092725138052</v>
      </c>
      <c r="F30" s="5">
        <v>0.83440251329553594</v>
      </c>
      <c r="G30" s="5">
        <v>0.97976231931164992</v>
      </c>
      <c r="H30" s="5">
        <v>1.0614569079692049</v>
      </c>
      <c r="I30" s="5">
        <v>0.96774790023426427</v>
      </c>
      <c r="J30" s="5">
        <v>1.0212376087770074</v>
      </c>
      <c r="K30" s="5">
        <v>0.75985555111607883</v>
      </c>
      <c r="L30" s="5">
        <v>0.98665246999163037</v>
      </c>
      <c r="M30" s="5">
        <v>0.97601640639043119</v>
      </c>
      <c r="N30" s="5">
        <v>0.97343564104549507</v>
      </c>
      <c r="O30" s="5">
        <v>0.39075030477260575</v>
      </c>
      <c r="P30" s="5">
        <v>0.80889028704040622</v>
      </c>
      <c r="S30" s="9" t="s">
        <v>454</v>
      </c>
      <c r="T30">
        <v>1</v>
      </c>
      <c r="U30">
        <v>1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7</v>
      </c>
      <c r="AM30" s="9" t="s">
        <v>454</v>
      </c>
      <c r="AN30">
        <v>1</v>
      </c>
      <c r="AO30">
        <v>1</v>
      </c>
      <c r="AP30">
        <v>0</v>
      </c>
      <c r="AQ30">
        <v>1</v>
      </c>
      <c r="AR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6</v>
      </c>
    </row>
    <row r="31" spans="1:55" x14ac:dyDescent="0.25">
      <c r="A31" s="6" t="s">
        <v>439</v>
      </c>
      <c r="B31" s="5">
        <v>2.5298930083925462</v>
      </c>
      <c r="C31" s="5">
        <v>6.0631333950439803</v>
      </c>
      <c r="D31" s="5">
        <v>3.89103809831852</v>
      </c>
      <c r="E31" s="5">
        <v>5.9666496308026131</v>
      </c>
      <c r="F31" s="5">
        <v>8.2143947956167622</v>
      </c>
      <c r="G31" s="5">
        <v>5.420243464974881</v>
      </c>
      <c r="H31" s="5">
        <v>8.2803611231390413</v>
      </c>
      <c r="I31" s="5">
        <v>5.2949444940047883</v>
      </c>
      <c r="J31" s="5">
        <v>9.5354482643240637</v>
      </c>
      <c r="K31" s="5">
        <v>8.9150243642771709</v>
      </c>
      <c r="L31" s="5">
        <v>1.8967556371743439</v>
      </c>
      <c r="M31" s="5">
        <v>4.8437516438821477</v>
      </c>
      <c r="N31" s="5">
        <v>3.4530722776907208</v>
      </c>
      <c r="O31" s="5">
        <v>8.270417464468542</v>
      </c>
      <c r="P31" s="5">
        <v>5.8990833738834931</v>
      </c>
      <c r="S31" s="9" t="s">
        <v>439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M31" s="9" t="s">
        <v>439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25">
      <c r="A32" s="6" t="s">
        <v>440</v>
      </c>
      <c r="B32" s="5">
        <v>1.9115017702869617</v>
      </c>
      <c r="C32" s="5">
        <v>1.9473489741762768</v>
      </c>
      <c r="D32" s="5">
        <v>2.0458415650996389</v>
      </c>
      <c r="E32" s="5">
        <v>2.2912537908860924</v>
      </c>
      <c r="F32" s="5">
        <v>2.0445680270566777</v>
      </c>
      <c r="G32" s="5">
        <v>1.1270877544512412</v>
      </c>
      <c r="H32" s="5">
        <v>1.9808072808100397</v>
      </c>
      <c r="I32" s="5">
        <v>1.9656181653548481</v>
      </c>
      <c r="J32" s="5">
        <v>2.3523062647630182</v>
      </c>
      <c r="K32" s="5">
        <v>1.8449145967296192</v>
      </c>
      <c r="L32" s="5">
        <v>0.9981324464106559</v>
      </c>
      <c r="M32" s="5">
        <v>1.809943349422553</v>
      </c>
      <c r="N32" s="5">
        <v>2.4435262243336564</v>
      </c>
      <c r="O32" s="5">
        <v>1.9117812212399345</v>
      </c>
      <c r="P32" s="5">
        <v>1.7766688109834472</v>
      </c>
      <c r="S32" s="9" t="s">
        <v>440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M32" s="9" t="s">
        <v>440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25">
      <c r="A33" s="6" t="s">
        <v>441</v>
      </c>
      <c r="B33" s="5">
        <v>1.2871682997427885</v>
      </c>
      <c r="C33" s="5">
        <v>3.7947724661742073</v>
      </c>
      <c r="D33" s="5">
        <v>2.717630053759974</v>
      </c>
      <c r="E33" s="5">
        <v>4.97564266470786</v>
      </c>
      <c r="F33" s="5">
        <v>3.6174379984845353</v>
      </c>
      <c r="G33" s="5">
        <v>2.264984137926088</v>
      </c>
      <c r="H33" s="5">
        <v>3.8518543973973793</v>
      </c>
      <c r="I33" s="5">
        <v>3.4809743501073633</v>
      </c>
      <c r="J33" s="5">
        <v>4.6835017027216628</v>
      </c>
      <c r="K33" s="5">
        <v>3.9345268159291389</v>
      </c>
      <c r="L33" s="5">
        <v>1.5208947912421245</v>
      </c>
      <c r="M33" s="5">
        <v>2.7856863924477397</v>
      </c>
      <c r="N33" s="5">
        <v>3.8770339034247741</v>
      </c>
      <c r="O33" s="5">
        <v>3.0299689439832114</v>
      </c>
      <c r="P33" s="5">
        <v>3.0685941570230861</v>
      </c>
      <c r="S33" s="9" t="s">
        <v>441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M33" s="9" t="s">
        <v>441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25">
      <c r="A34" s="6" t="s">
        <v>442</v>
      </c>
      <c r="B34" s="5">
        <v>2.2195226574628717</v>
      </c>
      <c r="C34" s="5">
        <v>5.3504470945183691</v>
      </c>
      <c r="D34" s="5">
        <v>3.6028883175362614</v>
      </c>
      <c r="E34" s="5">
        <v>5.0770315845870808</v>
      </c>
      <c r="F34" s="5">
        <v>5.4065889298741086</v>
      </c>
      <c r="G34" s="5">
        <v>2.1768079037357215</v>
      </c>
      <c r="H34" s="5">
        <v>5.7240925598400008</v>
      </c>
      <c r="I34" s="5">
        <v>5.0256096259558758</v>
      </c>
      <c r="J34" s="5">
        <v>7.7864167631578889</v>
      </c>
      <c r="K34" s="5">
        <v>5.4951116348507467</v>
      </c>
      <c r="L34" s="5">
        <v>1.8644737919944518</v>
      </c>
      <c r="M34" s="5">
        <v>3.7359174036339784</v>
      </c>
      <c r="N34" s="5">
        <v>9.1709138699012573</v>
      </c>
      <c r="O34" s="5">
        <v>5.4760169611292255</v>
      </c>
      <c r="P34" s="5">
        <v>3.8178104206252295</v>
      </c>
      <c r="S34" s="9" t="s">
        <v>442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M34" s="9" t="s">
        <v>442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25">
      <c r="S35" s="8" t="s">
        <v>434</v>
      </c>
      <c r="T35">
        <v>7</v>
      </c>
      <c r="U35">
        <v>5</v>
      </c>
      <c r="V35">
        <v>3</v>
      </c>
      <c r="W35">
        <v>7</v>
      </c>
      <c r="X35">
        <v>3</v>
      </c>
      <c r="Y35">
        <v>1</v>
      </c>
      <c r="Z35">
        <v>2</v>
      </c>
      <c r="AA35">
        <v>5</v>
      </c>
      <c r="AB35">
        <v>1</v>
      </c>
      <c r="AC35">
        <v>3</v>
      </c>
      <c r="AD35">
        <v>4</v>
      </c>
      <c r="AE35">
        <v>3</v>
      </c>
      <c r="AF35">
        <v>4</v>
      </c>
      <c r="AG35">
        <v>8</v>
      </c>
      <c r="AH35">
        <v>4</v>
      </c>
      <c r="AI35">
        <v>60</v>
      </c>
      <c r="AM35" s="8" t="s">
        <v>434</v>
      </c>
      <c r="AN35">
        <v>5</v>
      </c>
      <c r="AO35">
        <v>4</v>
      </c>
      <c r="AP35">
        <v>2</v>
      </c>
      <c r="AQ35">
        <v>6</v>
      </c>
      <c r="AR35">
        <v>1</v>
      </c>
      <c r="AS35">
        <v>1</v>
      </c>
      <c r="AT35">
        <v>1</v>
      </c>
      <c r="AU35">
        <v>3</v>
      </c>
      <c r="AV35">
        <v>0</v>
      </c>
      <c r="AW35">
        <v>3</v>
      </c>
      <c r="AX35">
        <v>4</v>
      </c>
      <c r="AY35">
        <v>3</v>
      </c>
      <c r="AZ35">
        <v>2</v>
      </c>
      <c r="BA35">
        <v>8</v>
      </c>
      <c r="BB35">
        <v>4</v>
      </c>
      <c r="BC35">
        <v>47</v>
      </c>
    </row>
  </sheetData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16B5-D12B-49A7-9ED8-2DBE78EB1F1C}">
  <dimension ref="A1:BC35"/>
  <sheetViews>
    <sheetView topLeftCell="G1" zoomScale="85" zoomScaleNormal="85" workbookViewId="0">
      <selection activeCell="AE20" sqref="AE20"/>
    </sheetView>
  </sheetViews>
  <sheetFormatPr defaultRowHeight="15" x14ac:dyDescent="0.25"/>
  <cols>
    <col min="1" max="1" width="12.7109375" bestFit="1" customWidth="1"/>
    <col min="2" max="2" width="15.140625" bestFit="1" customWidth="1"/>
    <col min="3" max="16" width="4.7109375" bestFit="1" customWidth="1"/>
    <col min="17" max="17" width="6.28515625" bestFit="1" customWidth="1"/>
    <col min="18" max="18" width="9.5703125" bestFit="1" customWidth="1"/>
    <col min="19" max="19" width="13.85546875" bestFit="1" customWidth="1"/>
    <col min="20" max="20" width="16.28515625" bestFit="1" customWidth="1"/>
    <col min="21" max="21" width="3.28515625" bestFit="1" customWidth="1"/>
    <col min="22" max="22" width="3.7109375" bestFit="1" customWidth="1"/>
    <col min="23" max="23" width="3.5703125" bestFit="1" customWidth="1"/>
    <col min="24" max="24" width="3.42578125" bestFit="1" customWidth="1"/>
    <col min="25" max="27" width="3.5703125" bestFit="1" customWidth="1"/>
    <col min="28" max="28" width="3.28515625" bestFit="1" customWidth="1"/>
    <col min="29" max="29" width="3.7109375" bestFit="1" customWidth="1"/>
    <col min="30" max="30" width="3" bestFit="1" customWidth="1"/>
    <col min="31" max="31" width="2.7109375" bestFit="1" customWidth="1"/>
    <col min="32" max="32" width="2.85546875" bestFit="1" customWidth="1"/>
    <col min="33" max="33" width="4" bestFit="1" customWidth="1"/>
    <col min="34" max="34" width="3.5703125" bestFit="1" customWidth="1"/>
    <col min="35" max="35" width="11.28515625" bestFit="1" customWidth="1"/>
    <col min="36" max="37" width="4.42578125" bestFit="1" customWidth="1"/>
    <col min="38" max="38" width="5.140625" bestFit="1" customWidth="1"/>
    <col min="39" max="39" width="13.85546875" bestFit="1" customWidth="1"/>
    <col min="40" max="40" width="16.28515625" bestFit="1" customWidth="1"/>
    <col min="41" max="41" width="3.28515625" bestFit="1" customWidth="1"/>
    <col min="42" max="42" width="3.7109375" bestFit="1" customWidth="1"/>
    <col min="43" max="43" width="3.5703125" bestFit="1" customWidth="1"/>
    <col min="44" max="44" width="3.42578125" bestFit="1" customWidth="1"/>
    <col min="45" max="47" width="3.5703125" bestFit="1" customWidth="1"/>
    <col min="48" max="48" width="3.28515625" bestFit="1" customWidth="1"/>
    <col min="49" max="49" width="3.7109375" bestFit="1" customWidth="1"/>
    <col min="50" max="50" width="3" bestFit="1" customWidth="1"/>
    <col min="51" max="51" width="2.7109375" bestFit="1" customWidth="1"/>
    <col min="52" max="52" width="2.85546875" bestFit="1" customWidth="1"/>
    <col min="53" max="53" width="4" bestFit="1" customWidth="1"/>
    <col min="54" max="54" width="3.5703125" bestFit="1" customWidth="1"/>
    <col min="55" max="55" width="11.28515625" bestFit="1" customWidth="1"/>
    <col min="56" max="56" width="5.140625" bestFit="1" customWidth="1"/>
    <col min="57" max="61" width="4.42578125" bestFit="1" customWidth="1"/>
    <col min="62" max="62" width="4.5703125" bestFit="1" customWidth="1"/>
    <col min="63" max="73" width="4.42578125" bestFit="1" customWidth="1"/>
    <col min="74" max="74" width="4.5703125" bestFit="1" customWidth="1"/>
    <col min="75" max="79" width="4.42578125" bestFit="1" customWidth="1"/>
    <col min="80" max="80" width="5.42578125" bestFit="1" customWidth="1"/>
    <col min="81" max="85" width="4.42578125" bestFit="1" customWidth="1"/>
    <col min="86" max="86" width="5" bestFit="1" customWidth="1"/>
    <col min="87" max="91" width="4.42578125" bestFit="1" customWidth="1"/>
  </cols>
  <sheetData>
    <row r="1" spans="1:55" x14ac:dyDescent="0.25">
      <c r="S1" s="10">
        <v>0.1</v>
      </c>
      <c r="AM1" s="10">
        <v>0.05</v>
      </c>
    </row>
    <row r="3" spans="1:55" x14ac:dyDescent="0.25">
      <c r="A3" s="2" t="s">
        <v>437</v>
      </c>
      <c r="B3" s="2" t="s">
        <v>228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S3" s="7" t="s">
        <v>437</v>
      </c>
      <c r="T3" s="7" t="s">
        <v>228</v>
      </c>
      <c r="AM3" s="7" t="s">
        <v>437</v>
      </c>
      <c r="AN3" s="7" t="s">
        <v>228</v>
      </c>
    </row>
    <row r="4" spans="1:55" x14ac:dyDescent="0.25">
      <c r="A4" s="2" t="s">
        <v>227</v>
      </c>
      <c r="B4" s="3" t="s">
        <v>215</v>
      </c>
      <c r="C4" s="3" t="s">
        <v>221</v>
      </c>
      <c r="D4" s="3" t="s">
        <v>220</v>
      </c>
      <c r="E4" s="3" t="s">
        <v>216</v>
      </c>
      <c r="F4" s="3" t="s">
        <v>214</v>
      </c>
      <c r="G4" s="3" t="s">
        <v>223</v>
      </c>
      <c r="H4" s="3" t="s">
        <v>218</v>
      </c>
      <c r="I4" s="3" t="s">
        <v>209</v>
      </c>
      <c r="J4" s="3" t="s">
        <v>210</v>
      </c>
      <c r="K4" s="3" t="s">
        <v>212</v>
      </c>
      <c r="L4" s="3" t="s">
        <v>222</v>
      </c>
      <c r="M4" s="3" t="s">
        <v>211</v>
      </c>
      <c r="N4" s="3" t="s">
        <v>219</v>
      </c>
      <c r="O4" s="3" t="s">
        <v>217</v>
      </c>
      <c r="P4" s="3" t="s">
        <v>213</v>
      </c>
      <c r="S4" s="7" t="s">
        <v>227</v>
      </c>
      <c r="T4" t="s">
        <v>215</v>
      </c>
      <c r="U4" t="s">
        <v>221</v>
      </c>
      <c r="V4" t="s">
        <v>220</v>
      </c>
      <c r="W4" t="s">
        <v>216</v>
      </c>
      <c r="X4" t="s">
        <v>214</v>
      </c>
      <c r="Y4" t="s">
        <v>223</v>
      </c>
      <c r="Z4" t="s">
        <v>218</v>
      </c>
      <c r="AA4" t="s">
        <v>209</v>
      </c>
      <c r="AB4" t="s">
        <v>210</v>
      </c>
      <c r="AC4" t="s">
        <v>212</v>
      </c>
      <c r="AD4" t="s">
        <v>222</v>
      </c>
      <c r="AE4" t="s">
        <v>211</v>
      </c>
      <c r="AF4" t="s">
        <v>219</v>
      </c>
      <c r="AG4" t="s">
        <v>217</v>
      </c>
      <c r="AH4" t="s">
        <v>213</v>
      </c>
      <c r="AI4" t="s">
        <v>434</v>
      </c>
      <c r="AM4" s="7" t="s">
        <v>227</v>
      </c>
      <c r="AN4" t="s">
        <v>215</v>
      </c>
      <c r="AO4" t="s">
        <v>221</v>
      </c>
      <c r="AP4" t="s">
        <v>220</v>
      </c>
      <c r="AQ4" t="s">
        <v>216</v>
      </c>
      <c r="AR4" t="s">
        <v>214</v>
      </c>
      <c r="AS4" t="s">
        <v>223</v>
      </c>
      <c r="AT4" t="s">
        <v>218</v>
      </c>
      <c r="AU4" t="s">
        <v>209</v>
      </c>
      <c r="AV4" t="s">
        <v>210</v>
      </c>
      <c r="AW4" t="s">
        <v>212</v>
      </c>
      <c r="AX4" t="s">
        <v>222</v>
      </c>
      <c r="AY4" t="s">
        <v>211</v>
      </c>
      <c r="AZ4" t="s">
        <v>219</v>
      </c>
      <c r="BA4" t="s">
        <v>217</v>
      </c>
      <c r="BB4" t="s">
        <v>213</v>
      </c>
      <c r="BC4" t="s">
        <v>434</v>
      </c>
    </row>
    <row r="5" spans="1:55" x14ac:dyDescent="0.25">
      <c r="A5" s="4" t="s">
        <v>198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S5" s="8" t="s">
        <v>198</v>
      </c>
      <c r="T5">
        <v>2</v>
      </c>
      <c r="U5">
        <v>0</v>
      </c>
      <c r="V5">
        <v>3</v>
      </c>
      <c r="W5">
        <v>1</v>
      </c>
      <c r="X5">
        <v>3</v>
      </c>
      <c r="Y5">
        <v>0</v>
      </c>
      <c r="Z5">
        <v>0</v>
      </c>
      <c r="AA5">
        <v>4</v>
      </c>
      <c r="AB5">
        <v>1</v>
      </c>
      <c r="AC5">
        <v>0</v>
      </c>
      <c r="AD5">
        <v>0</v>
      </c>
      <c r="AE5">
        <v>3</v>
      </c>
      <c r="AF5">
        <v>2</v>
      </c>
      <c r="AG5">
        <v>0</v>
      </c>
      <c r="AH5">
        <v>1</v>
      </c>
      <c r="AI5">
        <v>20</v>
      </c>
      <c r="AM5" s="8" t="s">
        <v>198</v>
      </c>
      <c r="AN5">
        <v>2</v>
      </c>
      <c r="AO5">
        <v>0</v>
      </c>
      <c r="AP5">
        <v>2</v>
      </c>
      <c r="AQ5">
        <v>1</v>
      </c>
      <c r="AR5">
        <v>3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2</v>
      </c>
      <c r="AZ5">
        <v>1</v>
      </c>
      <c r="BA5">
        <v>0</v>
      </c>
      <c r="BB5">
        <v>1</v>
      </c>
      <c r="BC5">
        <v>13</v>
      </c>
    </row>
    <row r="6" spans="1:55" x14ac:dyDescent="0.25">
      <c r="A6" s="6" t="s">
        <v>447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S6" s="9" t="s">
        <v>447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M6" s="9" t="s">
        <v>447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5">
      <c r="A7" s="6" t="s">
        <v>446</v>
      </c>
      <c r="B7" s="5">
        <v>0.9858595264672052</v>
      </c>
      <c r="C7" s="5">
        <v>0.99511009530161398</v>
      </c>
      <c r="D7" s="5">
        <v>0.95753789891760099</v>
      </c>
      <c r="E7" s="5">
        <v>0.98320739221459297</v>
      </c>
      <c r="F7" s="5">
        <v>0.94322065882616923</v>
      </c>
      <c r="G7" s="5">
        <v>1.0043897848452163</v>
      </c>
      <c r="H7" s="5">
        <v>1.0272144452062695</v>
      </c>
      <c r="I7" s="5">
        <v>0.97031982676536765</v>
      </c>
      <c r="J7" s="5">
        <v>0.99955167690828017</v>
      </c>
      <c r="K7" s="5">
        <v>0.98715162335370032</v>
      </c>
      <c r="L7" s="5">
        <v>0.99509101926541876</v>
      </c>
      <c r="M7" s="5">
        <v>1.003507829464757</v>
      </c>
      <c r="N7" s="5">
        <v>0.98493233478822417</v>
      </c>
      <c r="O7" s="5">
        <v>1.0032397358511642</v>
      </c>
      <c r="P7" s="5">
        <v>0.99671765926228018</v>
      </c>
      <c r="S7" s="9" t="s">
        <v>446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M7" s="9" t="s">
        <v>446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</v>
      </c>
    </row>
    <row r="8" spans="1:55" x14ac:dyDescent="0.25">
      <c r="A8" s="6" t="s">
        <v>438</v>
      </c>
      <c r="B8" s="5">
        <v>0.99252785287675749</v>
      </c>
      <c r="C8" s="5">
        <v>1.0046351838122745</v>
      </c>
      <c r="D8" s="5">
        <v>1.0310991177655824</v>
      </c>
      <c r="E8" s="5">
        <v>0.99092230224540978</v>
      </c>
      <c r="F8" s="5">
        <v>1.0089332924334289</v>
      </c>
      <c r="G8" s="5">
        <v>1.0233881695018523</v>
      </c>
      <c r="H8" s="5">
        <v>1.0096658296796432</v>
      </c>
      <c r="I8" s="5">
        <v>0.98620952525770567</v>
      </c>
      <c r="J8" s="5">
        <v>1.0379374027750601</v>
      </c>
      <c r="K8" s="5">
        <v>0.99368871598921316</v>
      </c>
      <c r="L8" s="5">
        <v>0.98621417589504401</v>
      </c>
      <c r="M8" s="5">
        <v>0.96811556699525503</v>
      </c>
      <c r="N8" s="5">
        <v>0.94462564843463959</v>
      </c>
      <c r="O8" s="5">
        <v>0.99784813690343754</v>
      </c>
      <c r="P8" s="5">
        <v>1.0007679295740137</v>
      </c>
      <c r="S8" s="9" t="s">
        <v>438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4</v>
      </c>
      <c r="AM8" s="9" t="s">
        <v>438</v>
      </c>
      <c r="AN8">
        <v>1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</row>
    <row r="9" spans="1:55" x14ac:dyDescent="0.25">
      <c r="A9" s="6" t="s">
        <v>448</v>
      </c>
      <c r="B9" s="5">
        <v>0.99456347733429984</v>
      </c>
      <c r="C9" s="5">
        <v>0.99708307882054326</v>
      </c>
      <c r="D9" s="5">
        <v>1.0099429512079365</v>
      </c>
      <c r="E9" s="5">
        <v>0.9975370983804499</v>
      </c>
      <c r="F9" s="5">
        <v>1.02658934157254</v>
      </c>
      <c r="G9" s="5">
        <v>1.0044035264597413</v>
      </c>
      <c r="H9" s="5">
        <v>0.99963400582415474</v>
      </c>
      <c r="I9" s="5">
        <v>0.98245248773788252</v>
      </c>
      <c r="J9" s="5">
        <v>1.0083154436658424</v>
      </c>
      <c r="K9" s="5">
        <v>0.99697394758492341</v>
      </c>
      <c r="L9" s="5">
        <v>1.0029848586037977</v>
      </c>
      <c r="M9" s="5">
        <v>0.99710680759773329</v>
      </c>
      <c r="N9" s="5">
        <v>0.97212871180201577</v>
      </c>
      <c r="O9" s="5">
        <v>1.0035386486695619</v>
      </c>
      <c r="P9" s="5">
        <v>0.99526650767951386</v>
      </c>
      <c r="S9" s="9" t="s">
        <v>448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2</v>
      </c>
      <c r="AM9" s="9" t="s">
        <v>448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1</v>
      </c>
      <c r="BC9">
        <v>2</v>
      </c>
    </row>
    <row r="10" spans="1:55" x14ac:dyDescent="0.25">
      <c r="A10" s="6" t="s">
        <v>454</v>
      </c>
      <c r="B10" s="5">
        <v>0.97357571316839064</v>
      </c>
      <c r="C10" s="5">
        <v>0.98559246530036038</v>
      </c>
      <c r="D10" s="5">
        <v>0.92566441186162307</v>
      </c>
      <c r="E10" s="5">
        <v>1.0178117108702631</v>
      </c>
      <c r="F10" s="5">
        <v>0.92148723017904477</v>
      </c>
      <c r="G10" s="5">
        <v>0.99850203546481286</v>
      </c>
      <c r="H10" s="5">
        <v>1.1287106519181322</v>
      </c>
      <c r="I10" s="5">
        <v>0.96812799459393672</v>
      </c>
      <c r="J10" s="5">
        <v>0.99461420692750968</v>
      </c>
      <c r="K10" s="5">
        <v>0.9907249287248997</v>
      </c>
      <c r="L10" s="5">
        <v>1.0355261500669553</v>
      </c>
      <c r="M10" s="5">
        <v>0.97685567292965403</v>
      </c>
      <c r="N10" s="5">
        <v>0.97226645215861396</v>
      </c>
      <c r="O10" s="5">
        <v>0.98703891783323672</v>
      </c>
      <c r="P10" s="5">
        <v>0.9975988470853332</v>
      </c>
      <c r="S10" s="9" t="s">
        <v>454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4</v>
      </c>
      <c r="AM10" s="9" t="s">
        <v>454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3</v>
      </c>
    </row>
    <row r="11" spans="1:55" x14ac:dyDescent="0.25">
      <c r="A11" s="6" t="s">
        <v>439</v>
      </c>
      <c r="B11" s="5">
        <v>0.99300179601145866</v>
      </c>
      <c r="C11" s="5">
        <v>0.99126232025293626</v>
      </c>
      <c r="D11" s="5">
        <v>0.94156075450713894</v>
      </c>
      <c r="E11" s="5">
        <v>0.9833608214914763</v>
      </c>
      <c r="F11" s="5">
        <v>0.88311517003964113</v>
      </c>
      <c r="G11" s="5">
        <v>1.0207527728613131</v>
      </c>
      <c r="H11" s="5">
        <v>1.0861518622307804</v>
      </c>
      <c r="I11" s="5">
        <v>0.96166641390594298</v>
      </c>
      <c r="J11" s="5">
        <v>0.97441348092826485</v>
      </c>
      <c r="K11" s="5">
        <v>0.98683146975848401</v>
      </c>
      <c r="L11" s="5">
        <v>1.0299281224105159</v>
      </c>
      <c r="M11" s="5">
        <v>0.96764544439274114</v>
      </c>
      <c r="N11" s="5">
        <v>0.99042250631417394</v>
      </c>
      <c r="O11" s="5">
        <v>1.0372872881690034</v>
      </c>
      <c r="P11" s="5">
        <v>0.98174106114439363</v>
      </c>
      <c r="S11" s="9" t="s">
        <v>439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5</v>
      </c>
      <c r="AM11" s="9" t="s">
        <v>439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3</v>
      </c>
    </row>
    <row r="12" spans="1:55" x14ac:dyDescent="0.25">
      <c r="A12" s="6" t="s">
        <v>440</v>
      </c>
      <c r="B12" s="5">
        <v>1.1473636012633794</v>
      </c>
      <c r="C12" s="5">
        <v>1.0534924416144213</v>
      </c>
      <c r="D12" s="5">
        <v>1.172030307748362</v>
      </c>
      <c r="E12" s="5">
        <v>8.3450528144810985</v>
      </c>
      <c r="F12" s="5">
        <v>1.0839762372266653</v>
      </c>
      <c r="G12" s="5">
        <v>1.0263316485667791</v>
      </c>
      <c r="H12" s="5">
        <v>1.2047918922951706</v>
      </c>
      <c r="I12" s="5">
        <v>0.96145516626366856</v>
      </c>
      <c r="J12" s="5">
        <v>1.1858915876827245</v>
      </c>
      <c r="K12" s="5">
        <v>1.1218393907866355</v>
      </c>
      <c r="L12" s="5">
        <v>1.1223523178541277</v>
      </c>
      <c r="M12" s="5">
        <v>1.3716257988804441</v>
      </c>
      <c r="N12" s="5">
        <v>0.97397444342353712</v>
      </c>
      <c r="O12" s="5">
        <v>2.1359214388109566</v>
      </c>
      <c r="P12" s="5">
        <v>1.0266942996340327</v>
      </c>
      <c r="S12" s="9" t="s">
        <v>440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M12" s="9" t="s">
        <v>440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s="6" t="s">
        <v>441</v>
      </c>
      <c r="B13" s="5">
        <v>1.0907112150475815</v>
      </c>
      <c r="C13" s="5">
        <v>0.9687893278481392</v>
      </c>
      <c r="D13" s="5">
        <v>1.2351876999664879</v>
      </c>
      <c r="E13" s="5">
        <v>1.1260712516163751</v>
      </c>
      <c r="F13" s="5">
        <v>1.0515592017992994</v>
      </c>
      <c r="G13" s="5">
        <v>1.0766762092922304</v>
      </c>
      <c r="H13" s="5">
        <v>1.129816293478163</v>
      </c>
      <c r="I13" s="5">
        <v>0.96671863249808654</v>
      </c>
      <c r="J13" s="5">
        <v>1.0474823160338786</v>
      </c>
      <c r="K13" s="5">
        <v>1.0251929638166632</v>
      </c>
      <c r="L13" s="5">
        <v>1.0128892315212228</v>
      </c>
      <c r="M13" s="5">
        <v>0.99859953965615955</v>
      </c>
      <c r="N13" s="5">
        <v>0.96296960409778554</v>
      </c>
      <c r="O13" s="5">
        <v>1.0204384200398455</v>
      </c>
      <c r="P13" s="5">
        <v>1.0544629536944883</v>
      </c>
      <c r="S13" s="9" t="s">
        <v>441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M13" s="9" t="s">
        <v>441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s="6" t="s">
        <v>442</v>
      </c>
      <c r="B14" s="5">
        <v>1.4539449338367056</v>
      </c>
      <c r="C14" s="5">
        <v>1.6668855706845085</v>
      </c>
      <c r="D14" s="5">
        <v>2.9383349823648728</v>
      </c>
      <c r="E14" s="5">
        <v>2.1132652619640604</v>
      </c>
      <c r="F14" s="5">
        <v>2.6729157978826006</v>
      </c>
      <c r="G14" s="5">
        <v>1.9170074518618123</v>
      </c>
      <c r="H14" s="5">
        <v>1.8233118977337706</v>
      </c>
      <c r="I14" s="5">
        <v>2.006210024132439</v>
      </c>
      <c r="J14" s="5">
        <v>2.9044759507064284</v>
      </c>
      <c r="K14" s="5">
        <v>2.2206550305628578</v>
      </c>
      <c r="L14" s="5">
        <v>1.5272562947615735</v>
      </c>
      <c r="M14" s="5">
        <v>2.6464486771672289</v>
      </c>
      <c r="N14" s="5">
        <v>2.1310225970315191</v>
      </c>
      <c r="O14" s="5">
        <v>2.1826572706629364</v>
      </c>
      <c r="P14" s="5">
        <v>2.6855486298109112</v>
      </c>
      <c r="S14" s="9" t="s">
        <v>442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M14" s="9" t="s">
        <v>442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s="4" t="s">
        <v>199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S15" s="8" t="s">
        <v>199</v>
      </c>
      <c r="T15">
        <v>3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3</v>
      </c>
      <c r="AE15">
        <v>1</v>
      </c>
      <c r="AF15">
        <v>0</v>
      </c>
      <c r="AG15">
        <v>4</v>
      </c>
      <c r="AH15">
        <v>0</v>
      </c>
      <c r="AI15">
        <v>15</v>
      </c>
      <c r="AM15" s="8" t="s">
        <v>199</v>
      </c>
      <c r="AN15">
        <v>1</v>
      </c>
      <c r="AO15">
        <v>0</v>
      </c>
      <c r="AP15">
        <v>0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2</v>
      </c>
      <c r="AY15">
        <v>1</v>
      </c>
      <c r="AZ15">
        <v>0</v>
      </c>
      <c r="BA15">
        <v>4</v>
      </c>
      <c r="BB15">
        <v>0</v>
      </c>
      <c r="BC15">
        <v>12</v>
      </c>
    </row>
    <row r="16" spans="1:55" x14ac:dyDescent="0.25">
      <c r="A16" s="6" t="s">
        <v>447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S16" s="9" t="s">
        <v>447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M16" s="9" t="s">
        <v>447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s="6" t="s">
        <v>446</v>
      </c>
      <c r="B17" s="5">
        <v>1.0315954259356039</v>
      </c>
      <c r="C17" s="5">
        <v>0.99374953247290165</v>
      </c>
      <c r="D17" s="5">
        <v>1.0449213330395302</v>
      </c>
      <c r="E17" s="5">
        <v>1.0089320597603459</v>
      </c>
      <c r="F17" s="5">
        <v>0.98787214231344533</v>
      </c>
      <c r="G17" s="5">
        <v>1.0107715997160382</v>
      </c>
      <c r="H17" s="5">
        <v>0.97269388210423979</v>
      </c>
      <c r="I17" s="5">
        <v>1.0001174494023071</v>
      </c>
      <c r="J17" s="5">
        <v>0.95083296739547218</v>
      </c>
      <c r="K17" s="5">
        <v>0.97717784359864612</v>
      </c>
      <c r="L17" s="5">
        <v>0.92681421358914551</v>
      </c>
      <c r="M17" s="5">
        <v>0.92415836199727586</v>
      </c>
      <c r="N17" s="5">
        <v>0.99940267866232269</v>
      </c>
      <c r="O17" s="5">
        <v>0.94453477400988339</v>
      </c>
      <c r="P17" s="5">
        <v>1.0043742831696951</v>
      </c>
      <c r="S17" s="9" t="s">
        <v>446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5</v>
      </c>
      <c r="AM17" s="9" t="s">
        <v>446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5</v>
      </c>
    </row>
    <row r="18" spans="1:55" x14ac:dyDescent="0.25">
      <c r="A18" s="6" t="s">
        <v>438</v>
      </c>
      <c r="B18" s="5">
        <v>0.78304949921415201</v>
      </c>
      <c r="C18" s="5">
        <v>1.0211689442559599</v>
      </c>
      <c r="D18" s="5">
        <v>1.054431015084986</v>
      </c>
      <c r="E18" s="5">
        <v>0.90066546505129408</v>
      </c>
      <c r="F18" s="5">
        <v>1.047829926666338</v>
      </c>
      <c r="G18" s="5">
        <v>1.0357344662359755</v>
      </c>
      <c r="H18" s="5">
        <v>1.0466833539825389</v>
      </c>
      <c r="I18" s="5">
        <v>1.0464436912135933</v>
      </c>
      <c r="J18" s="5">
        <v>1.0420107259148927</v>
      </c>
      <c r="K18" s="5">
        <v>1.0117503167102833</v>
      </c>
      <c r="L18" s="5">
        <v>1.0428231845140465</v>
      </c>
      <c r="M18" s="5">
        <v>1.0312422493462849</v>
      </c>
      <c r="N18" s="5">
        <v>0.98113100310133927</v>
      </c>
      <c r="O18" s="5">
        <v>0.64740687131975516</v>
      </c>
      <c r="P18" s="5">
        <v>1.0118163174447594</v>
      </c>
      <c r="S18" s="9" t="s">
        <v>438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3</v>
      </c>
      <c r="AM18" s="9" t="s">
        <v>438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2</v>
      </c>
    </row>
    <row r="19" spans="1:55" x14ac:dyDescent="0.25">
      <c r="A19" s="6" t="s">
        <v>448</v>
      </c>
      <c r="B19" s="5">
        <v>0.9211712072227789</v>
      </c>
      <c r="C19" s="5">
        <v>0.9797219720055429</v>
      </c>
      <c r="D19" s="5">
        <v>0.97633800713358665</v>
      </c>
      <c r="E19" s="5">
        <v>1.0569517314385246</v>
      </c>
      <c r="F19" s="5">
        <v>1.0020847923681071</v>
      </c>
      <c r="G19" s="5">
        <v>1.0002935911888966</v>
      </c>
      <c r="H19" s="5">
        <v>1.0082306865264186</v>
      </c>
      <c r="I19" s="5">
        <v>1.0241855938191566</v>
      </c>
      <c r="J19" s="5">
        <v>1.0057153586556518</v>
      </c>
      <c r="K19" s="5">
        <v>0.99142467668893519</v>
      </c>
      <c r="L19" s="5">
        <v>1.0176705161006272</v>
      </c>
      <c r="M19" s="5">
        <v>1.0133762009154206</v>
      </c>
      <c r="N19" s="5">
        <v>0.97055887430727317</v>
      </c>
      <c r="O19" s="5">
        <v>0.72090695992286991</v>
      </c>
      <c r="P19" s="5">
        <v>0.99742991127273195</v>
      </c>
      <c r="S19" s="9" t="s">
        <v>448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2</v>
      </c>
      <c r="AM19" s="9" t="s">
        <v>448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</row>
    <row r="20" spans="1:55" x14ac:dyDescent="0.25">
      <c r="A20" s="6" t="s">
        <v>454</v>
      </c>
      <c r="B20" s="5">
        <v>0.55852686899141302</v>
      </c>
      <c r="C20" s="5">
        <v>1.3620584253736021</v>
      </c>
      <c r="D20" s="5">
        <v>1.0499178440891543</v>
      </c>
      <c r="E20" s="5">
        <v>0.27169925262933381</v>
      </c>
      <c r="F20" s="5">
        <v>1.1474542567584189</v>
      </c>
      <c r="G20" s="5">
        <v>1.0646595070900751</v>
      </c>
      <c r="H20" s="5">
        <v>1.024680339818868</v>
      </c>
      <c r="I20" s="5">
        <v>1.3044094029902469</v>
      </c>
      <c r="J20" s="5">
        <v>1.1607018815093506</v>
      </c>
      <c r="K20" s="5">
        <v>1.1091568947142778</v>
      </c>
      <c r="L20" s="5">
        <v>0.8539131940216772</v>
      </c>
      <c r="M20" s="5">
        <v>0.99341684526305474</v>
      </c>
      <c r="N20" s="5">
        <v>1.1628056975998713</v>
      </c>
      <c r="O20" s="5">
        <v>0.64482429933396046</v>
      </c>
      <c r="P20" s="5">
        <v>1.1080463432537508</v>
      </c>
      <c r="S20" s="9" t="s">
        <v>454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4</v>
      </c>
      <c r="AM20" s="9" t="s">
        <v>454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3</v>
      </c>
    </row>
    <row r="21" spans="1:55" x14ac:dyDescent="0.25">
      <c r="A21" s="6" t="s">
        <v>439</v>
      </c>
      <c r="B21" s="5">
        <v>1.96403671286035</v>
      </c>
      <c r="C21" s="5">
        <v>1.0867681782093233</v>
      </c>
      <c r="D21" s="5">
        <v>1.4182256905834976</v>
      </c>
      <c r="E21" s="5">
        <v>2.4576640994421215</v>
      </c>
      <c r="F21" s="5">
        <v>1.220739108930766</v>
      </c>
      <c r="G21" s="5">
        <v>1.331520759742443</v>
      </c>
      <c r="H21" s="5">
        <v>1.1467721103299422</v>
      </c>
      <c r="I21" s="5">
        <v>1.1049489760714419</v>
      </c>
      <c r="J21" s="5">
        <v>1.5650378115578321</v>
      </c>
      <c r="K21" s="5">
        <v>1.5437484909477375</v>
      </c>
      <c r="L21" s="5">
        <v>0.94557979566898254</v>
      </c>
      <c r="M21" s="5">
        <v>2.2552742914748309</v>
      </c>
      <c r="N21" s="5">
        <v>1.0530826274199294</v>
      </c>
      <c r="O21" s="5">
        <v>2.7513029614826334</v>
      </c>
      <c r="P21" s="5">
        <v>1.1230616251365759</v>
      </c>
      <c r="S21" s="9" t="s">
        <v>439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M21" s="9" t="s">
        <v>439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</row>
    <row r="22" spans="1:55" x14ac:dyDescent="0.25">
      <c r="A22" s="6" t="s">
        <v>440</v>
      </c>
      <c r="B22" s="5">
        <v>1.9671896818805117</v>
      </c>
      <c r="C22" s="5">
        <v>1.1574747204288725</v>
      </c>
      <c r="D22" s="5">
        <v>1.0755556626707516</v>
      </c>
      <c r="E22" s="5">
        <v>1.0457632380796646</v>
      </c>
      <c r="F22" s="5">
        <v>1.0092081793345657</v>
      </c>
      <c r="G22" s="5">
        <v>0.96115439496145283</v>
      </c>
      <c r="H22" s="5">
        <v>0.98775132853783931</v>
      </c>
      <c r="I22" s="5">
        <v>1.1946985374861703</v>
      </c>
      <c r="J22" s="5">
        <v>1.2138803459865133</v>
      </c>
      <c r="K22" s="5">
        <v>1.1710577320862401</v>
      </c>
      <c r="L22" s="5">
        <v>0.95358940579883644</v>
      </c>
      <c r="M22" s="5">
        <v>1.3664004708167699</v>
      </c>
      <c r="N22" s="5">
        <v>0.98045828991279849</v>
      </c>
      <c r="O22" s="5">
        <v>1.6647869372033408</v>
      </c>
      <c r="P22" s="5">
        <v>1.0016060921061374</v>
      </c>
      <c r="S22" s="9" t="s">
        <v>440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M22" s="9" t="s">
        <v>440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5">
      <c r="A23" s="6" t="s">
        <v>441</v>
      </c>
      <c r="B23" s="5">
        <v>1.3993365816894012</v>
      </c>
      <c r="C23" s="5">
        <v>0.93729505334187035</v>
      </c>
      <c r="D23" s="5">
        <v>1.152198877085076</v>
      </c>
      <c r="E23" s="5">
        <v>1.9966934443469648</v>
      </c>
      <c r="F23" s="5">
        <v>0.97160399182464086</v>
      </c>
      <c r="G23" s="5">
        <v>0.95322629850839713</v>
      </c>
      <c r="H23" s="5">
        <v>1.3019445698973238</v>
      </c>
      <c r="I23" s="5">
        <v>0.95528862616544241</v>
      </c>
      <c r="J23" s="5">
        <v>0.94930345935854155</v>
      </c>
      <c r="K23" s="5">
        <v>1.237659785379472</v>
      </c>
      <c r="L23" s="5">
        <v>0.88465846618831567</v>
      </c>
      <c r="M23" s="5">
        <v>1.277583244341733</v>
      </c>
      <c r="N23" s="5">
        <v>0.99539994737550408</v>
      </c>
      <c r="O23" s="5">
        <v>1.1713084529963094</v>
      </c>
      <c r="P23" s="5">
        <v>1.0678854917132004</v>
      </c>
      <c r="S23" s="9" t="s">
        <v>441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M23" s="9" t="s">
        <v>441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25">
      <c r="A24" s="6" t="s">
        <v>442</v>
      </c>
      <c r="B24" s="5">
        <v>1.9754289858166469</v>
      </c>
      <c r="C24" s="5">
        <v>1.1761023544446181</v>
      </c>
      <c r="D24" s="5">
        <v>1.1385579614025942</v>
      </c>
      <c r="E24" s="5">
        <v>2.4821134910936196</v>
      </c>
      <c r="F24" s="5">
        <v>1.1341530633098895</v>
      </c>
      <c r="G24" s="5">
        <v>1.2093442796253806</v>
      </c>
      <c r="H24" s="5">
        <v>1.1056022043878335</v>
      </c>
      <c r="I24" s="5">
        <v>1.2437166575463394</v>
      </c>
      <c r="J24" s="5">
        <v>1.1192675300578874</v>
      </c>
      <c r="K24" s="5">
        <v>1.0805400688500058</v>
      </c>
      <c r="L24" s="5">
        <v>0.95777188002499047</v>
      </c>
      <c r="M24" s="5">
        <v>1.4241022725147698</v>
      </c>
      <c r="N24" s="5">
        <v>1.9988338407198858</v>
      </c>
      <c r="O24" s="5">
        <v>2.0938614236145998</v>
      </c>
      <c r="P24" s="5">
        <v>1.0887339667559608</v>
      </c>
      <c r="S24" s="9" t="s">
        <v>442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M24" s="9" t="s">
        <v>442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5">
      <c r="A25" s="4" t="s">
        <v>200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S25" s="8" t="s">
        <v>200</v>
      </c>
      <c r="T25">
        <v>1</v>
      </c>
      <c r="U25">
        <v>3</v>
      </c>
      <c r="V25">
        <v>1</v>
      </c>
      <c r="W25">
        <v>2</v>
      </c>
      <c r="X25">
        <v>2</v>
      </c>
      <c r="Y25">
        <v>0</v>
      </c>
      <c r="Z25">
        <v>2</v>
      </c>
      <c r="AA25">
        <v>3</v>
      </c>
      <c r="AB25">
        <v>0</v>
      </c>
      <c r="AC25">
        <v>3</v>
      </c>
      <c r="AD25">
        <v>4</v>
      </c>
      <c r="AE25">
        <v>2</v>
      </c>
      <c r="AF25">
        <v>2</v>
      </c>
      <c r="AG25">
        <v>4</v>
      </c>
      <c r="AH25">
        <v>3</v>
      </c>
      <c r="AI25">
        <v>32</v>
      </c>
      <c r="AM25" s="8" t="s">
        <v>200</v>
      </c>
      <c r="AN25">
        <v>1</v>
      </c>
      <c r="AO25">
        <v>3</v>
      </c>
      <c r="AP25">
        <v>0</v>
      </c>
      <c r="AQ25">
        <v>2</v>
      </c>
      <c r="AR25">
        <v>2</v>
      </c>
      <c r="AS25">
        <v>0</v>
      </c>
      <c r="AT25">
        <v>2</v>
      </c>
      <c r="AU25">
        <v>3</v>
      </c>
      <c r="AV25">
        <v>0</v>
      </c>
      <c r="AW25">
        <v>3</v>
      </c>
      <c r="AX25">
        <v>4</v>
      </c>
      <c r="AY25">
        <v>2</v>
      </c>
      <c r="AZ25">
        <v>1</v>
      </c>
      <c r="BA25">
        <v>3</v>
      </c>
      <c r="BB25">
        <v>2</v>
      </c>
      <c r="BC25">
        <v>28</v>
      </c>
    </row>
    <row r="26" spans="1:55" x14ac:dyDescent="0.25">
      <c r="A26" s="6" t="s">
        <v>447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S26" s="9" t="s">
        <v>447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M26" s="9" t="s">
        <v>447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s="6" t="s">
        <v>446</v>
      </c>
      <c r="B27" s="5">
        <v>1.1026629846502112</v>
      </c>
      <c r="C27" s="5">
        <v>1.0435116864676914</v>
      </c>
      <c r="D27" s="5">
        <v>1.0292551424822649</v>
      </c>
      <c r="E27" s="5">
        <v>1.0169792418525316</v>
      </c>
      <c r="F27" s="5">
        <v>0.99125837957353224</v>
      </c>
      <c r="G27" s="5">
        <v>0.99050104523809879</v>
      </c>
      <c r="H27" s="5">
        <v>0.91398345349017818</v>
      </c>
      <c r="I27" s="5">
        <v>1.0207688998576236</v>
      </c>
      <c r="J27" s="5">
        <v>1.0355109435305809</v>
      </c>
      <c r="K27" s="5">
        <v>0.96608576377378019</v>
      </c>
      <c r="L27" s="5">
        <v>0.95241428700966413</v>
      </c>
      <c r="M27" s="5">
        <v>0.92173726163595193</v>
      </c>
      <c r="N27" s="5">
        <v>1.1461089269458318</v>
      </c>
      <c r="O27" s="5">
        <v>0.99324026270247023</v>
      </c>
      <c r="P27" s="5">
        <v>0.95187411072501638</v>
      </c>
      <c r="S27" s="9" t="s">
        <v>446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5</v>
      </c>
      <c r="AM27" s="9" t="s">
        <v>446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0</v>
      </c>
      <c r="BA27">
        <v>0</v>
      </c>
      <c r="BB27">
        <v>1</v>
      </c>
      <c r="BC27">
        <v>5</v>
      </c>
    </row>
    <row r="28" spans="1:55" x14ac:dyDescent="0.25">
      <c r="A28" s="6" t="s">
        <v>438</v>
      </c>
      <c r="B28" s="5">
        <v>0.8773320775111898</v>
      </c>
      <c r="C28" s="5">
        <v>0.91189659395335809</v>
      </c>
      <c r="D28" s="5">
        <v>1.0706026347113808</v>
      </c>
      <c r="E28" s="5">
        <v>0.88360479381277546</v>
      </c>
      <c r="F28" s="5">
        <v>1.0659785569209874</v>
      </c>
      <c r="G28" s="5">
        <v>1.0673374166437914</v>
      </c>
      <c r="H28" s="5">
        <v>0.98564657360449659</v>
      </c>
      <c r="I28" s="5">
        <v>0.94972450924978913</v>
      </c>
      <c r="J28" s="5">
        <v>1.0729278709309058</v>
      </c>
      <c r="K28" s="5">
        <v>0.91178064800778302</v>
      </c>
      <c r="L28" s="5">
        <v>0.9491618155388688</v>
      </c>
      <c r="M28" s="5">
        <v>1.0028526379401617</v>
      </c>
      <c r="N28" s="5">
        <v>1.0130356163188001</v>
      </c>
      <c r="O28" s="5">
        <v>0.73759682383808045</v>
      </c>
      <c r="P28" s="5">
        <v>0.97210535102920637</v>
      </c>
      <c r="S28" s="9" t="s">
        <v>438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1</v>
      </c>
      <c r="AI28">
        <v>7</v>
      </c>
      <c r="AM28" s="9" t="s">
        <v>438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6</v>
      </c>
    </row>
    <row r="29" spans="1:55" x14ac:dyDescent="0.25">
      <c r="A29" s="6" t="s">
        <v>448</v>
      </c>
      <c r="B29" s="5">
        <v>0.97453887581016063</v>
      </c>
      <c r="C29" s="5">
        <v>0.93137190124469793</v>
      </c>
      <c r="D29" s="5">
        <v>0.98774995903419383</v>
      </c>
      <c r="E29" s="5">
        <v>1.0484376392268444</v>
      </c>
      <c r="F29" s="5">
        <v>0.95651982162299787</v>
      </c>
      <c r="G29" s="5">
        <v>1.0319629260552063</v>
      </c>
      <c r="H29" s="5">
        <v>0.97342518451578652</v>
      </c>
      <c r="I29" s="5">
        <v>0.89204058649135176</v>
      </c>
      <c r="J29" s="5">
        <v>1.0329041130310057</v>
      </c>
      <c r="K29" s="5">
        <v>0.96706677659607088</v>
      </c>
      <c r="L29" s="5">
        <v>0.96506394081135582</v>
      </c>
      <c r="M29" s="5">
        <v>1.0063119939317291</v>
      </c>
      <c r="N29" s="5">
        <v>0.92121440653356723</v>
      </c>
      <c r="O29" s="5">
        <v>0.85356763203544128</v>
      </c>
      <c r="P29" s="5">
        <v>1.0003727148430104</v>
      </c>
      <c r="S29" s="9" t="s">
        <v>448</v>
      </c>
      <c r="T29">
        <v>0</v>
      </c>
      <c r="U29">
        <v>1</v>
      </c>
      <c r="V29">
        <v>0</v>
      </c>
      <c r="W29">
        <v>0</v>
      </c>
      <c r="X29">
        <v>1</v>
      </c>
      <c r="Y29">
        <v>0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7</v>
      </c>
      <c r="AM29" s="9" t="s">
        <v>448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1</v>
      </c>
      <c r="BB29">
        <v>0</v>
      </c>
      <c r="BC29">
        <v>7</v>
      </c>
    </row>
    <row r="30" spans="1:55" x14ac:dyDescent="0.25">
      <c r="A30" s="6" t="s">
        <v>454</v>
      </c>
      <c r="B30" s="5">
        <v>0.47538659735622552</v>
      </c>
      <c r="C30" s="5">
        <v>0.8325631720165152</v>
      </c>
      <c r="D30" s="5">
        <v>0.95920341027670619</v>
      </c>
      <c r="E30" s="5">
        <v>0.16462727754002865</v>
      </c>
      <c r="F30" s="5">
        <v>0.87878497052890536</v>
      </c>
      <c r="G30" s="5">
        <v>1.0182499545847852</v>
      </c>
      <c r="H30" s="5">
        <v>0.93024689786673709</v>
      </c>
      <c r="I30" s="5">
        <v>0.81795372742894401</v>
      </c>
      <c r="J30" s="5">
        <v>0.9886771304482519</v>
      </c>
      <c r="K30" s="5">
        <v>0.77015154250097329</v>
      </c>
      <c r="L30" s="5">
        <v>0.7844030248137539</v>
      </c>
      <c r="M30" s="5">
        <v>0.89046767678449434</v>
      </c>
      <c r="N30" s="5">
        <v>0.71767351924818179</v>
      </c>
      <c r="O30" s="5">
        <v>0.442031636243021</v>
      </c>
      <c r="P30" s="5">
        <v>0.80754702283401558</v>
      </c>
      <c r="S30" s="9" t="s">
        <v>454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12</v>
      </c>
      <c r="AM30" s="9" t="s">
        <v>454</v>
      </c>
      <c r="AN30">
        <v>1</v>
      </c>
      <c r="AO30">
        <v>1</v>
      </c>
      <c r="AP30">
        <v>0</v>
      </c>
      <c r="AQ30">
        <v>1</v>
      </c>
      <c r="AR30">
        <v>1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1</v>
      </c>
      <c r="BB30">
        <v>1</v>
      </c>
      <c r="BC30">
        <v>10</v>
      </c>
    </row>
    <row r="31" spans="1:55" x14ac:dyDescent="0.25">
      <c r="A31" s="6" t="s">
        <v>439</v>
      </c>
      <c r="B31" s="5">
        <v>1.7520501563559967</v>
      </c>
      <c r="C31" s="5">
        <v>1.9085690634572223</v>
      </c>
      <c r="D31" s="5">
        <v>1.6613536567272849</v>
      </c>
      <c r="E31" s="5">
        <v>2.2796489183105746</v>
      </c>
      <c r="F31" s="5">
        <v>2.7549949647525853</v>
      </c>
      <c r="G31" s="5">
        <v>2.3841217002681248</v>
      </c>
      <c r="H31" s="5">
        <v>2.8683526116000451</v>
      </c>
      <c r="I31" s="5">
        <v>1.7359080825085631</v>
      </c>
      <c r="J31" s="5">
        <v>3.2064379287479752</v>
      </c>
      <c r="K31" s="5">
        <v>3.0450671544743328</v>
      </c>
      <c r="L31" s="5">
        <v>1.148756019245708</v>
      </c>
      <c r="M31" s="5">
        <v>2.6712533033331405</v>
      </c>
      <c r="N31" s="5">
        <v>0.99357568984253031</v>
      </c>
      <c r="O31" s="5">
        <v>3.3270381567341789</v>
      </c>
      <c r="P31" s="5">
        <v>2.0786147854510126</v>
      </c>
      <c r="S31" s="9" t="s">
        <v>439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M31" s="9" t="s">
        <v>439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25">
      <c r="A32" s="6" t="s">
        <v>440</v>
      </c>
      <c r="B32" s="5">
        <v>1.2825821330943339</v>
      </c>
      <c r="C32" s="5">
        <v>1.15547321712186</v>
      </c>
      <c r="D32" s="5">
        <v>1.7633725884285154</v>
      </c>
      <c r="E32" s="5">
        <v>2.0154486883066598</v>
      </c>
      <c r="F32" s="5">
        <v>1.2292012274878652</v>
      </c>
      <c r="G32" s="5">
        <v>1.1194977509623707</v>
      </c>
      <c r="H32" s="5">
        <v>0.95041986052800664</v>
      </c>
      <c r="I32" s="5">
        <v>1.1031004505419095</v>
      </c>
      <c r="J32" s="5">
        <v>1.4671062192709006</v>
      </c>
      <c r="K32" s="5">
        <v>1.1478664329998756</v>
      </c>
      <c r="L32" s="5">
        <v>0.92466869656850825</v>
      </c>
      <c r="M32" s="5">
        <v>1.7300149187689031</v>
      </c>
      <c r="N32" s="5">
        <v>1.5945642820742156</v>
      </c>
      <c r="O32" s="5">
        <v>0.8443468905184156</v>
      </c>
      <c r="P32" s="5">
        <v>1.1332688481995696</v>
      </c>
      <c r="S32" s="9" t="s">
        <v>440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M32" s="9" t="s">
        <v>440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25">
      <c r="A33" s="6" t="s">
        <v>441</v>
      </c>
      <c r="B33" s="5">
        <v>1.3460488774494241</v>
      </c>
      <c r="C33" s="5">
        <v>1.3751769590154017</v>
      </c>
      <c r="D33" s="5">
        <v>1.2913847726130587</v>
      </c>
      <c r="E33" s="5">
        <v>2.0441157185033654</v>
      </c>
      <c r="F33" s="5">
        <v>1.5520672434929341</v>
      </c>
      <c r="G33" s="5">
        <v>1.4615423703783517</v>
      </c>
      <c r="H33" s="5">
        <v>1.6744737513903065</v>
      </c>
      <c r="I33" s="5">
        <v>1.2918630589784557</v>
      </c>
      <c r="J33" s="5">
        <v>1.9328868767536296</v>
      </c>
      <c r="K33" s="5">
        <v>1.7058766002650834</v>
      </c>
      <c r="L33" s="5">
        <v>1.0864967032142576</v>
      </c>
      <c r="M33" s="5">
        <v>1.7612939720261263</v>
      </c>
      <c r="N33" s="5">
        <v>1.1494044447048697</v>
      </c>
      <c r="O33" s="5">
        <v>1.6440506735409912</v>
      </c>
      <c r="P33" s="5">
        <v>1.2608077043256407</v>
      </c>
      <c r="S33" s="9" t="s">
        <v>441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M33" s="9" t="s">
        <v>441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25">
      <c r="A34" s="6" t="s">
        <v>442</v>
      </c>
      <c r="B34" s="5">
        <v>1.8518543985509242</v>
      </c>
      <c r="C34" s="5">
        <v>2.1896108036152149</v>
      </c>
      <c r="D34" s="5">
        <v>1.8858996049368666</v>
      </c>
      <c r="E34" s="5">
        <v>2.3417618292331581</v>
      </c>
      <c r="F34" s="5">
        <v>2.3111592037064548</v>
      </c>
      <c r="G34" s="5">
        <v>1.6776758679214987</v>
      </c>
      <c r="H34" s="5">
        <v>2.6148878893141103</v>
      </c>
      <c r="I34" s="5">
        <v>2.0158325523194769</v>
      </c>
      <c r="J34" s="5">
        <v>3.2469756346413998</v>
      </c>
      <c r="K34" s="5">
        <v>2.3135901242628982</v>
      </c>
      <c r="L34" s="5">
        <v>1.1245182095344926</v>
      </c>
      <c r="M34" s="5">
        <v>2.1692789419754801</v>
      </c>
      <c r="N34" s="5">
        <v>3.5379766425969037</v>
      </c>
      <c r="O34" s="5">
        <v>2.399324268010627</v>
      </c>
      <c r="P34" s="5">
        <v>1.8038483042673636</v>
      </c>
      <c r="S34" s="9" t="s">
        <v>442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M34" s="9" t="s">
        <v>442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25">
      <c r="S35" s="8" t="s">
        <v>434</v>
      </c>
      <c r="T35">
        <v>6</v>
      </c>
      <c r="U35">
        <v>3</v>
      </c>
      <c r="V35">
        <v>4</v>
      </c>
      <c r="W35">
        <v>5</v>
      </c>
      <c r="X35">
        <v>5</v>
      </c>
      <c r="Y35">
        <v>0</v>
      </c>
      <c r="Z35">
        <v>2</v>
      </c>
      <c r="AA35">
        <v>7</v>
      </c>
      <c r="AB35">
        <v>2</v>
      </c>
      <c r="AC35">
        <v>4</v>
      </c>
      <c r="AD35">
        <v>7</v>
      </c>
      <c r="AE35">
        <v>6</v>
      </c>
      <c r="AF35">
        <v>4</v>
      </c>
      <c r="AG35">
        <v>8</v>
      </c>
      <c r="AH35">
        <v>4</v>
      </c>
      <c r="AI35">
        <v>67</v>
      </c>
      <c r="AM35" s="8" t="s">
        <v>434</v>
      </c>
      <c r="AN35">
        <v>4</v>
      </c>
      <c r="AO35">
        <v>3</v>
      </c>
      <c r="AP35">
        <v>2</v>
      </c>
      <c r="AQ35">
        <v>5</v>
      </c>
      <c r="AR35">
        <v>5</v>
      </c>
      <c r="AS35">
        <v>0</v>
      </c>
      <c r="AT35">
        <v>2</v>
      </c>
      <c r="AU35">
        <v>3</v>
      </c>
      <c r="AV35">
        <v>2</v>
      </c>
      <c r="AW35">
        <v>4</v>
      </c>
      <c r="AX35">
        <v>6</v>
      </c>
      <c r="AY35">
        <v>5</v>
      </c>
      <c r="AZ35">
        <v>2</v>
      </c>
      <c r="BA35">
        <v>7</v>
      </c>
      <c r="BB35">
        <v>3</v>
      </c>
      <c r="BC35">
        <v>53</v>
      </c>
    </row>
  </sheetData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3F97-63D6-465B-A86D-EAA3974E0574}">
  <dimension ref="A1:BC35"/>
  <sheetViews>
    <sheetView topLeftCell="H1" zoomScale="85" zoomScaleNormal="85" workbookViewId="0">
      <selection activeCell="AE20" sqref="AE20"/>
    </sheetView>
  </sheetViews>
  <sheetFormatPr defaultRowHeight="15" x14ac:dyDescent="0.25"/>
  <cols>
    <col min="1" max="1" width="12.7109375" bestFit="1" customWidth="1"/>
    <col min="2" max="2" width="15.140625" bestFit="1" customWidth="1"/>
    <col min="3" max="16" width="4.7109375" bestFit="1" customWidth="1"/>
    <col min="17" max="17" width="6.28515625" bestFit="1" customWidth="1"/>
    <col min="18" max="18" width="9.5703125" bestFit="1" customWidth="1"/>
    <col min="19" max="19" width="13.85546875" bestFit="1" customWidth="1"/>
    <col min="20" max="20" width="16.28515625" bestFit="1" customWidth="1"/>
    <col min="21" max="21" width="3.28515625" bestFit="1" customWidth="1"/>
    <col min="22" max="22" width="3.7109375" bestFit="1" customWidth="1"/>
    <col min="23" max="23" width="3.5703125" bestFit="1" customWidth="1"/>
    <col min="24" max="24" width="3.42578125" bestFit="1" customWidth="1"/>
    <col min="25" max="27" width="3.5703125" bestFit="1" customWidth="1"/>
    <col min="28" max="28" width="3.28515625" bestFit="1" customWidth="1"/>
    <col min="29" max="29" width="3.7109375" bestFit="1" customWidth="1"/>
    <col min="30" max="30" width="3" bestFit="1" customWidth="1"/>
    <col min="31" max="31" width="2.7109375" bestFit="1" customWidth="1"/>
    <col min="32" max="32" width="2.85546875" bestFit="1" customWidth="1"/>
    <col min="33" max="33" width="4" bestFit="1" customWidth="1"/>
    <col min="34" max="34" width="3.5703125" bestFit="1" customWidth="1"/>
    <col min="35" max="35" width="11.28515625" bestFit="1" customWidth="1"/>
    <col min="36" max="37" width="4.42578125" bestFit="1" customWidth="1"/>
    <col min="38" max="38" width="5.140625" bestFit="1" customWidth="1"/>
    <col min="39" max="39" width="13.85546875" bestFit="1" customWidth="1"/>
    <col min="40" max="40" width="16.28515625" bestFit="1" customWidth="1"/>
    <col min="41" max="41" width="3.28515625" bestFit="1" customWidth="1"/>
    <col min="42" max="42" width="3.7109375" bestFit="1" customWidth="1"/>
    <col min="43" max="43" width="3.5703125" bestFit="1" customWidth="1"/>
    <col min="44" max="44" width="3.42578125" bestFit="1" customWidth="1"/>
    <col min="45" max="47" width="3.5703125" bestFit="1" customWidth="1"/>
    <col min="48" max="48" width="3.28515625" bestFit="1" customWidth="1"/>
    <col min="49" max="49" width="3.7109375" bestFit="1" customWidth="1"/>
    <col min="50" max="50" width="3" bestFit="1" customWidth="1"/>
    <col min="51" max="51" width="2.7109375" bestFit="1" customWidth="1"/>
    <col min="52" max="52" width="2.85546875" bestFit="1" customWidth="1"/>
    <col min="53" max="53" width="4" bestFit="1" customWidth="1"/>
    <col min="54" max="54" width="3.5703125" bestFit="1" customWidth="1"/>
    <col min="55" max="55" width="11.28515625" bestFit="1" customWidth="1"/>
    <col min="56" max="56" width="5.140625" bestFit="1" customWidth="1"/>
    <col min="57" max="61" width="4.42578125" bestFit="1" customWidth="1"/>
    <col min="62" max="62" width="4.5703125" bestFit="1" customWidth="1"/>
    <col min="63" max="73" width="4.42578125" bestFit="1" customWidth="1"/>
    <col min="74" max="74" width="4.5703125" bestFit="1" customWidth="1"/>
    <col min="75" max="79" width="4.42578125" bestFit="1" customWidth="1"/>
    <col min="80" max="80" width="5.42578125" bestFit="1" customWidth="1"/>
    <col min="81" max="85" width="4.42578125" bestFit="1" customWidth="1"/>
    <col min="86" max="86" width="5" bestFit="1" customWidth="1"/>
    <col min="87" max="91" width="4.42578125" bestFit="1" customWidth="1"/>
  </cols>
  <sheetData>
    <row r="1" spans="1:55" x14ac:dyDescent="0.25">
      <c r="S1" s="10">
        <v>0.1</v>
      </c>
      <c r="AM1" s="10">
        <v>0.05</v>
      </c>
    </row>
    <row r="3" spans="1:55" x14ac:dyDescent="0.25">
      <c r="A3" s="2" t="s">
        <v>436</v>
      </c>
      <c r="B3" s="2" t="s">
        <v>228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S3" s="7" t="s">
        <v>436</v>
      </c>
      <c r="T3" s="7" t="s">
        <v>228</v>
      </c>
      <c r="AM3" s="7" t="s">
        <v>436</v>
      </c>
      <c r="AN3" s="7" t="s">
        <v>228</v>
      </c>
    </row>
    <row r="4" spans="1:55" x14ac:dyDescent="0.25">
      <c r="A4" s="2" t="s">
        <v>227</v>
      </c>
      <c r="B4" s="3" t="s">
        <v>215</v>
      </c>
      <c r="C4" s="3" t="s">
        <v>221</v>
      </c>
      <c r="D4" s="3" t="s">
        <v>220</v>
      </c>
      <c r="E4" s="3" t="s">
        <v>216</v>
      </c>
      <c r="F4" s="3" t="s">
        <v>214</v>
      </c>
      <c r="G4" s="3" t="s">
        <v>223</v>
      </c>
      <c r="H4" s="3" t="s">
        <v>218</v>
      </c>
      <c r="I4" s="3" t="s">
        <v>209</v>
      </c>
      <c r="J4" s="3" t="s">
        <v>210</v>
      </c>
      <c r="K4" s="3" t="s">
        <v>212</v>
      </c>
      <c r="L4" s="3" t="s">
        <v>222</v>
      </c>
      <c r="M4" s="3" t="s">
        <v>211</v>
      </c>
      <c r="N4" s="3" t="s">
        <v>219</v>
      </c>
      <c r="O4" s="3" t="s">
        <v>217</v>
      </c>
      <c r="P4" s="3" t="s">
        <v>213</v>
      </c>
      <c r="S4" s="7" t="s">
        <v>227</v>
      </c>
      <c r="T4" t="s">
        <v>215</v>
      </c>
      <c r="U4" t="s">
        <v>221</v>
      </c>
      <c r="V4" t="s">
        <v>220</v>
      </c>
      <c r="W4" t="s">
        <v>216</v>
      </c>
      <c r="X4" t="s">
        <v>214</v>
      </c>
      <c r="Y4" t="s">
        <v>223</v>
      </c>
      <c r="Z4" t="s">
        <v>218</v>
      </c>
      <c r="AA4" t="s">
        <v>209</v>
      </c>
      <c r="AB4" t="s">
        <v>210</v>
      </c>
      <c r="AC4" t="s">
        <v>212</v>
      </c>
      <c r="AD4" t="s">
        <v>222</v>
      </c>
      <c r="AE4" t="s">
        <v>211</v>
      </c>
      <c r="AF4" t="s">
        <v>219</v>
      </c>
      <c r="AG4" t="s">
        <v>217</v>
      </c>
      <c r="AH4" t="s">
        <v>213</v>
      </c>
      <c r="AI4" t="s">
        <v>434</v>
      </c>
      <c r="AM4" s="7" t="s">
        <v>227</v>
      </c>
      <c r="AN4" t="s">
        <v>215</v>
      </c>
      <c r="AO4" t="s">
        <v>221</v>
      </c>
      <c r="AP4" t="s">
        <v>220</v>
      </c>
      <c r="AQ4" t="s">
        <v>216</v>
      </c>
      <c r="AR4" t="s">
        <v>214</v>
      </c>
      <c r="AS4" t="s">
        <v>223</v>
      </c>
      <c r="AT4" t="s">
        <v>218</v>
      </c>
      <c r="AU4" t="s">
        <v>209</v>
      </c>
      <c r="AV4" t="s">
        <v>210</v>
      </c>
      <c r="AW4" t="s">
        <v>212</v>
      </c>
      <c r="AX4" t="s">
        <v>222</v>
      </c>
      <c r="AY4" t="s">
        <v>211</v>
      </c>
      <c r="AZ4" t="s">
        <v>219</v>
      </c>
      <c r="BA4" t="s">
        <v>217</v>
      </c>
      <c r="BB4" t="s">
        <v>213</v>
      </c>
      <c r="BC4" t="s">
        <v>434</v>
      </c>
    </row>
    <row r="5" spans="1:55" x14ac:dyDescent="0.25">
      <c r="A5" s="4" t="s">
        <v>198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S5" s="8" t="s">
        <v>198</v>
      </c>
      <c r="T5">
        <v>0</v>
      </c>
      <c r="U5">
        <v>1</v>
      </c>
      <c r="V5">
        <v>2</v>
      </c>
      <c r="W5">
        <v>0</v>
      </c>
      <c r="X5">
        <v>3</v>
      </c>
      <c r="Y5">
        <v>1</v>
      </c>
      <c r="Z5">
        <v>0</v>
      </c>
      <c r="AA5">
        <v>1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10</v>
      </c>
      <c r="AM5" s="8" t="s">
        <v>198</v>
      </c>
      <c r="AN5">
        <v>0</v>
      </c>
      <c r="AO5">
        <v>1</v>
      </c>
      <c r="AP5">
        <v>2</v>
      </c>
      <c r="AQ5">
        <v>0</v>
      </c>
      <c r="AR5">
        <v>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</row>
    <row r="6" spans="1:55" x14ac:dyDescent="0.25">
      <c r="A6" s="6" t="s">
        <v>447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S6" s="9" t="s">
        <v>447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M6" s="9" t="s">
        <v>447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5">
      <c r="A7" s="6" t="s">
        <v>446</v>
      </c>
      <c r="B7" s="5">
        <v>0.99650450985136307</v>
      </c>
      <c r="C7" s="5">
        <v>0.9965886964335422</v>
      </c>
      <c r="D7" s="5">
        <v>0.97594481218171791</v>
      </c>
      <c r="E7" s="5">
        <v>1.000141622529594</v>
      </c>
      <c r="F7" s="5">
        <v>0.9618360779611167</v>
      </c>
      <c r="G7" s="5">
        <v>0.99724169110135363</v>
      </c>
      <c r="H7" s="5">
        <v>0.99092346088614114</v>
      </c>
      <c r="I7" s="5">
        <v>0.98557723968136934</v>
      </c>
      <c r="J7" s="5">
        <v>0.99888550601495385</v>
      </c>
      <c r="K7" s="5">
        <v>0.99285211515370786</v>
      </c>
      <c r="L7" s="5">
        <v>1.00006503175848</v>
      </c>
      <c r="M7" s="5">
        <v>1.0224067350363992</v>
      </c>
      <c r="N7" s="5">
        <v>1.0208233644538827</v>
      </c>
      <c r="O7" s="5">
        <v>1.0017487954000728</v>
      </c>
      <c r="P7" s="5">
        <v>1.0055897750498879</v>
      </c>
      <c r="S7" s="9" t="s">
        <v>446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M7" s="9" t="s">
        <v>446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</v>
      </c>
    </row>
    <row r="8" spans="1:55" x14ac:dyDescent="0.25">
      <c r="A8" s="6" t="s">
        <v>438</v>
      </c>
      <c r="B8" s="5">
        <v>1.0045067400279692</v>
      </c>
      <c r="C8" s="5">
        <v>1.0004101759124988</v>
      </c>
      <c r="D8" s="5">
        <v>1.0002856138843461</v>
      </c>
      <c r="E8" s="5">
        <v>1.0015630447692179</v>
      </c>
      <c r="F8" s="5">
        <v>0.99685264215578995</v>
      </c>
      <c r="G8" s="5">
        <v>1.0126659989751932</v>
      </c>
      <c r="H8" s="5">
        <v>1.030833835255005</v>
      </c>
      <c r="I8" s="5">
        <v>0.99557676725028643</v>
      </c>
      <c r="J8" s="5">
        <v>1.0274343235667103</v>
      </c>
      <c r="K8" s="5">
        <v>0.9894635671687031</v>
      </c>
      <c r="L8" s="5">
        <v>0.99461084050961268</v>
      </c>
      <c r="M8" s="5">
        <v>0.97183243707737155</v>
      </c>
      <c r="N8" s="5">
        <v>1.001463116859924</v>
      </c>
      <c r="O8" s="5">
        <v>1.0011536229377005</v>
      </c>
      <c r="P8" s="5">
        <v>0.99885125331029634</v>
      </c>
      <c r="S8" s="9" t="s">
        <v>438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M8" s="9" t="s">
        <v>438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5">
      <c r="A9" s="6" t="s">
        <v>448</v>
      </c>
      <c r="B9" s="5">
        <v>1.0038453488974524</v>
      </c>
      <c r="C9" s="5">
        <v>1.0018469774813523</v>
      </c>
      <c r="D9" s="5">
        <v>1.0110983469786403</v>
      </c>
      <c r="E9" s="5">
        <v>0.99984952813587846</v>
      </c>
      <c r="F9" s="5">
        <v>1.0194375757047507</v>
      </c>
      <c r="G9" s="5">
        <v>1.0031115609946866</v>
      </c>
      <c r="H9" s="5">
        <v>1.0153524176558819</v>
      </c>
      <c r="I9" s="5">
        <v>0.98921433292217487</v>
      </c>
      <c r="J9" s="5">
        <v>1.0114863315248737</v>
      </c>
      <c r="K9" s="5">
        <v>0.99698360852053303</v>
      </c>
      <c r="L9" s="5">
        <v>0.99990925115358176</v>
      </c>
      <c r="M9" s="5">
        <v>1.0003680618976323</v>
      </c>
      <c r="N9" s="5">
        <v>0.99680365949119376</v>
      </c>
      <c r="O9" s="5">
        <v>1.0081125514312987</v>
      </c>
      <c r="P9" s="5">
        <v>0.99814935268413973</v>
      </c>
      <c r="S9" s="9" t="s">
        <v>448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M9" s="9" t="s">
        <v>448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s="6" t="s">
        <v>454</v>
      </c>
      <c r="B10" s="5">
        <v>0.96325391694219753</v>
      </c>
      <c r="C10" s="5">
        <v>1.0033534006010427</v>
      </c>
      <c r="D10" s="5">
        <v>0.95712434748947206</v>
      </c>
      <c r="E10" s="5">
        <v>0.99449029643626363</v>
      </c>
      <c r="F10" s="5">
        <v>0.94220171213076942</v>
      </c>
      <c r="G10" s="5">
        <v>0.98770835661957845</v>
      </c>
      <c r="H10" s="5">
        <v>1.041713817653992</v>
      </c>
      <c r="I10" s="5">
        <v>0.99060854051623703</v>
      </c>
      <c r="J10" s="5">
        <v>0.99931379999935988</v>
      </c>
      <c r="K10" s="5">
        <v>1.0043974202495591</v>
      </c>
      <c r="L10" s="5">
        <v>1.0573743109310678</v>
      </c>
      <c r="M10" s="5">
        <v>1.0018281571461218</v>
      </c>
      <c r="N10" s="5">
        <v>1.0296544613296659</v>
      </c>
      <c r="O10" s="5">
        <v>0.99574009469441027</v>
      </c>
      <c r="P10" s="5">
        <v>1.0213733438795771</v>
      </c>
      <c r="S10" s="9" t="s">
        <v>454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</v>
      </c>
      <c r="AM10" s="9" t="s">
        <v>454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</v>
      </c>
    </row>
    <row r="11" spans="1:55" x14ac:dyDescent="0.25">
      <c r="A11" s="6" t="s">
        <v>439</v>
      </c>
      <c r="B11" s="5">
        <v>1.0064286889923211</v>
      </c>
      <c r="C11" s="5">
        <v>1.0329756453948509</v>
      </c>
      <c r="D11" s="5">
        <v>0.96633918147114706</v>
      </c>
      <c r="E11" s="5">
        <v>1.0419574281657111</v>
      </c>
      <c r="F11" s="5">
        <v>0.93007856511426223</v>
      </c>
      <c r="G11" s="5">
        <v>0.98479896193718708</v>
      </c>
      <c r="H11" s="5">
        <v>1.0014319298280978</v>
      </c>
      <c r="I11" s="5">
        <v>1.0023073909976639</v>
      </c>
      <c r="J11" s="5">
        <v>0.99236277750462332</v>
      </c>
      <c r="K11" s="5">
        <v>0.96764000013768225</v>
      </c>
      <c r="L11" s="5">
        <v>1.0298167410307895</v>
      </c>
      <c r="M11" s="5">
        <v>0.99645139267910199</v>
      </c>
      <c r="N11" s="5">
        <v>1.0128731670205191</v>
      </c>
      <c r="O11" s="5">
        <v>1.04113021538715</v>
      </c>
      <c r="P11" s="5">
        <v>1.0105479063218064</v>
      </c>
      <c r="S11" s="9" t="s">
        <v>439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M11" s="9" t="s">
        <v>439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</row>
    <row r="12" spans="1:55" x14ac:dyDescent="0.25">
      <c r="A12" s="6" t="s">
        <v>440</v>
      </c>
      <c r="B12" s="5">
        <v>1.1998376655024081</v>
      </c>
      <c r="C12" s="5">
        <v>1.0254114781156265</v>
      </c>
      <c r="D12" s="5">
        <v>1.2644666663347739</v>
      </c>
      <c r="E12" s="5">
        <v>8.3389601036031493</v>
      </c>
      <c r="F12" s="5">
        <v>1.1173223529718141</v>
      </c>
      <c r="G12" s="5">
        <v>1.0087191518568113</v>
      </c>
      <c r="H12" s="5">
        <v>1.0964026877651556</v>
      </c>
      <c r="I12" s="5">
        <v>0.98164935658747987</v>
      </c>
      <c r="J12" s="5">
        <v>1.1396250167554207</v>
      </c>
      <c r="K12" s="5">
        <v>1.1063932586510574</v>
      </c>
      <c r="L12" s="5">
        <v>1.1077020578060388</v>
      </c>
      <c r="M12" s="5">
        <v>1.3833122280911121</v>
      </c>
      <c r="N12" s="5">
        <v>1.0337157624410127</v>
      </c>
      <c r="O12" s="5">
        <v>2.160502713132936</v>
      </c>
      <c r="P12" s="5">
        <v>1.0322412268072541</v>
      </c>
      <c r="S12" s="9" t="s">
        <v>440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M12" s="9" t="s">
        <v>440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s="6" t="s">
        <v>441</v>
      </c>
      <c r="B13" s="5">
        <v>1.1558648192681762</v>
      </c>
      <c r="C13" s="5">
        <v>1.017156390687177</v>
      </c>
      <c r="D13" s="5">
        <v>1.266444005095491</v>
      </c>
      <c r="E13" s="5">
        <v>1.1696755147673759</v>
      </c>
      <c r="F13" s="5">
        <v>1.1028380643618025</v>
      </c>
      <c r="G13" s="5">
        <v>1.065216737617106</v>
      </c>
      <c r="H13" s="5">
        <v>1.0802219486591429</v>
      </c>
      <c r="I13" s="5">
        <v>1.0009820963452369</v>
      </c>
      <c r="J13" s="5">
        <v>1.0824036430642914</v>
      </c>
      <c r="K13" s="5">
        <v>1.0628917342983777</v>
      </c>
      <c r="L13" s="5">
        <v>1.0227630167943165</v>
      </c>
      <c r="M13" s="5">
        <v>1.0308160084566926</v>
      </c>
      <c r="N13" s="5">
        <v>1.0091897146402726</v>
      </c>
      <c r="O13" s="5">
        <v>1.0308001553778328</v>
      </c>
      <c r="P13" s="5">
        <v>1.0840516097424107</v>
      </c>
      <c r="S13" s="9" t="s">
        <v>441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M13" s="9" t="s">
        <v>441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s="6" t="s">
        <v>442</v>
      </c>
      <c r="B14" s="5">
        <v>1.5547155756531355</v>
      </c>
      <c r="C14" s="5">
        <v>1.9638803215278693</v>
      </c>
      <c r="D14" s="5">
        <v>3.2163074464878743</v>
      </c>
      <c r="E14" s="5">
        <v>2.1653891172279254</v>
      </c>
      <c r="F14" s="5">
        <v>2.8032220116919149</v>
      </c>
      <c r="G14" s="5">
        <v>2.056608844627414</v>
      </c>
      <c r="H14" s="5">
        <v>1.6640129838193873</v>
      </c>
      <c r="I14" s="5">
        <v>2.1636318163578503</v>
      </c>
      <c r="J14" s="5">
        <v>3.1197196171602308</v>
      </c>
      <c r="K14" s="5">
        <v>2.2245650860188961</v>
      </c>
      <c r="L14" s="5">
        <v>1.6327049893513319</v>
      </c>
      <c r="M14" s="5">
        <v>2.7462996448495227</v>
      </c>
      <c r="N14" s="5">
        <v>2.010710249902993</v>
      </c>
      <c r="O14" s="5">
        <v>2.2474687447376214</v>
      </c>
      <c r="P14" s="5">
        <v>2.8351846766813176</v>
      </c>
      <c r="S14" s="9" t="s">
        <v>442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M14" s="9" t="s">
        <v>442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s="4" t="s">
        <v>199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S15" s="8" t="s">
        <v>199</v>
      </c>
      <c r="T15">
        <v>1</v>
      </c>
      <c r="U15">
        <v>0</v>
      </c>
      <c r="V15">
        <v>1</v>
      </c>
      <c r="W15">
        <v>3</v>
      </c>
      <c r="X15">
        <v>1</v>
      </c>
      <c r="Y15">
        <v>2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5</v>
      </c>
      <c r="AH15">
        <v>0</v>
      </c>
      <c r="AI15">
        <v>18</v>
      </c>
      <c r="AM15" s="8" t="s">
        <v>199</v>
      </c>
      <c r="AN15">
        <v>1</v>
      </c>
      <c r="AO15">
        <v>0</v>
      </c>
      <c r="AP15">
        <v>0</v>
      </c>
      <c r="AQ15">
        <v>3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5</v>
      </c>
      <c r="BB15">
        <v>0</v>
      </c>
      <c r="BC15">
        <v>13</v>
      </c>
    </row>
    <row r="16" spans="1:55" x14ac:dyDescent="0.25">
      <c r="A16" s="6" t="s">
        <v>447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S16" s="9" t="s">
        <v>447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M16" s="9" t="s">
        <v>447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s="6" t="s">
        <v>446</v>
      </c>
      <c r="B17" s="5">
        <v>1.1369911693681547</v>
      </c>
      <c r="C17" s="5">
        <v>0.99279395294426365</v>
      </c>
      <c r="D17" s="5">
        <v>1.0798027640131389</v>
      </c>
      <c r="E17" s="5">
        <v>1.0282934949937097</v>
      </c>
      <c r="F17" s="5">
        <v>0.99697365665599891</v>
      </c>
      <c r="G17" s="5">
        <v>1.0352450063225411</v>
      </c>
      <c r="H17" s="5">
        <v>0.98893526393875564</v>
      </c>
      <c r="I17" s="5">
        <v>0.98252264197501205</v>
      </c>
      <c r="J17" s="5">
        <v>0.92143156092905343</v>
      </c>
      <c r="K17" s="5">
        <v>0.98372530518860901</v>
      </c>
      <c r="L17" s="5">
        <v>1.0015572360480662</v>
      </c>
      <c r="M17" s="5">
        <v>0.8861148353998437</v>
      </c>
      <c r="N17" s="5">
        <v>1.0111983036928445</v>
      </c>
      <c r="O17" s="5">
        <v>0.96932919519998795</v>
      </c>
      <c r="P17" s="5">
        <v>1.0009164068551608</v>
      </c>
      <c r="S17" s="9" t="s">
        <v>446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3</v>
      </c>
      <c r="AM17" s="9" t="s">
        <v>446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3</v>
      </c>
    </row>
    <row r="18" spans="1:55" x14ac:dyDescent="0.25">
      <c r="A18" s="6" t="s">
        <v>438</v>
      </c>
      <c r="B18" s="5">
        <v>0.91841015012536309</v>
      </c>
      <c r="C18" s="5">
        <v>0.99635874291524129</v>
      </c>
      <c r="D18" s="5">
        <v>1.0985004928212392</v>
      </c>
      <c r="E18" s="5">
        <v>0.8937096967045417</v>
      </c>
      <c r="F18" s="5">
        <v>1.0401573332368239</v>
      </c>
      <c r="G18" s="5">
        <v>1.0725025245875062</v>
      </c>
      <c r="H18" s="5">
        <v>1.0294052677213437</v>
      </c>
      <c r="I18" s="5">
        <v>1.0413060341321536</v>
      </c>
      <c r="J18" s="5">
        <v>1.0788722053514015</v>
      </c>
      <c r="K18" s="5">
        <v>1.0247123739826967</v>
      </c>
      <c r="L18" s="5">
        <v>1.0475394647272904</v>
      </c>
      <c r="M18" s="5">
        <v>1.1018708517976379</v>
      </c>
      <c r="N18" s="5">
        <v>0.97812515696510927</v>
      </c>
      <c r="O18" s="5">
        <v>0.66588453540113224</v>
      </c>
      <c r="P18" s="5">
        <v>1.0157747305425555</v>
      </c>
      <c r="S18" s="9" t="s">
        <v>438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2</v>
      </c>
      <c r="AM18" s="9" t="s">
        <v>438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2</v>
      </c>
    </row>
    <row r="19" spans="1:55" x14ac:dyDescent="0.25">
      <c r="A19" s="6" t="s">
        <v>448</v>
      </c>
      <c r="B19" s="5">
        <v>0.99348833116765956</v>
      </c>
      <c r="C19" s="5">
        <v>0.97799817420785351</v>
      </c>
      <c r="D19" s="5">
        <v>0.9681896192733106</v>
      </c>
      <c r="E19" s="5">
        <v>1.0561816292297643</v>
      </c>
      <c r="F19" s="5">
        <v>0.99008842519435381</v>
      </c>
      <c r="G19" s="5">
        <v>1.014098521530695</v>
      </c>
      <c r="H19" s="5">
        <v>0.99818030909512134</v>
      </c>
      <c r="I19" s="5">
        <v>0.99794031489942203</v>
      </c>
      <c r="J19" s="5">
        <v>1.0141054506825005</v>
      </c>
      <c r="K19" s="5">
        <v>0.96178347107528928</v>
      </c>
      <c r="L19" s="5">
        <v>1.0029319053817587</v>
      </c>
      <c r="M19" s="5">
        <v>1.0409254953260692</v>
      </c>
      <c r="N19" s="5">
        <v>0.96943175806808124</v>
      </c>
      <c r="O19" s="5">
        <v>0.73368570246782239</v>
      </c>
      <c r="P19" s="5">
        <v>0.99104446916843181</v>
      </c>
      <c r="S19" s="9" t="s">
        <v>448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4</v>
      </c>
      <c r="AM19" s="9" t="s">
        <v>448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</row>
    <row r="20" spans="1:55" x14ac:dyDescent="0.25">
      <c r="A20" s="6" t="s">
        <v>454</v>
      </c>
      <c r="B20" s="5">
        <v>0.41266031367667932</v>
      </c>
      <c r="C20" s="5">
        <v>1.4157085875391495</v>
      </c>
      <c r="D20" s="5">
        <v>0.98733187393877575</v>
      </c>
      <c r="E20" s="5">
        <v>0.23977369155529343</v>
      </c>
      <c r="F20" s="5">
        <v>1.1792374804234522</v>
      </c>
      <c r="G20" s="5">
        <v>0.98977609286242274</v>
      </c>
      <c r="H20" s="5">
        <v>1.0338256245932436</v>
      </c>
      <c r="I20" s="5">
        <v>1.3961461731697593</v>
      </c>
      <c r="J20" s="5">
        <v>1.1234205075830532</v>
      </c>
      <c r="K20" s="5">
        <v>1.0889580942862676</v>
      </c>
      <c r="L20" s="5">
        <v>0.94085122317033165</v>
      </c>
      <c r="M20" s="5">
        <v>0.84825349560489194</v>
      </c>
      <c r="N20" s="5">
        <v>1.2131448147397339</v>
      </c>
      <c r="O20" s="5">
        <v>0.6240296498019221</v>
      </c>
      <c r="P20" s="5">
        <v>1.1204806295521474</v>
      </c>
      <c r="S20" s="9" t="s">
        <v>454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3</v>
      </c>
      <c r="AM20" s="9" t="s">
        <v>454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3</v>
      </c>
    </row>
    <row r="21" spans="1:55" x14ac:dyDescent="0.25">
      <c r="A21" s="6" t="s">
        <v>439</v>
      </c>
      <c r="B21" s="5">
        <v>1.5336527452691491</v>
      </c>
      <c r="C21" s="5">
        <v>1.0777854954050259</v>
      </c>
      <c r="D21" s="5">
        <v>1.4144068002230124</v>
      </c>
      <c r="E21" s="5">
        <v>1.6231610373335497</v>
      </c>
      <c r="F21" s="5">
        <v>1.1995145602577222</v>
      </c>
      <c r="G21" s="5">
        <v>1.2685672443197591</v>
      </c>
      <c r="H21" s="5">
        <v>1.1690780024169727</v>
      </c>
      <c r="I21" s="5">
        <v>1.0642777656471782</v>
      </c>
      <c r="J21" s="5">
        <v>1.4710188894135843</v>
      </c>
      <c r="K21" s="5">
        <v>1.3550615427832435</v>
      </c>
      <c r="L21" s="5">
        <v>0.99287733967214953</v>
      </c>
      <c r="M21" s="5">
        <v>1.7872912338077218</v>
      </c>
      <c r="N21" s="5">
        <v>1.039506068527118</v>
      </c>
      <c r="O21" s="5">
        <v>1.8554668273823347</v>
      </c>
      <c r="P21" s="5">
        <v>1.0798801726762635</v>
      </c>
      <c r="S21" s="9" t="s">
        <v>439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M21" s="9" t="s">
        <v>439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s="6" t="s">
        <v>440</v>
      </c>
      <c r="B22" s="5">
        <v>1.4549247416469675</v>
      </c>
      <c r="C22" s="5">
        <v>1.1401856256669103</v>
      </c>
      <c r="D22" s="5">
        <v>1.0867618877355381</v>
      </c>
      <c r="E22" s="5">
        <v>0.68926304044610576</v>
      </c>
      <c r="F22" s="5">
        <v>1.004442616062301</v>
      </c>
      <c r="G22" s="5">
        <v>0.92858474191423845</v>
      </c>
      <c r="H22" s="5">
        <v>0.88187104494250634</v>
      </c>
      <c r="I22" s="5">
        <v>1.1005956363327833</v>
      </c>
      <c r="J22" s="5">
        <v>1.1757510951782644</v>
      </c>
      <c r="K22" s="5">
        <v>1.0089950289789433</v>
      </c>
      <c r="L22" s="5">
        <v>1.0379004881194802</v>
      </c>
      <c r="M22" s="5">
        <v>1.123525485197904</v>
      </c>
      <c r="N22" s="5">
        <v>1.0030907267649178</v>
      </c>
      <c r="O22" s="5">
        <v>1.1305881950789975</v>
      </c>
      <c r="P22" s="5">
        <v>0.98284612893630363</v>
      </c>
      <c r="S22" s="9" t="s">
        <v>440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M22" s="9" t="s">
        <v>440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</row>
    <row r="23" spans="1:55" x14ac:dyDescent="0.25">
      <c r="A23" s="6" t="s">
        <v>441</v>
      </c>
      <c r="B23" s="5">
        <v>1.0811140203137224</v>
      </c>
      <c r="C23" s="5">
        <v>0.94595870183401665</v>
      </c>
      <c r="D23" s="5">
        <v>1.1313074970720827</v>
      </c>
      <c r="E23" s="5">
        <v>1.3173936566902134</v>
      </c>
      <c r="F23" s="5">
        <v>0.93678935369633309</v>
      </c>
      <c r="G23" s="5">
        <v>0.92639139095053025</v>
      </c>
      <c r="H23" s="5">
        <v>1.2886964834342345</v>
      </c>
      <c r="I23" s="5">
        <v>0.95672869407064509</v>
      </c>
      <c r="J23" s="5">
        <v>0.89752851738044093</v>
      </c>
      <c r="K23" s="5">
        <v>1.1085384953337063</v>
      </c>
      <c r="L23" s="5">
        <v>0.93994283714086801</v>
      </c>
      <c r="M23" s="5">
        <v>1.0252288294159326</v>
      </c>
      <c r="N23" s="5">
        <v>0.96025086287274442</v>
      </c>
      <c r="O23" s="5">
        <v>0.80203132222912477</v>
      </c>
      <c r="P23" s="5">
        <v>1.0325199280395809</v>
      </c>
      <c r="S23" s="9" t="s">
        <v>441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3</v>
      </c>
      <c r="AM23" s="9" t="s">
        <v>441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3</v>
      </c>
    </row>
    <row r="24" spans="1:55" x14ac:dyDescent="0.25">
      <c r="A24" s="6" t="s">
        <v>442</v>
      </c>
      <c r="B24" s="5">
        <v>1.5520471776023037</v>
      </c>
      <c r="C24" s="5">
        <v>1.2469230521032664</v>
      </c>
      <c r="D24" s="5">
        <v>1.1480991873453577</v>
      </c>
      <c r="E24" s="5">
        <v>1.6336443564797478</v>
      </c>
      <c r="F24" s="5">
        <v>1.2778162232218322</v>
      </c>
      <c r="G24" s="5">
        <v>1.1550701247587212</v>
      </c>
      <c r="H24" s="5">
        <v>1.1514312226194332</v>
      </c>
      <c r="I24" s="5">
        <v>1.3333348160091227</v>
      </c>
      <c r="J24" s="5">
        <v>1.105180552243507</v>
      </c>
      <c r="K24" s="5">
        <v>1.0203751195416915</v>
      </c>
      <c r="L24" s="5">
        <v>0.98842525254064906</v>
      </c>
      <c r="M24" s="5">
        <v>1.2168305707699814</v>
      </c>
      <c r="N24" s="5">
        <v>2.0914853838643221</v>
      </c>
      <c r="O24" s="5">
        <v>1.4202655246850358</v>
      </c>
      <c r="P24" s="5">
        <v>1.1136500778284772</v>
      </c>
      <c r="S24" s="9" t="s">
        <v>442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M24" s="9" t="s">
        <v>442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5">
      <c r="A25" s="4" t="s">
        <v>200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S25" s="8" t="s">
        <v>200</v>
      </c>
      <c r="T25">
        <v>1</v>
      </c>
      <c r="U25">
        <v>5</v>
      </c>
      <c r="V25">
        <v>2</v>
      </c>
      <c r="W25">
        <v>2</v>
      </c>
      <c r="X25">
        <v>3</v>
      </c>
      <c r="Y25">
        <v>1</v>
      </c>
      <c r="Z25">
        <v>4</v>
      </c>
      <c r="AA25">
        <v>5</v>
      </c>
      <c r="AB25">
        <v>1</v>
      </c>
      <c r="AC25">
        <v>5</v>
      </c>
      <c r="AD25">
        <v>2</v>
      </c>
      <c r="AE25">
        <v>2</v>
      </c>
      <c r="AF25">
        <v>5</v>
      </c>
      <c r="AG25">
        <v>4</v>
      </c>
      <c r="AH25">
        <v>4</v>
      </c>
      <c r="AI25">
        <v>46</v>
      </c>
      <c r="AM25" s="8" t="s">
        <v>200</v>
      </c>
      <c r="AN25">
        <v>1</v>
      </c>
      <c r="AO25">
        <v>5</v>
      </c>
      <c r="AP25">
        <v>1</v>
      </c>
      <c r="AQ25">
        <v>2</v>
      </c>
      <c r="AR25">
        <v>3</v>
      </c>
      <c r="AS25">
        <v>0</v>
      </c>
      <c r="AT25">
        <v>3</v>
      </c>
      <c r="AU25">
        <v>5</v>
      </c>
      <c r="AV25">
        <v>1</v>
      </c>
      <c r="AW25">
        <v>5</v>
      </c>
      <c r="AX25">
        <v>1</v>
      </c>
      <c r="AY25">
        <v>2</v>
      </c>
      <c r="AZ25">
        <v>5</v>
      </c>
      <c r="BA25">
        <v>4</v>
      </c>
      <c r="BB25">
        <v>4</v>
      </c>
      <c r="BC25">
        <v>42</v>
      </c>
    </row>
    <row r="26" spans="1:55" x14ac:dyDescent="0.25">
      <c r="A26" s="6" t="s">
        <v>447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S26" s="9" t="s">
        <v>447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M26" s="9" t="s">
        <v>447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s="6" t="s">
        <v>446</v>
      </c>
      <c r="B27" s="5">
        <v>1.1202015763596647</v>
      </c>
      <c r="C27" s="5">
        <v>1.0137548083483845</v>
      </c>
      <c r="D27" s="5">
        <v>1.0203724266867991</v>
      </c>
      <c r="E27" s="5">
        <v>1.0354988012989605</v>
      </c>
      <c r="F27" s="5">
        <v>0.99140485621558672</v>
      </c>
      <c r="G27" s="5">
        <v>0.98382160621712134</v>
      </c>
      <c r="H27" s="5">
        <v>0.89824093526852133</v>
      </c>
      <c r="I27" s="5">
        <v>0.99538461239842335</v>
      </c>
      <c r="J27" s="5">
        <v>1.0617261099422892</v>
      </c>
      <c r="K27" s="5">
        <v>0.98146613877793887</v>
      </c>
      <c r="L27" s="5">
        <v>0.9612697178630214</v>
      </c>
      <c r="M27" s="5">
        <v>0.91543634769424131</v>
      </c>
      <c r="N27" s="5">
        <v>1.197388575421747</v>
      </c>
      <c r="O27" s="5">
        <v>1.0309576941409297</v>
      </c>
      <c r="P27" s="5">
        <v>0.95669447305591693</v>
      </c>
      <c r="S27" s="9" t="s">
        <v>446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5</v>
      </c>
      <c r="AM27" s="9" t="s">
        <v>446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4</v>
      </c>
    </row>
    <row r="28" spans="1:55" x14ac:dyDescent="0.25">
      <c r="A28" s="6" t="s">
        <v>438</v>
      </c>
      <c r="B28" s="5">
        <v>0.94125201234078881</v>
      </c>
      <c r="C28" s="5">
        <v>0.9002037119415135</v>
      </c>
      <c r="D28" s="5">
        <v>1.1079201946498569</v>
      </c>
      <c r="E28" s="5">
        <v>0.89658693179122184</v>
      </c>
      <c r="F28" s="5">
        <v>1.0426674838563375</v>
      </c>
      <c r="G28" s="5">
        <v>1.1398743975084491</v>
      </c>
      <c r="H28" s="5">
        <v>0.9721635834503134</v>
      </c>
      <c r="I28" s="5">
        <v>0.92406022390052234</v>
      </c>
      <c r="J28" s="5">
        <v>1.152629735211274</v>
      </c>
      <c r="K28" s="5">
        <v>0.92444026401605084</v>
      </c>
      <c r="L28" s="5">
        <v>0.99103314354230088</v>
      </c>
      <c r="M28" s="5">
        <v>1.0181829099803728</v>
      </c>
      <c r="N28" s="5">
        <v>0.94954922663727959</v>
      </c>
      <c r="O28" s="5">
        <v>0.7817672297164675</v>
      </c>
      <c r="P28" s="5">
        <v>0.97073840990729687</v>
      </c>
      <c r="S28" s="9" t="s">
        <v>438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6</v>
      </c>
      <c r="AM28" s="9" t="s">
        <v>438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6</v>
      </c>
    </row>
    <row r="29" spans="1:55" x14ac:dyDescent="0.25">
      <c r="A29" s="6" t="s">
        <v>448</v>
      </c>
      <c r="B29" s="5">
        <v>0.9894893265499094</v>
      </c>
      <c r="C29" s="5">
        <v>0.93372063848413023</v>
      </c>
      <c r="D29" s="5">
        <v>0.97630316455531185</v>
      </c>
      <c r="E29" s="5">
        <v>1.0528780921796925</v>
      </c>
      <c r="F29" s="5">
        <v>0.96010999749392756</v>
      </c>
      <c r="G29" s="5">
        <v>1.0592489237197344</v>
      </c>
      <c r="H29" s="5">
        <v>0.96144716189763091</v>
      </c>
      <c r="I29" s="5">
        <v>0.88188735605167778</v>
      </c>
      <c r="J29" s="5">
        <v>1.0500767855093374</v>
      </c>
      <c r="K29" s="5">
        <v>0.93665414147408588</v>
      </c>
      <c r="L29" s="5">
        <v>0.97192840092090083</v>
      </c>
      <c r="M29" s="5">
        <v>1.0002505982341161</v>
      </c>
      <c r="N29" s="5">
        <v>0.93222314416501373</v>
      </c>
      <c r="O29" s="5">
        <v>0.85286063212151175</v>
      </c>
      <c r="P29" s="5">
        <v>0.98963524437686756</v>
      </c>
      <c r="S29" s="9" t="s">
        <v>448</v>
      </c>
      <c r="T29">
        <v>0</v>
      </c>
      <c r="U29">
        <v>1</v>
      </c>
      <c r="V29">
        <v>1</v>
      </c>
      <c r="W29">
        <v>0</v>
      </c>
      <c r="X29">
        <v>1</v>
      </c>
      <c r="Y29">
        <v>0</v>
      </c>
      <c r="Z29">
        <v>1</v>
      </c>
      <c r="AA29">
        <v>1</v>
      </c>
      <c r="AB29">
        <v>0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9</v>
      </c>
      <c r="AM29" s="9" t="s">
        <v>448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0</v>
      </c>
      <c r="BC29">
        <v>8</v>
      </c>
    </row>
    <row r="30" spans="1:55" x14ac:dyDescent="0.25">
      <c r="A30" s="6" t="s">
        <v>454</v>
      </c>
      <c r="B30" s="5">
        <v>0.41437382033802139</v>
      </c>
      <c r="C30" s="5">
        <v>0.74960853040567899</v>
      </c>
      <c r="D30" s="5">
        <v>0.87796796100387842</v>
      </c>
      <c r="E30" s="5">
        <v>0.14802812441151317</v>
      </c>
      <c r="F30" s="5">
        <v>0.82892827940143532</v>
      </c>
      <c r="G30" s="5">
        <v>0.97477590748727483</v>
      </c>
      <c r="H30" s="5">
        <v>0.80924776118773123</v>
      </c>
      <c r="I30" s="5">
        <v>0.73318589989655958</v>
      </c>
      <c r="J30" s="5">
        <v>0.94489711579928037</v>
      </c>
      <c r="K30" s="5">
        <v>0.72914704781182338</v>
      </c>
      <c r="L30" s="5">
        <v>0.77630825216791055</v>
      </c>
      <c r="M30" s="5">
        <v>0.82003302685431223</v>
      </c>
      <c r="N30" s="5">
        <v>0.55062513761426646</v>
      </c>
      <c r="O30" s="5">
        <v>0.46111857590504907</v>
      </c>
      <c r="P30" s="5">
        <v>0.79305943459437744</v>
      </c>
      <c r="S30" s="9" t="s">
        <v>454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13</v>
      </c>
      <c r="AM30" s="9" t="s">
        <v>454</v>
      </c>
      <c r="AN30">
        <v>1</v>
      </c>
      <c r="AO30">
        <v>1</v>
      </c>
      <c r="AP30">
        <v>1</v>
      </c>
      <c r="AQ30">
        <v>1</v>
      </c>
      <c r="AR30">
        <v>1</v>
      </c>
      <c r="AT30">
        <v>0</v>
      </c>
      <c r="AU30">
        <v>1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1</v>
      </c>
      <c r="BB30">
        <v>1</v>
      </c>
      <c r="BC30">
        <v>12</v>
      </c>
    </row>
    <row r="31" spans="1:55" x14ac:dyDescent="0.25">
      <c r="A31" s="6" t="s">
        <v>439</v>
      </c>
      <c r="B31" s="5">
        <v>1.3010556218631333</v>
      </c>
      <c r="C31" s="5">
        <v>1.1941410315616419</v>
      </c>
      <c r="D31" s="5">
        <v>1.179270840301627</v>
      </c>
      <c r="E31" s="5">
        <v>1.5592305087367084</v>
      </c>
      <c r="F31" s="5">
        <v>1.6989404873543736</v>
      </c>
      <c r="G31" s="5">
        <v>1.6305185612839248</v>
      </c>
      <c r="H31" s="5">
        <v>1.7003472128862758</v>
      </c>
      <c r="I31" s="5">
        <v>1.0756853054432201</v>
      </c>
      <c r="J31" s="5">
        <v>2.000435998758157</v>
      </c>
      <c r="K31" s="5">
        <v>1.8696981665457406</v>
      </c>
      <c r="L31" s="5">
        <v>0.98184876307537083</v>
      </c>
      <c r="M31" s="5">
        <v>1.6172695463114348</v>
      </c>
      <c r="N31" s="5">
        <v>0.61376901911208925</v>
      </c>
      <c r="O31" s="5">
        <v>2.0921693892416413</v>
      </c>
      <c r="P31" s="5">
        <v>1.3518074335703119</v>
      </c>
      <c r="S31" s="9" t="s">
        <v>439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M31" s="9" t="s">
        <v>439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1</v>
      </c>
    </row>
    <row r="32" spans="1:55" x14ac:dyDescent="0.25">
      <c r="A32" s="6" t="s">
        <v>440</v>
      </c>
      <c r="B32" s="5">
        <v>0.89800710434193587</v>
      </c>
      <c r="C32" s="5">
        <v>0.81028504756364284</v>
      </c>
      <c r="D32" s="5">
        <v>1.2845512359751343</v>
      </c>
      <c r="E32" s="5">
        <v>1.3384033852667574</v>
      </c>
      <c r="F32" s="5">
        <v>0.87239820006359847</v>
      </c>
      <c r="G32" s="5">
        <v>0.9782416660309865</v>
      </c>
      <c r="H32" s="5">
        <v>0.66601590036467873</v>
      </c>
      <c r="I32" s="5">
        <v>0.77289579822350929</v>
      </c>
      <c r="J32" s="5">
        <v>1.0653332401141067</v>
      </c>
      <c r="K32" s="5">
        <v>0.81601495928607759</v>
      </c>
      <c r="L32" s="5">
        <v>0.97921537798450053</v>
      </c>
      <c r="M32" s="5">
        <v>1.1237825668610828</v>
      </c>
      <c r="N32" s="5">
        <v>0.95532372440240643</v>
      </c>
      <c r="O32" s="5">
        <v>0.54042258651575648</v>
      </c>
      <c r="P32" s="5">
        <v>0.88612219202764075</v>
      </c>
      <c r="S32" s="9" t="s">
        <v>440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7</v>
      </c>
      <c r="AM32" s="9" t="s">
        <v>440</v>
      </c>
      <c r="AN32">
        <v>0</v>
      </c>
      <c r="AO32">
        <v>1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7</v>
      </c>
    </row>
    <row r="33" spans="1:55" x14ac:dyDescent="0.25">
      <c r="A33" s="6" t="s">
        <v>441</v>
      </c>
      <c r="B33" s="5">
        <v>1.0098517165448546</v>
      </c>
      <c r="C33" s="5">
        <v>0.88223592537114948</v>
      </c>
      <c r="D33" s="5">
        <v>0.92050754390692668</v>
      </c>
      <c r="E33" s="5">
        <v>1.3961558960841818</v>
      </c>
      <c r="F33" s="5">
        <v>1.0171912673396828</v>
      </c>
      <c r="G33" s="5">
        <v>1.0752707215395425</v>
      </c>
      <c r="H33" s="5">
        <v>1.0203649514000783</v>
      </c>
      <c r="I33" s="5">
        <v>0.81622682772291222</v>
      </c>
      <c r="J33" s="5">
        <v>1.25069566591295</v>
      </c>
      <c r="K33" s="5">
        <v>1.1146873463356306</v>
      </c>
      <c r="L33" s="5">
        <v>0.99575042864027141</v>
      </c>
      <c r="M33" s="5">
        <v>1.1109597062727841</v>
      </c>
      <c r="N33" s="5">
        <v>0.68681583646775402</v>
      </c>
      <c r="O33" s="5">
        <v>1.0915727660740564</v>
      </c>
      <c r="P33" s="5">
        <v>0.89776782504114838</v>
      </c>
      <c r="S33" s="9" t="s">
        <v>441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4</v>
      </c>
      <c r="AM33" s="9" t="s">
        <v>441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1</v>
      </c>
      <c r="BC33">
        <v>4</v>
      </c>
    </row>
    <row r="34" spans="1:55" x14ac:dyDescent="0.25">
      <c r="A34" s="6" t="s">
        <v>442</v>
      </c>
      <c r="B34" s="5">
        <v>1.3812906912453982</v>
      </c>
      <c r="C34" s="5">
        <v>1.3288014713721457</v>
      </c>
      <c r="D34" s="5">
        <v>1.3622477998193732</v>
      </c>
      <c r="E34" s="5">
        <v>1.5904165802833734</v>
      </c>
      <c r="F34" s="5">
        <v>1.4701297087470653</v>
      </c>
      <c r="G34" s="5">
        <v>1.2317361440526946</v>
      </c>
      <c r="H34" s="5">
        <v>1.5894903177137845</v>
      </c>
      <c r="I34" s="5">
        <v>1.2189733725117686</v>
      </c>
      <c r="J34" s="5">
        <v>2.0165777501332705</v>
      </c>
      <c r="K34" s="5">
        <v>1.4524471767451597</v>
      </c>
      <c r="L34" s="5">
        <v>0.91976998267322552</v>
      </c>
      <c r="M34" s="5">
        <v>1.3682716979020249</v>
      </c>
      <c r="N34" s="5">
        <v>2.135750557308723</v>
      </c>
      <c r="O34" s="5">
        <v>1.5325546941796055</v>
      </c>
      <c r="P34" s="5">
        <v>1.198240878851704</v>
      </c>
      <c r="S34" s="9" t="s">
        <v>442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M34" s="9" t="s">
        <v>442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25">
      <c r="S35" s="8" t="s">
        <v>434</v>
      </c>
      <c r="T35">
        <v>2</v>
      </c>
      <c r="U35">
        <v>6</v>
      </c>
      <c r="V35">
        <v>5</v>
      </c>
      <c r="W35">
        <v>5</v>
      </c>
      <c r="X35">
        <v>7</v>
      </c>
      <c r="Y35">
        <v>4</v>
      </c>
      <c r="Z35">
        <v>5</v>
      </c>
      <c r="AA35">
        <v>6</v>
      </c>
      <c r="AB35">
        <v>2</v>
      </c>
      <c r="AC35">
        <v>8</v>
      </c>
      <c r="AD35">
        <v>2</v>
      </c>
      <c r="AE35">
        <v>3</v>
      </c>
      <c r="AF35">
        <v>6</v>
      </c>
      <c r="AG35">
        <v>9</v>
      </c>
      <c r="AH35">
        <v>4</v>
      </c>
      <c r="AI35">
        <v>74</v>
      </c>
      <c r="AM35" s="8" t="s">
        <v>434</v>
      </c>
      <c r="AN35">
        <v>2</v>
      </c>
      <c r="AO35">
        <v>6</v>
      </c>
      <c r="AP35">
        <v>3</v>
      </c>
      <c r="AQ35">
        <v>5</v>
      </c>
      <c r="AR35">
        <v>7</v>
      </c>
      <c r="AS35">
        <v>1</v>
      </c>
      <c r="AT35">
        <v>3</v>
      </c>
      <c r="AU35">
        <v>5</v>
      </c>
      <c r="AV35">
        <v>2</v>
      </c>
      <c r="AW35">
        <v>5</v>
      </c>
      <c r="AX35">
        <v>1</v>
      </c>
      <c r="AY35">
        <v>3</v>
      </c>
      <c r="AZ35">
        <v>5</v>
      </c>
      <c r="BA35">
        <v>9</v>
      </c>
      <c r="BB35">
        <v>4</v>
      </c>
      <c r="BC35">
        <v>61</v>
      </c>
    </row>
  </sheetData>
  <pageMargins left="0.7" right="0.7" top="0.75" bottom="0.75" header="0.3" footer="0.3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F363-99A4-4B54-A854-AFA62941A450}">
  <dimension ref="B2:T32"/>
  <sheetViews>
    <sheetView workbookViewId="0">
      <selection activeCell="T8" sqref="T8:T28"/>
    </sheetView>
  </sheetViews>
  <sheetFormatPr defaultRowHeight="15" x14ac:dyDescent="0.25"/>
  <cols>
    <col min="2" max="2" width="13.7109375" customWidth="1"/>
    <col min="3" max="10" width="6.42578125" bestFit="1" customWidth="1"/>
    <col min="11" max="11" width="5.42578125" bestFit="1" customWidth="1"/>
    <col min="12" max="17" width="6.42578125" bestFit="1" customWidth="1"/>
    <col min="18" max="18" width="6.7109375" customWidth="1"/>
  </cols>
  <sheetData>
    <row r="2" spans="2:20" x14ac:dyDescent="0.25">
      <c r="B2" s="11" t="s">
        <v>435</v>
      </c>
      <c r="C2" s="12" t="str">
        <f>rmsfe_Pivot_T4!B4</f>
        <v>AG</v>
      </c>
      <c r="D2" s="12" t="str">
        <f>rmsfe_Pivot_T4!C4</f>
        <v>AT</v>
      </c>
      <c r="E2" s="12" t="str">
        <f>rmsfe_Pivot_T4!D4</f>
        <v>AU</v>
      </c>
      <c r="F2" s="12" t="str">
        <f>rmsfe_Pivot_T4!E4</f>
        <v>BR</v>
      </c>
      <c r="G2" s="12" t="str">
        <f>rmsfe_Pivot_T4!F4</f>
        <v>CA</v>
      </c>
      <c r="H2" s="12" t="str">
        <f>rmsfe_Pivot_T4!G4</f>
        <v>CH</v>
      </c>
      <c r="I2" s="12" t="str">
        <f>rmsfe_Pivot_T4!H4</f>
        <v>CN</v>
      </c>
      <c r="J2" s="12" t="str">
        <f>rmsfe_Pivot_T4!I4</f>
        <v>DE</v>
      </c>
      <c r="K2" s="12" t="str">
        <f>rmsfe_Pivot_T4!J4</f>
        <v>FR</v>
      </c>
      <c r="L2" s="12" t="str">
        <f>rmsfe_Pivot_T4!K4</f>
        <v>GB</v>
      </c>
      <c r="M2" s="12" t="str">
        <f>rmsfe_Pivot_T4!L4</f>
        <v>IN</v>
      </c>
      <c r="N2" s="12" t="str">
        <f>rmsfe_Pivot_T4!M4</f>
        <v>IT</v>
      </c>
      <c r="O2" s="12" t="str">
        <f>rmsfe_Pivot_T4!N4</f>
        <v>JP</v>
      </c>
      <c r="P2" s="12" t="str">
        <f>rmsfe_Pivot_T4!O4</f>
        <v>MX</v>
      </c>
      <c r="Q2" s="12" t="str">
        <f>rmsfe_Pivot_T4!P4</f>
        <v>US</v>
      </c>
      <c r="R2" s="11"/>
    </row>
    <row r="3" spans="2:20" x14ac:dyDescent="0.25">
      <c r="B3" s="13" t="s">
        <v>443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2:20" x14ac:dyDescent="0.25">
      <c r="B4" t="str">
        <f>rmsfe_Pivot_T4!A6</f>
        <v>ZS</v>
      </c>
      <c r="C4" s="14" t="str">
        <f>ROUND(rmsfe_Pivot_T4!B6,2)&amp;IF(rmsfe_Pivot_T4!AN6=1,"**",IF(rmsfe_Pivot_T4!T6=1,"*",""))</f>
        <v>1</v>
      </c>
      <c r="D4" s="14" t="str">
        <f>ROUND(rmsfe_Pivot_T4!C6,2)&amp;IF(rmsfe_Pivot_T4!AO6=1,"**",IF(rmsfe_Pivot_T4!U6=1,"*",""))</f>
        <v>1</v>
      </c>
      <c r="E4" s="14" t="str">
        <f>ROUND(rmsfe_Pivot_T4!D6,2)&amp;IF(rmsfe_Pivot_T4!AP6=1,"**",IF(rmsfe_Pivot_T4!V6=1,"*",""))</f>
        <v>1</v>
      </c>
      <c r="F4" s="14" t="str">
        <f>ROUND(rmsfe_Pivot_T4!E6,2)&amp;IF(rmsfe_Pivot_T4!AQ6=1,"**",IF(rmsfe_Pivot_T4!W6=1,"*",""))</f>
        <v>1</v>
      </c>
      <c r="G4" s="14" t="str">
        <f>ROUND(rmsfe_Pivot_T4!F6,2)&amp;IF(rmsfe_Pivot_T4!AR6=1,"**",IF(rmsfe_Pivot_T4!X6=1,"*",""))</f>
        <v>1</v>
      </c>
      <c r="H4" s="14" t="str">
        <f>ROUND(rmsfe_Pivot_T4!G6,2)&amp;IF(rmsfe_Pivot_T4!AS6=1,"**",IF(rmsfe_Pivot_T4!Y6=1,"*",""))</f>
        <v>1</v>
      </c>
      <c r="I4" s="14" t="str">
        <f>ROUND(rmsfe_Pivot_T4!H6,2)&amp;IF(rmsfe_Pivot_T4!AT6=1,"**",IF(rmsfe_Pivot_T4!Z6=1,"*",""))</f>
        <v>1</v>
      </c>
      <c r="J4" s="14" t="str">
        <f>ROUND(rmsfe_Pivot_T4!I6,2)&amp;IF(rmsfe_Pivot_T4!AU6=1,"**",IF(rmsfe_Pivot_T4!AA6=1,"*",""))</f>
        <v>1</v>
      </c>
      <c r="K4" s="14" t="str">
        <f>ROUND(rmsfe_Pivot_T4!J6,2)&amp;IF(rmsfe_Pivot_T4!AV6=1,"**",IF(rmsfe_Pivot_T4!AB6=1,"*",""))</f>
        <v>1</v>
      </c>
      <c r="L4" s="14" t="str">
        <f>ROUND(rmsfe_Pivot_T4!K6,2)&amp;IF(rmsfe_Pivot_T4!AW6=1,"**",IF(rmsfe_Pivot_T4!AC6=1,"*",""))</f>
        <v>1</v>
      </c>
      <c r="M4" s="14" t="str">
        <f>ROUND(rmsfe_Pivot_T4!L6,2)&amp;IF(rmsfe_Pivot_T4!AX6=1,"**",IF(rmsfe_Pivot_T4!AD6=1,"*",""))</f>
        <v>1</v>
      </c>
      <c r="N4" s="14" t="str">
        <f>ROUND(rmsfe_Pivot_T4!M6,2)&amp;IF(rmsfe_Pivot_T4!AY6=1,"**",IF(rmsfe_Pivot_T4!AE6=1,"*",""))</f>
        <v>1</v>
      </c>
      <c r="O4" s="14" t="str">
        <f>ROUND(rmsfe_Pivot_T4!N6,2)&amp;IF(rmsfe_Pivot_T4!AZ6=1,"**",IF(rmsfe_Pivot_T4!AF6=1,"*",""))</f>
        <v>1</v>
      </c>
      <c r="P4" s="14" t="str">
        <f>ROUND(rmsfe_Pivot_T4!O6,2)&amp;IF(rmsfe_Pivot_T4!BA6=1,"**",IF(rmsfe_Pivot_T4!AG6=1,"*",""))</f>
        <v>1</v>
      </c>
      <c r="Q4" s="14" t="str">
        <f>ROUND(rmsfe_Pivot_T4!P6,2)&amp;IF(rmsfe_Pivot_T4!BB6=1,"**",IF(rmsfe_Pivot_T4!AH6=1,"*",""))</f>
        <v>1</v>
      </c>
    </row>
    <row r="5" spans="2:20" x14ac:dyDescent="0.25">
      <c r="B5" t="str">
        <f>rmsfe_Pivot_T4!A7</f>
        <v>ZS\&amp;POOL</v>
      </c>
      <c r="C5" s="14" t="str">
        <f>ROUND(rmsfe_Pivot_T4!B7,2)&amp;IF(rmsfe_Pivot_T4!AN7=1,"**",IF(rmsfe_Pivot_T4!T7=1,"*",""))</f>
        <v>0,99**</v>
      </c>
      <c r="D5" s="14" t="str">
        <f>ROUND(rmsfe_Pivot_T4!C7,2)&amp;IF(rmsfe_Pivot_T4!AO7=1,"**",IF(rmsfe_Pivot_T4!U7=1,"*",""))</f>
        <v>1</v>
      </c>
      <c r="E5" s="14" t="str">
        <f>ROUND(rmsfe_Pivot_T4!D7,2)&amp;IF(rmsfe_Pivot_T4!AP7=1,"**",IF(rmsfe_Pivot_T4!V7=1,"*",""))</f>
        <v>0,96**</v>
      </c>
      <c r="F5" s="14" t="str">
        <f>ROUND(rmsfe_Pivot_T4!E7,2)&amp;IF(rmsfe_Pivot_T4!AQ7=1,"**",IF(rmsfe_Pivot_T4!W7=1,"*",""))</f>
        <v>0,98</v>
      </c>
      <c r="G5" s="14" t="str">
        <f>ROUND(rmsfe_Pivot_T4!F7,2)&amp;IF(rmsfe_Pivot_T4!AR7=1,"**",IF(rmsfe_Pivot_T4!X7=1,"*",""))</f>
        <v>0,94**</v>
      </c>
      <c r="H5" s="14" t="str">
        <f>ROUND(rmsfe_Pivot_T4!G7,2)&amp;IF(rmsfe_Pivot_T4!AS7=1,"**",IF(rmsfe_Pivot_T4!Y7=1,"*",""))</f>
        <v>1</v>
      </c>
      <c r="I5" s="14" t="str">
        <f>ROUND(rmsfe_Pivot_T4!H7,2)&amp;IF(rmsfe_Pivot_T4!AT7=1,"**",IF(rmsfe_Pivot_T4!Z7=1,"*",""))</f>
        <v>1,03</v>
      </c>
      <c r="J5" s="14" t="str">
        <f>ROUND(rmsfe_Pivot_T4!I7,2)&amp;IF(rmsfe_Pivot_T4!AU7=1,"**",IF(rmsfe_Pivot_T4!AA7=1,"*",""))</f>
        <v>0,97*</v>
      </c>
      <c r="K5" s="14" t="str">
        <f>ROUND(rmsfe_Pivot_T4!J7,2)&amp;IF(rmsfe_Pivot_T4!AV7=1,"**",IF(rmsfe_Pivot_T4!AB7=1,"*",""))</f>
        <v>1</v>
      </c>
      <c r="L5" s="14" t="str">
        <f>ROUND(rmsfe_Pivot_T4!K7,2)&amp;IF(rmsfe_Pivot_T4!AW7=1,"**",IF(rmsfe_Pivot_T4!AC7=1,"*",""))</f>
        <v>0,99</v>
      </c>
      <c r="M5" s="14" t="str">
        <f>ROUND(rmsfe_Pivot_T4!L7,2)&amp;IF(rmsfe_Pivot_T4!AX7=1,"**",IF(rmsfe_Pivot_T4!AD7=1,"*",""))</f>
        <v>1</v>
      </c>
      <c r="N5" s="14" t="str">
        <f>ROUND(rmsfe_Pivot_T4!M7,2)&amp;IF(rmsfe_Pivot_T4!AY7=1,"**",IF(rmsfe_Pivot_T4!AE7=1,"*",""))</f>
        <v>1</v>
      </c>
      <c r="O5" s="14" t="str">
        <f>ROUND(rmsfe_Pivot_T4!N7,2)&amp;IF(rmsfe_Pivot_T4!AZ7=1,"**",IF(rmsfe_Pivot_T4!AF7=1,"*",""))</f>
        <v>0,98</v>
      </c>
      <c r="P5" s="14" t="str">
        <f>ROUND(rmsfe_Pivot_T4!O7,2)&amp;IF(rmsfe_Pivot_T4!BA7=1,"**",IF(rmsfe_Pivot_T4!AG7=1,"*",""))</f>
        <v>1</v>
      </c>
      <c r="Q5" s="14" t="str">
        <f>ROUND(rmsfe_Pivot_T4!P7,2)&amp;IF(rmsfe_Pivot_T4!BB7=1,"**",IF(rmsfe_Pivot_T4!AH7=1,"*",""))</f>
        <v>1</v>
      </c>
      <c r="R5" s="15" t="str">
        <f>rmsfe_Pivot_T4!AI7&amp;"/"&amp;rmsfe_Pivot_T4!BC7</f>
        <v>4/3</v>
      </c>
    </row>
    <row r="6" spans="2:20" x14ac:dyDescent="0.25">
      <c r="B6" t="str">
        <f>rmsfe_Pivot_T4!A8</f>
        <v>POOL</v>
      </c>
      <c r="C6" s="14" t="str">
        <f>ROUND(rmsfe_Pivot_T4!B8,2)&amp;IF(rmsfe_Pivot_T4!AN8=1,"**",IF(rmsfe_Pivot_T4!T8=1,"*",""))</f>
        <v>0,99**</v>
      </c>
      <c r="D6" s="14" t="str">
        <f>ROUND(rmsfe_Pivot_T4!C8,2)&amp;IF(rmsfe_Pivot_T4!AO8=1,"**",IF(rmsfe_Pivot_T4!U8=1,"*",""))</f>
        <v>1</v>
      </c>
      <c r="E6" s="14" t="str">
        <f>ROUND(rmsfe_Pivot_T4!D8,2)&amp;IF(rmsfe_Pivot_T4!AP8=1,"**",IF(rmsfe_Pivot_T4!V8=1,"*",""))</f>
        <v>1,03</v>
      </c>
      <c r="F6" s="14" t="str">
        <f>ROUND(rmsfe_Pivot_T4!E8,2)&amp;IF(rmsfe_Pivot_T4!AQ8=1,"**",IF(rmsfe_Pivot_T4!W8=1,"*",""))</f>
        <v>0,99**</v>
      </c>
      <c r="G6" s="14" t="str">
        <f>ROUND(rmsfe_Pivot_T4!F8,2)&amp;IF(rmsfe_Pivot_T4!AR8=1,"**",IF(rmsfe_Pivot_T4!X8=1,"*",""))</f>
        <v>1,01</v>
      </c>
      <c r="H6" s="14" t="str">
        <f>ROUND(rmsfe_Pivot_T4!G8,2)&amp;IF(rmsfe_Pivot_T4!AS8=1,"**",IF(rmsfe_Pivot_T4!Y8=1,"*",""))</f>
        <v>1,02</v>
      </c>
      <c r="I6" s="14" t="str">
        <f>ROUND(rmsfe_Pivot_T4!H8,2)&amp;IF(rmsfe_Pivot_T4!AT8=1,"**",IF(rmsfe_Pivot_T4!Z8=1,"*",""))</f>
        <v>1,01</v>
      </c>
      <c r="J6" s="14" t="str">
        <f>ROUND(rmsfe_Pivot_T4!I8,2)&amp;IF(rmsfe_Pivot_T4!AU8=1,"**",IF(rmsfe_Pivot_T4!AA8=1,"*",""))</f>
        <v>0,99</v>
      </c>
      <c r="K6" s="14" t="str">
        <f>ROUND(rmsfe_Pivot_T4!J8,2)&amp;IF(rmsfe_Pivot_T4!AV8=1,"**",IF(rmsfe_Pivot_T4!AB8=1,"*",""))</f>
        <v>1,04</v>
      </c>
      <c r="L6" s="14" t="str">
        <f>ROUND(rmsfe_Pivot_T4!K8,2)&amp;IF(rmsfe_Pivot_T4!AW8=1,"**",IF(rmsfe_Pivot_T4!AC8=1,"*",""))</f>
        <v>0,99</v>
      </c>
      <c r="M6" s="14" t="str">
        <f>ROUND(rmsfe_Pivot_T4!L8,2)&amp;IF(rmsfe_Pivot_T4!AX8=1,"**",IF(rmsfe_Pivot_T4!AD8=1,"*",""))</f>
        <v>0,99</v>
      </c>
      <c r="N6" s="14" t="str">
        <f>ROUND(rmsfe_Pivot_T4!M8,2)&amp;IF(rmsfe_Pivot_T4!AY8=1,"**",IF(rmsfe_Pivot_T4!AE8=1,"*",""))</f>
        <v>0,97*</v>
      </c>
      <c r="O6" s="14" t="str">
        <f>ROUND(rmsfe_Pivot_T4!N8,2)&amp;IF(rmsfe_Pivot_T4!AZ8=1,"**",IF(rmsfe_Pivot_T4!AF8=1,"*",""))</f>
        <v>0,94*</v>
      </c>
      <c r="P6" s="14" t="str">
        <f>ROUND(rmsfe_Pivot_T4!O8,2)&amp;IF(rmsfe_Pivot_T4!BA8=1,"**",IF(rmsfe_Pivot_T4!AG8=1,"*",""))</f>
        <v>1</v>
      </c>
      <c r="Q6" s="14" t="str">
        <f>ROUND(rmsfe_Pivot_T4!P8,2)&amp;IF(rmsfe_Pivot_T4!BB8=1,"**",IF(rmsfe_Pivot_T4!AH8=1,"*",""))</f>
        <v>1</v>
      </c>
      <c r="R6" s="15" t="str">
        <f>rmsfe_Pivot_T4!AI8&amp;"/"&amp;rmsfe_Pivot_T4!BC8</f>
        <v>4/2</v>
      </c>
    </row>
    <row r="7" spans="2:20" x14ac:dyDescent="0.25">
      <c r="B7" t="str">
        <f>rmsfe_Pivot_T4!A9</f>
        <v>ZSGL</v>
      </c>
      <c r="C7" s="14" t="str">
        <f>ROUND(rmsfe_Pivot_T4!B9,2)&amp;IF(rmsfe_Pivot_T4!AN9=1,"**",IF(rmsfe_Pivot_T4!T9=1,"*",""))</f>
        <v>0,99</v>
      </c>
      <c r="D7" s="14" t="str">
        <f>ROUND(rmsfe_Pivot_T4!C9,2)&amp;IF(rmsfe_Pivot_T4!AO9=1,"**",IF(rmsfe_Pivot_T4!U9=1,"*",""))</f>
        <v>1</v>
      </c>
      <c r="E7" s="14" t="str">
        <f>ROUND(rmsfe_Pivot_T4!D9,2)&amp;IF(rmsfe_Pivot_T4!AP9=1,"**",IF(rmsfe_Pivot_T4!V9=1,"*",""))</f>
        <v>1,01</v>
      </c>
      <c r="F7" s="14" t="str">
        <f>ROUND(rmsfe_Pivot_T4!E9,2)&amp;IF(rmsfe_Pivot_T4!AQ9=1,"**",IF(rmsfe_Pivot_T4!W9=1,"*",""))</f>
        <v>1</v>
      </c>
      <c r="G7" s="14" t="str">
        <f>ROUND(rmsfe_Pivot_T4!F9,2)&amp;IF(rmsfe_Pivot_T4!AR9=1,"**",IF(rmsfe_Pivot_T4!X9=1,"*",""))</f>
        <v>1,03</v>
      </c>
      <c r="H7" s="14" t="str">
        <f>ROUND(rmsfe_Pivot_T4!G9,2)&amp;IF(rmsfe_Pivot_T4!AS9=1,"**",IF(rmsfe_Pivot_T4!Y9=1,"*",""))</f>
        <v>1</v>
      </c>
      <c r="I7" s="14" t="str">
        <f>ROUND(rmsfe_Pivot_T4!H9,2)&amp;IF(rmsfe_Pivot_T4!AT9=1,"**",IF(rmsfe_Pivot_T4!Z9=1,"*",""))</f>
        <v>1</v>
      </c>
      <c r="J7" s="14" t="str">
        <f>ROUND(rmsfe_Pivot_T4!I9,2)&amp;IF(rmsfe_Pivot_T4!AU9=1,"**",IF(rmsfe_Pivot_T4!AA9=1,"*",""))</f>
        <v>0,98</v>
      </c>
      <c r="K7" s="14" t="str">
        <f>ROUND(rmsfe_Pivot_T4!J9,2)&amp;IF(rmsfe_Pivot_T4!AV9=1,"**",IF(rmsfe_Pivot_T4!AB9=1,"*",""))</f>
        <v>1,01</v>
      </c>
      <c r="L7" s="14" t="str">
        <f>ROUND(rmsfe_Pivot_T4!K9,2)&amp;IF(rmsfe_Pivot_T4!AW9=1,"**",IF(rmsfe_Pivot_T4!AC9=1,"*",""))</f>
        <v>1</v>
      </c>
      <c r="M7" s="14" t="str">
        <f>ROUND(rmsfe_Pivot_T4!L9,2)&amp;IF(rmsfe_Pivot_T4!AX9=1,"**",IF(rmsfe_Pivot_T4!AD9=1,"*",""))</f>
        <v>1</v>
      </c>
      <c r="N7" s="14" t="str">
        <f>ROUND(rmsfe_Pivot_T4!M9,2)&amp;IF(rmsfe_Pivot_T4!AY9=1,"**",IF(rmsfe_Pivot_T4!AE9=1,"*",""))</f>
        <v>1</v>
      </c>
      <c r="O7" s="14" t="str">
        <f>ROUND(rmsfe_Pivot_T4!N9,2)&amp;IF(rmsfe_Pivot_T4!AZ9=1,"**",IF(rmsfe_Pivot_T4!AF9=1,"*",""))</f>
        <v>0,97**</v>
      </c>
      <c r="P7" s="14" t="str">
        <f>ROUND(rmsfe_Pivot_T4!O9,2)&amp;IF(rmsfe_Pivot_T4!BA9=1,"**",IF(rmsfe_Pivot_T4!AG9=1,"*",""))</f>
        <v>1</v>
      </c>
      <c r="Q7" s="14" t="str">
        <f>ROUND(rmsfe_Pivot_T4!P9,2)&amp;IF(rmsfe_Pivot_T4!BB9=1,"**",IF(rmsfe_Pivot_T4!AH9=1,"*",""))</f>
        <v>1**</v>
      </c>
      <c r="R7" s="15" t="str">
        <f>rmsfe_Pivot_T4!AI9&amp;"/"&amp;rmsfe_Pivot_T4!BC9</f>
        <v>2/2</v>
      </c>
    </row>
    <row r="8" spans="2:20" x14ac:dyDescent="0.25">
      <c r="B8" t="str">
        <f>rmsfe_Pivot_T4!A10</f>
        <v>J</v>
      </c>
      <c r="C8" s="14" t="str">
        <f>ROUND(rmsfe_Pivot_T4!B10,2)&amp;IF(rmsfe_Pivot_T4!AN10=1,"**",IF(rmsfe_Pivot_T4!T10=1,"*",""))</f>
        <v>0,97</v>
      </c>
      <c r="D8" s="14" t="str">
        <f>ROUND(rmsfe_Pivot_T4!C10,2)&amp;IF(rmsfe_Pivot_T4!AO10=1,"**",IF(rmsfe_Pivot_T4!U10=1,"*",""))</f>
        <v>0,99</v>
      </c>
      <c r="E8" s="14" t="str">
        <f>ROUND(rmsfe_Pivot_T4!D10,2)&amp;IF(rmsfe_Pivot_T4!AP10=1,"**",IF(rmsfe_Pivot_T4!V10=1,"*",""))</f>
        <v>0,93**</v>
      </c>
      <c r="F8" s="14" t="str">
        <f>ROUND(rmsfe_Pivot_T4!E10,2)&amp;IF(rmsfe_Pivot_T4!AQ10=1,"**",IF(rmsfe_Pivot_T4!W10=1,"*",""))</f>
        <v>1,02</v>
      </c>
      <c r="G8" s="14" t="str">
        <f>ROUND(rmsfe_Pivot_T4!F10,2)&amp;IF(rmsfe_Pivot_T4!AR10=1,"**",IF(rmsfe_Pivot_T4!X10=1,"*",""))</f>
        <v>0,92**</v>
      </c>
      <c r="H8" s="14" t="str">
        <f>ROUND(rmsfe_Pivot_T4!G10,2)&amp;IF(rmsfe_Pivot_T4!AS10=1,"**",IF(rmsfe_Pivot_T4!Y10=1,"*",""))</f>
        <v>1</v>
      </c>
      <c r="I8" s="14" t="str">
        <f>ROUND(rmsfe_Pivot_T4!H10,2)&amp;IF(rmsfe_Pivot_T4!AT10=1,"**",IF(rmsfe_Pivot_T4!Z10=1,"*",""))</f>
        <v>1,13</v>
      </c>
      <c r="J8" s="14" t="str">
        <f>ROUND(rmsfe_Pivot_T4!I10,2)&amp;IF(rmsfe_Pivot_T4!AU10=1,"**",IF(rmsfe_Pivot_T4!AA10=1,"*",""))</f>
        <v>0,97*</v>
      </c>
      <c r="K8" s="14" t="str">
        <f>ROUND(rmsfe_Pivot_T4!J10,2)&amp;IF(rmsfe_Pivot_T4!AV10=1,"**",IF(rmsfe_Pivot_T4!AB10=1,"*",""))</f>
        <v>0,99</v>
      </c>
      <c r="L8" s="14" t="str">
        <f>ROUND(rmsfe_Pivot_T4!K10,2)&amp;IF(rmsfe_Pivot_T4!AW10=1,"**",IF(rmsfe_Pivot_T4!AC10=1,"*",""))</f>
        <v>0,99</v>
      </c>
      <c r="M8" s="14" t="str">
        <f>ROUND(rmsfe_Pivot_T4!L10,2)&amp;IF(rmsfe_Pivot_T4!AX10=1,"**",IF(rmsfe_Pivot_T4!AD10=1,"*",""))</f>
        <v>1,04</v>
      </c>
      <c r="N8" s="14" t="str">
        <f>ROUND(rmsfe_Pivot_T4!M10,2)&amp;IF(rmsfe_Pivot_T4!AY10=1,"**",IF(rmsfe_Pivot_T4!AE10=1,"*",""))</f>
        <v>0,98**</v>
      </c>
      <c r="O8" s="14" t="str">
        <f>ROUND(rmsfe_Pivot_T4!N10,2)&amp;IF(rmsfe_Pivot_T4!AZ10=1,"**",IF(rmsfe_Pivot_T4!AF10=1,"*",""))</f>
        <v>0,97</v>
      </c>
      <c r="P8" s="14" t="str">
        <f>ROUND(rmsfe_Pivot_T4!O10,2)&amp;IF(rmsfe_Pivot_T4!BA10=1,"**",IF(rmsfe_Pivot_T4!AG10=1,"*",""))</f>
        <v>0,99</v>
      </c>
      <c r="Q8" s="14" t="str">
        <f>ROUND(rmsfe_Pivot_T4!P10,2)&amp;IF(rmsfe_Pivot_T4!BB10=1,"**",IF(rmsfe_Pivot_T4!AH10=1,"*",""))</f>
        <v>1</v>
      </c>
      <c r="R8" s="15" t="str">
        <f>rmsfe_Pivot_T4!AI10&amp;"/"&amp;rmsfe_Pivot_T4!BC10</f>
        <v>4/3</v>
      </c>
      <c r="T8" t="str">
        <f>B8&amp;"&amp;"&amp;C8&amp;"&amp;"&amp;D8&amp;"&amp;"&amp;E8&amp;"&amp;"&amp;F8&amp;"&amp;"&amp;G8&amp;"&amp;"&amp;H8&amp;"&amp;"&amp;I8&amp;"&amp;"&amp;J8&amp;"&amp;"&amp;K8&amp;"&amp;"&amp;L8&amp;"&amp;"&amp;M8&amp;"&amp;"&amp;N8&amp;"&amp;"&amp;O8&amp;"&amp;"&amp;P8&amp;"&amp;"&amp;Q8&amp;"&amp;"&amp;R8&amp;"\\"</f>
        <v>J&amp;0,97&amp;0,99&amp;0,93**&amp;1,02&amp;0,92**&amp;1&amp;1,13&amp;0,97*&amp;0,99&amp;0,99&amp;1,04&amp;0,98**&amp;0,97&amp;0,99&amp;1&amp;4/3\\</v>
      </c>
    </row>
    <row r="9" spans="2:20" x14ac:dyDescent="0.25">
      <c r="B9" t="str">
        <f>rmsfe_Pivot_T4!A11</f>
        <v>BFCS</v>
      </c>
      <c r="C9" s="14" t="str">
        <f>ROUND(rmsfe_Pivot_T4!B11,2)&amp;IF(rmsfe_Pivot_T4!AN11=1,"**",IF(rmsfe_Pivot_T4!T11=1,"*",""))</f>
        <v>0,99</v>
      </c>
      <c r="D9" s="14" t="str">
        <f>ROUND(rmsfe_Pivot_T4!C11,2)&amp;IF(rmsfe_Pivot_T4!AO11=1,"**",IF(rmsfe_Pivot_T4!U11=1,"*",""))</f>
        <v>0,99</v>
      </c>
      <c r="E9" s="14" t="str">
        <f>ROUND(rmsfe_Pivot_T4!D11,2)&amp;IF(rmsfe_Pivot_T4!AP11=1,"**",IF(rmsfe_Pivot_T4!V11=1,"*",""))</f>
        <v>0,94*</v>
      </c>
      <c r="F9" s="14" t="str">
        <f>ROUND(rmsfe_Pivot_T4!E11,2)&amp;IF(rmsfe_Pivot_T4!AQ11=1,"**",IF(rmsfe_Pivot_T4!W11=1,"*",""))</f>
        <v>0,98</v>
      </c>
      <c r="G9" s="14" t="str">
        <f>ROUND(rmsfe_Pivot_T4!F11,2)&amp;IF(rmsfe_Pivot_T4!AR11=1,"**",IF(rmsfe_Pivot_T4!X11=1,"*",""))</f>
        <v>0,88**</v>
      </c>
      <c r="H9" s="14" t="str">
        <f>ROUND(rmsfe_Pivot_T4!G11,2)&amp;IF(rmsfe_Pivot_T4!AS11=1,"**",IF(rmsfe_Pivot_T4!Y11=1,"*",""))</f>
        <v>1,02</v>
      </c>
      <c r="I9" s="14" t="str">
        <f>ROUND(rmsfe_Pivot_T4!H11,2)&amp;IF(rmsfe_Pivot_T4!AT11=1,"**",IF(rmsfe_Pivot_T4!Z11=1,"*",""))</f>
        <v>1,09</v>
      </c>
      <c r="J9" s="14" t="str">
        <f>ROUND(rmsfe_Pivot_T4!I11,2)&amp;IF(rmsfe_Pivot_T4!AU11=1,"**",IF(rmsfe_Pivot_T4!AA11=1,"*",""))</f>
        <v>0,96*</v>
      </c>
      <c r="K9" s="14" t="str">
        <f>ROUND(rmsfe_Pivot_T4!J11,2)&amp;IF(rmsfe_Pivot_T4!AV11=1,"**",IF(rmsfe_Pivot_T4!AB11=1,"*",""))</f>
        <v>0,97**</v>
      </c>
      <c r="L9" s="14" t="str">
        <f>ROUND(rmsfe_Pivot_T4!K11,2)&amp;IF(rmsfe_Pivot_T4!AW11=1,"**",IF(rmsfe_Pivot_T4!AC11=1,"*",""))</f>
        <v>0,99</v>
      </c>
      <c r="M9" s="14" t="str">
        <f>ROUND(rmsfe_Pivot_T4!L11,2)&amp;IF(rmsfe_Pivot_T4!AX11=1,"**",IF(rmsfe_Pivot_T4!AD11=1,"*",""))</f>
        <v>1,03</v>
      </c>
      <c r="N9" s="14" t="str">
        <f>ROUND(rmsfe_Pivot_T4!M11,2)&amp;IF(rmsfe_Pivot_T4!AY11=1,"**",IF(rmsfe_Pivot_T4!AE11=1,"*",""))</f>
        <v>0,97**</v>
      </c>
      <c r="O9" s="14" t="str">
        <f>ROUND(rmsfe_Pivot_T4!N11,2)&amp;IF(rmsfe_Pivot_T4!AZ11=1,"**",IF(rmsfe_Pivot_T4!AF11=1,"*",""))</f>
        <v>0,99</v>
      </c>
      <c r="P9" s="14" t="str">
        <f>ROUND(rmsfe_Pivot_T4!O11,2)&amp;IF(rmsfe_Pivot_T4!BA11=1,"**",IF(rmsfe_Pivot_T4!AG11=1,"*",""))</f>
        <v>1,04</v>
      </c>
      <c r="Q9" s="14" t="str">
        <f>ROUND(rmsfe_Pivot_T4!P11,2)&amp;IF(rmsfe_Pivot_T4!BB11=1,"**",IF(rmsfe_Pivot_T4!AH11=1,"*",""))</f>
        <v>0,98</v>
      </c>
      <c r="R9" s="15" t="str">
        <f>rmsfe_Pivot_T4!AI11&amp;"/"&amp;rmsfe_Pivot_T4!BC11</f>
        <v>5/3</v>
      </c>
    </row>
    <row r="10" spans="2:20" x14ac:dyDescent="0.25">
      <c r="B10" t="str">
        <f>rmsfe_Pivot_T4!A12</f>
        <v>SSSS</v>
      </c>
      <c r="C10" s="14" t="str">
        <f>ROUND(rmsfe_Pivot_T4!B12,2)&amp;IF(rmsfe_Pivot_T4!AN12=1,"**",IF(rmsfe_Pivot_T4!T12=1,"*",""))</f>
        <v>1,15</v>
      </c>
      <c r="D10" s="14" t="str">
        <f>ROUND(rmsfe_Pivot_T4!C12,2)&amp;IF(rmsfe_Pivot_T4!AO12=1,"**",IF(rmsfe_Pivot_T4!U12=1,"*",""))</f>
        <v>1,05</v>
      </c>
      <c r="E10" s="14" t="str">
        <f>ROUND(rmsfe_Pivot_T4!D12,2)&amp;IF(rmsfe_Pivot_T4!AP12=1,"**",IF(rmsfe_Pivot_T4!V12=1,"*",""))</f>
        <v>1,17</v>
      </c>
      <c r="F10" s="14" t="str">
        <f>ROUND(rmsfe_Pivot_T4!E12,2)&amp;IF(rmsfe_Pivot_T4!AQ12=1,"**",IF(rmsfe_Pivot_T4!W12=1,"*",""))</f>
        <v>8,35</v>
      </c>
      <c r="G10" s="14" t="str">
        <f>ROUND(rmsfe_Pivot_T4!F12,2)&amp;IF(rmsfe_Pivot_T4!AR12=1,"**",IF(rmsfe_Pivot_T4!X12=1,"*",""))</f>
        <v>1,08</v>
      </c>
      <c r="H10" s="14" t="str">
        <f>ROUND(rmsfe_Pivot_T4!G12,2)&amp;IF(rmsfe_Pivot_T4!AS12=1,"**",IF(rmsfe_Pivot_T4!Y12=1,"*",""))</f>
        <v>1,03</v>
      </c>
      <c r="I10" s="14" t="str">
        <f>ROUND(rmsfe_Pivot_T4!H12,2)&amp;IF(rmsfe_Pivot_T4!AT12=1,"**",IF(rmsfe_Pivot_T4!Z12=1,"*",""))</f>
        <v>1,2</v>
      </c>
      <c r="J10" s="14" t="str">
        <f>ROUND(rmsfe_Pivot_T4!I12,2)&amp;IF(rmsfe_Pivot_T4!AU12=1,"**",IF(rmsfe_Pivot_T4!AA12=1,"*",""))</f>
        <v>0,96</v>
      </c>
      <c r="K10" s="14" t="str">
        <f>ROUND(rmsfe_Pivot_T4!J12,2)&amp;IF(rmsfe_Pivot_T4!AV12=1,"**",IF(rmsfe_Pivot_T4!AB12=1,"*",""))</f>
        <v>1,19</v>
      </c>
      <c r="L10" s="14" t="str">
        <f>ROUND(rmsfe_Pivot_T4!K12,2)&amp;IF(rmsfe_Pivot_T4!AW12=1,"**",IF(rmsfe_Pivot_T4!AC12=1,"*",""))</f>
        <v>1,12</v>
      </c>
      <c r="M10" s="14" t="str">
        <f>ROUND(rmsfe_Pivot_T4!L12,2)&amp;IF(rmsfe_Pivot_T4!AX12=1,"**",IF(rmsfe_Pivot_T4!AD12=1,"*",""))</f>
        <v>1,12</v>
      </c>
      <c r="N10" s="14" t="str">
        <f>ROUND(rmsfe_Pivot_T4!M12,2)&amp;IF(rmsfe_Pivot_T4!AY12=1,"**",IF(rmsfe_Pivot_T4!AE12=1,"*",""))</f>
        <v>1,37</v>
      </c>
      <c r="O10" s="14" t="str">
        <f>ROUND(rmsfe_Pivot_T4!N12,2)&amp;IF(rmsfe_Pivot_T4!AZ12=1,"**",IF(rmsfe_Pivot_T4!AF12=1,"*",""))</f>
        <v>0,97</v>
      </c>
      <c r="P10" s="14" t="str">
        <f>ROUND(rmsfe_Pivot_T4!O12,2)&amp;IF(rmsfe_Pivot_T4!BA12=1,"**",IF(rmsfe_Pivot_T4!AG12=1,"*",""))</f>
        <v>2,14</v>
      </c>
      <c r="Q10" s="14" t="str">
        <f>ROUND(rmsfe_Pivot_T4!P12,2)&amp;IF(rmsfe_Pivot_T4!BB12=1,"**",IF(rmsfe_Pivot_T4!AH12=1,"*",""))</f>
        <v>1,03</v>
      </c>
      <c r="R10" s="15" t="str">
        <f>rmsfe_Pivot_T4!AI12&amp;"/"&amp;rmsfe_Pivot_T4!BC12</f>
        <v>0/0</v>
      </c>
    </row>
    <row r="11" spans="2:20" x14ac:dyDescent="0.25">
      <c r="B11" s="11" t="str">
        <f>rmsfe_Pivot_T4!A13</f>
        <v>BMS</v>
      </c>
      <c r="C11" s="16" t="str">
        <f>ROUND(rmsfe_Pivot_T4!B13,2)&amp;IF(rmsfe_Pivot_T4!AN13=1,"**",IF(rmsfe_Pivot_T4!T13=1,"*",""))</f>
        <v>1,09</v>
      </c>
      <c r="D11" s="16" t="str">
        <f>ROUND(rmsfe_Pivot_T4!C13,2)&amp;IF(rmsfe_Pivot_T4!AO13=1,"**",IF(rmsfe_Pivot_T4!U13=1,"*",""))</f>
        <v>0,97</v>
      </c>
      <c r="E11" s="16" t="str">
        <f>ROUND(rmsfe_Pivot_T4!D13,2)&amp;IF(rmsfe_Pivot_T4!AP13=1,"**",IF(rmsfe_Pivot_T4!V13=1,"*",""))</f>
        <v>1,24</v>
      </c>
      <c r="F11" s="16" t="str">
        <f>ROUND(rmsfe_Pivot_T4!E13,2)&amp;IF(rmsfe_Pivot_T4!AQ13=1,"**",IF(rmsfe_Pivot_T4!W13=1,"*",""))</f>
        <v>1,13</v>
      </c>
      <c r="G11" s="16" t="str">
        <f>ROUND(rmsfe_Pivot_T4!F13,2)&amp;IF(rmsfe_Pivot_T4!AR13=1,"**",IF(rmsfe_Pivot_T4!X13=1,"*",""))</f>
        <v>1,05</v>
      </c>
      <c r="H11" s="16" t="str">
        <f>ROUND(rmsfe_Pivot_T4!G13,2)&amp;IF(rmsfe_Pivot_T4!AS13=1,"**",IF(rmsfe_Pivot_T4!Y13=1,"*",""))</f>
        <v>1,08</v>
      </c>
      <c r="I11" s="16" t="str">
        <f>ROUND(rmsfe_Pivot_T4!H13,2)&amp;IF(rmsfe_Pivot_T4!AT13=1,"**",IF(rmsfe_Pivot_T4!Z13=1,"*",""))</f>
        <v>1,13</v>
      </c>
      <c r="J11" s="16" t="str">
        <f>ROUND(rmsfe_Pivot_T4!I13,2)&amp;IF(rmsfe_Pivot_T4!AU13=1,"**",IF(rmsfe_Pivot_T4!AA13=1,"*",""))</f>
        <v>0,97*</v>
      </c>
      <c r="K11" s="16" t="str">
        <f>ROUND(rmsfe_Pivot_T4!J13,2)&amp;IF(rmsfe_Pivot_T4!AV13=1,"**",IF(rmsfe_Pivot_T4!AB13=1,"*",""))</f>
        <v>1,05</v>
      </c>
      <c r="L11" s="16" t="str">
        <f>ROUND(rmsfe_Pivot_T4!K13,2)&amp;IF(rmsfe_Pivot_T4!AW13=1,"**",IF(rmsfe_Pivot_T4!AC13=1,"*",""))</f>
        <v>1,03</v>
      </c>
      <c r="M11" s="16" t="str">
        <f>ROUND(rmsfe_Pivot_T4!L13,2)&amp;IF(rmsfe_Pivot_T4!AX13=1,"**",IF(rmsfe_Pivot_T4!AD13=1,"*",""))</f>
        <v>1,01</v>
      </c>
      <c r="N11" s="16" t="str">
        <f>ROUND(rmsfe_Pivot_T4!M13,2)&amp;IF(rmsfe_Pivot_T4!AY13=1,"**",IF(rmsfe_Pivot_T4!AE13=1,"*",""))</f>
        <v>1</v>
      </c>
      <c r="O11" s="16" t="str">
        <f>ROUND(rmsfe_Pivot_T4!N13,2)&amp;IF(rmsfe_Pivot_T4!AZ13=1,"**",IF(rmsfe_Pivot_T4!AF13=1,"*",""))</f>
        <v>0,96</v>
      </c>
      <c r="P11" s="16" t="str">
        <f>ROUND(rmsfe_Pivot_T4!O13,2)&amp;IF(rmsfe_Pivot_T4!BA13=1,"**",IF(rmsfe_Pivot_T4!AG13=1,"*",""))</f>
        <v>1,02</v>
      </c>
      <c r="Q11" s="16" t="str">
        <f>ROUND(rmsfe_Pivot_T4!P13,2)&amp;IF(rmsfe_Pivot_T4!BB13=1,"**",IF(rmsfe_Pivot_T4!AH13=1,"*",""))</f>
        <v>1,05</v>
      </c>
      <c r="R11" s="17" t="str">
        <f>rmsfe_Pivot_T4!AI13&amp;"/"&amp;rmsfe_Pivot_T4!BC13</f>
        <v>1/0</v>
      </c>
    </row>
    <row r="12" spans="2:20" x14ac:dyDescent="0.25">
      <c r="B12" s="11" t="str">
        <f>rmsfe_Pivot_T4!A14</f>
        <v>CC</v>
      </c>
      <c r="C12" s="16" t="str">
        <f>ROUND(rmsfe_Pivot_T4!B14,2)&amp;IF(rmsfe_Pivot_T4!AN14=1,"**",IF(rmsfe_Pivot_T4!T14=1,"*",""))</f>
        <v>1,45</v>
      </c>
      <c r="D12" s="16" t="str">
        <f>ROUND(rmsfe_Pivot_T4!C14,2)&amp;IF(rmsfe_Pivot_T4!AO14=1,"**",IF(rmsfe_Pivot_T4!U14=1,"*",""))</f>
        <v>1,67</v>
      </c>
      <c r="E12" s="16" t="str">
        <f>ROUND(rmsfe_Pivot_T4!D14,2)&amp;IF(rmsfe_Pivot_T4!AP14=1,"**",IF(rmsfe_Pivot_T4!V14=1,"*",""))</f>
        <v>2,94</v>
      </c>
      <c r="F12" s="16" t="str">
        <f>ROUND(rmsfe_Pivot_T4!E14,2)&amp;IF(rmsfe_Pivot_T4!AQ14=1,"**",IF(rmsfe_Pivot_T4!W14=1,"*",""))</f>
        <v>2,11</v>
      </c>
      <c r="G12" s="16" t="str">
        <f>ROUND(rmsfe_Pivot_T4!F14,2)&amp;IF(rmsfe_Pivot_T4!AR14=1,"**",IF(rmsfe_Pivot_T4!X14=1,"*",""))</f>
        <v>2,67</v>
      </c>
      <c r="H12" s="16" t="str">
        <f>ROUND(rmsfe_Pivot_T4!G14,2)&amp;IF(rmsfe_Pivot_T4!AS14=1,"**",IF(rmsfe_Pivot_T4!Y14=1,"*",""))</f>
        <v>1,92</v>
      </c>
      <c r="I12" s="16" t="str">
        <f>ROUND(rmsfe_Pivot_T4!H14,2)&amp;IF(rmsfe_Pivot_T4!AT14=1,"**",IF(rmsfe_Pivot_T4!Z14=1,"*",""))</f>
        <v>1,82</v>
      </c>
      <c r="J12" s="16" t="str">
        <f>ROUND(rmsfe_Pivot_T4!I14,2)&amp;IF(rmsfe_Pivot_T4!AU14=1,"**",IF(rmsfe_Pivot_T4!AA14=1,"*",""))</f>
        <v>2,01</v>
      </c>
      <c r="K12" s="16" t="str">
        <f>ROUND(rmsfe_Pivot_T4!J14,2)&amp;IF(rmsfe_Pivot_T4!AV14=1,"**",IF(rmsfe_Pivot_T4!AB14=1,"*",""))</f>
        <v>2,9</v>
      </c>
      <c r="L12" s="16" t="str">
        <f>ROUND(rmsfe_Pivot_T4!K14,2)&amp;IF(rmsfe_Pivot_T4!AW14=1,"**",IF(rmsfe_Pivot_T4!AC14=1,"*",""))</f>
        <v>2,22</v>
      </c>
      <c r="M12" s="16" t="str">
        <f>ROUND(rmsfe_Pivot_T4!L14,2)&amp;IF(rmsfe_Pivot_T4!AX14=1,"**",IF(rmsfe_Pivot_T4!AD14=1,"*",""))</f>
        <v>1,53</v>
      </c>
      <c r="N12" s="16" t="str">
        <f>ROUND(rmsfe_Pivot_T4!M14,2)&amp;IF(rmsfe_Pivot_T4!AY14=1,"**",IF(rmsfe_Pivot_T4!AE14=1,"*",""))</f>
        <v>2,65</v>
      </c>
      <c r="O12" s="16" t="str">
        <f>ROUND(rmsfe_Pivot_T4!N14,2)&amp;IF(rmsfe_Pivot_T4!AZ14=1,"**",IF(rmsfe_Pivot_T4!AF14=1,"*",""))</f>
        <v>2,13</v>
      </c>
      <c r="P12" s="16" t="str">
        <f>ROUND(rmsfe_Pivot_T4!O14,2)&amp;IF(rmsfe_Pivot_T4!BA14=1,"**",IF(rmsfe_Pivot_T4!AG14=1,"*",""))</f>
        <v>2,18</v>
      </c>
      <c r="Q12" s="16" t="str">
        <f>ROUND(rmsfe_Pivot_T4!P14,2)&amp;IF(rmsfe_Pivot_T4!BB14=1,"**",IF(rmsfe_Pivot_T4!AH14=1,"*",""))</f>
        <v>2,69</v>
      </c>
      <c r="R12" s="17" t="str">
        <f>rmsfe_Pivot_T4!AI14&amp;"/"&amp;rmsfe_Pivot_T4!BC14</f>
        <v>0/0</v>
      </c>
    </row>
    <row r="13" spans="2:20" x14ac:dyDescent="0.25">
      <c r="B13" t="s">
        <v>444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2:20" x14ac:dyDescent="0.25">
      <c r="B14" t="str">
        <f>rmsfe_Pivot_T4!A16</f>
        <v>ZS</v>
      </c>
      <c r="C14" s="14" t="str">
        <f>ROUND(rmsfe_Pivot_T4!B16,2)&amp;IF(rmsfe_Pivot_T4!AN16=1,"**",IF(rmsfe_Pivot_T4!T16=1,"*",""))</f>
        <v>1</v>
      </c>
      <c r="D14" s="14" t="str">
        <f>ROUND(rmsfe_Pivot_T4!C16,2)&amp;IF(rmsfe_Pivot_T4!AO16=1,"**",IF(rmsfe_Pivot_T4!U16=1,"*",""))</f>
        <v>1</v>
      </c>
      <c r="E14" s="14" t="str">
        <f>ROUND(rmsfe_Pivot_T4!D16,2)&amp;IF(rmsfe_Pivot_T4!AP16=1,"**",IF(rmsfe_Pivot_T4!V16=1,"*",""))</f>
        <v>1</v>
      </c>
      <c r="F14" s="14" t="str">
        <f>ROUND(rmsfe_Pivot_T4!E16,2)&amp;IF(rmsfe_Pivot_T4!AQ16=1,"**",IF(rmsfe_Pivot_T4!W16=1,"*",""))</f>
        <v>1</v>
      </c>
      <c r="G14" s="14" t="str">
        <f>ROUND(rmsfe_Pivot_T4!F16,2)&amp;IF(rmsfe_Pivot_T4!AR16=1,"**",IF(rmsfe_Pivot_T4!X16=1,"*",""))</f>
        <v>1</v>
      </c>
      <c r="H14" s="14" t="str">
        <f>ROUND(rmsfe_Pivot_T4!G16,2)&amp;IF(rmsfe_Pivot_T4!AS16=1,"**",IF(rmsfe_Pivot_T4!Y16=1,"*",""))</f>
        <v>1</v>
      </c>
      <c r="I14" s="14" t="str">
        <f>ROUND(rmsfe_Pivot_T4!H16,2)&amp;IF(rmsfe_Pivot_T4!AT16=1,"**",IF(rmsfe_Pivot_T4!Z16=1,"*",""))</f>
        <v>1</v>
      </c>
      <c r="J14" s="14" t="str">
        <f>ROUND(rmsfe_Pivot_T4!I16,2)&amp;IF(rmsfe_Pivot_T4!AU16=1,"**",IF(rmsfe_Pivot_T4!AA16=1,"*",""))</f>
        <v>1</v>
      </c>
      <c r="K14" s="14" t="str">
        <f>ROUND(rmsfe_Pivot_T4!J16,2)&amp;IF(rmsfe_Pivot_T4!AV16=1,"**",IF(rmsfe_Pivot_T4!AB16=1,"*",""))</f>
        <v>1</v>
      </c>
      <c r="L14" s="14" t="str">
        <f>ROUND(rmsfe_Pivot_T4!K16,2)&amp;IF(rmsfe_Pivot_T4!AW16=1,"**",IF(rmsfe_Pivot_T4!AC16=1,"*",""))</f>
        <v>1</v>
      </c>
      <c r="M14" s="14" t="str">
        <f>ROUND(rmsfe_Pivot_T4!L16,2)&amp;IF(rmsfe_Pivot_T4!AX16=1,"**",IF(rmsfe_Pivot_T4!AD16=1,"*",""))</f>
        <v>1</v>
      </c>
      <c r="N14" s="14" t="str">
        <f>ROUND(rmsfe_Pivot_T4!M16,2)&amp;IF(rmsfe_Pivot_T4!AY16=1,"**",IF(rmsfe_Pivot_T4!AE16=1,"*",""))</f>
        <v>1</v>
      </c>
      <c r="O14" s="14" t="str">
        <f>ROUND(rmsfe_Pivot_T4!N16,2)&amp;IF(rmsfe_Pivot_T4!AZ16=1,"**",IF(rmsfe_Pivot_T4!AF16=1,"*",""))</f>
        <v>1</v>
      </c>
      <c r="P14" s="14" t="str">
        <f>ROUND(rmsfe_Pivot_T4!O16,2)&amp;IF(rmsfe_Pivot_T4!BA16=1,"**",IF(rmsfe_Pivot_T4!AG16=1,"*",""))</f>
        <v>1</v>
      </c>
      <c r="Q14" s="14" t="str">
        <f>ROUND(rmsfe_Pivot_T4!P16,2)&amp;IF(rmsfe_Pivot_T4!BB16=1,"**",IF(rmsfe_Pivot_T4!AH16=1,"*",""))</f>
        <v>1</v>
      </c>
      <c r="R14" s="15" t="str">
        <f>rmsfe_Pivot_T4!AI16&amp;"/"&amp;rmsfe_Pivot_T4!BC16</f>
        <v>0/0</v>
      </c>
    </row>
    <row r="15" spans="2:20" x14ac:dyDescent="0.25">
      <c r="B15" t="str">
        <f>rmsfe_Pivot_T4!A17</f>
        <v>ZS\&amp;POOL</v>
      </c>
      <c r="C15" s="14" t="str">
        <f>ROUND(rmsfe_Pivot_T4!B17,2)&amp;IF(rmsfe_Pivot_T4!AN17=1,"**",IF(rmsfe_Pivot_T4!T17=1,"*",""))</f>
        <v>1,03</v>
      </c>
      <c r="D15" s="14" t="str">
        <f>ROUND(rmsfe_Pivot_T4!C17,2)&amp;IF(rmsfe_Pivot_T4!AO17=1,"**",IF(rmsfe_Pivot_T4!U17=1,"*",""))</f>
        <v>0,99</v>
      </c>
      <c r="E15" s="14" t="str">
        <f>ROUND(rmsfe_Pivot_T4!D17,2)&amp;IF(rmsfe_Pivot_T4!AP17=1,"**",IF(rmsfe_Pivot_T4!V17=1,"*",""))</f>
        <v>1,04</v>
      </c>
      <c r="F15" s="14" t="str">
        <f>ROUND(rmsfe_Pivot_T4!E17,2)&amp;IF(rmsfe_Pivot_T4!AQ17=1,"**",IF(rmsfe_Pivot_T4!W17=1,"*",""))</f>
        <v>1,01</v>
      </c>
      <c r="G15" s="14" t="str">
        <f>ROUND(rmsfe_Pivot_T4!F17,2)&amp;IF(rmsfe_Pivot_T4!AR17=1,"**",IF(rmsfe_Pivot_T4!X17=1,"*",""))</f>
        <v>0,99</v>
      </c>
      <c r="H15" s="14" t="str">
        <f>ROUND(rmsfe_Pivot_T4!G17,2)&amp;IF(rmsfe_Pivot_T4!AS17=1,"**",IF(rmsfe_Pivot_T4!Y17=1,"*",""))</f>
        <v>1,01</v>
      </c>
      <c r="I15" s="14" t="str">
        <f>ROUND(rmsfe_Pivot_T4!H17,2)&amp;IF(rmsfe_Pivot_T4!AT17=1,"**",IF(rmsfe_Pivot_T4!Z17=1,"*",""))</f>
        <v>0,97</v>
      </c>
      <c r="J15" s="14" t="str">
        <f>ROUND(rmsfe_Pivot_T4!I17,2)&amp;IF(rmsfe_Pivot_T4!AU17=1,"**",IF(rmsfe_Pivot_T4!AA17=1,"*",""))</f>
        <v>1</v>
      </c>
      <c r="K15" s="14" t="str">
        <f>ROUND(rmsfe_Pivot_T4!J17,2)&amp;IF(rmsfe_Pivot_T4!AV17=1,"**",IF(rmsfe_Pivot_T4!AB17=1,"*",""))</f>
        <v>0,95**</v>
      </c>
      <c r="L15" s="14" t="str">
        <f>ROUND(rmsfe_Pivot_T4!K17,2)&amp;IF(rmsfe_Pivot_T4!AW17=1,"**",IF(rmsfe_Pivot_T4!AC17=1,"*",""))</f>
        <v>0,98**</v>
      </c>
      <c r="M15" s="14" t="str">
        <f>ROUND(rmsfe_Pivot_T4!L17,2)&amp;IF(rmsfe_Pivot_T4!AX17=1,"**",IF(rmsfe_Pivot_T4!AD17=1,"*",""))</f>
        <v>0,93**</v>
      </c>
      <c r="N15" s="14" t="str">
        <f>ROUND(rmsfe_Pivot_T4!M17,2)&amp;IF(rmsfe_Pivot_T4!AY17=1,"**",IF(rmsfe_Pivot_T4!AE17=1,"*",""))</f>
        <v>0,92**</v>
      </c>
      <c r="O15" s="14" t="str">
        <f>ROUND(rmsfe_Pivot_T4!N17,2)&amp;IF(rmsfe_Pivot_T4!AZ17=1,"**",IF(rmsfe_Pivot_T4!AF17=1,"*",""))</f>
        <v>1</v>
      </c>
      <c r="P15" s="14" t="str">
        <f>ROUND(rmsfe_Pivot_T4!O17,2)&amp;IF(rmsfe_Pivot_T4!BA17=1,"**",IF(rmsfe_Pivot_T4!AG17=1,"*",""))</f>
        <v>0,94**</v>
      </c>
      <c r="Q15" s="14" t="str">
        <f>ROUND(rmsfe_Pivot_T4!P17,2)&amp;IF(rmsfe_Pivot_T4!BB17=1,"**",IF(rmsfe_Pivot_T4!AH17=1,"*",""))</f>
        <v>1</v>
      </c>
      <c r="R15" s="15" t="str">
        <f>rmsfe_Pivot_T4!AI17&amp;"/"&amp;rmsfe_Pivot_T4!BC17</f>
        <v>5/5</v>
      </c>
    </row>
    <row r="16" spans="2:20" x14ac:dyDescent="0.25">
      <c r="B16" t="str">
        <f>rmsfe_Pivot_T4!A18</f>
        <v>POOL</v>
      </c>
      <c r="C16" s="14" t="str">
        <f>ROUND(rmsfe_Pivot_T4!B18,2)&amp;IF(rmsfe_Pivot_T4!AN18=1,"**",IF(rmsfe_Pivot_T4!T18=1,"*",""))</f>
        <v>0,78*</v>
      </c>
      <c r="D16" s="14" t="str">
        <f>ROUND(rmsfe_Pivot_T4!C18,2)&amp;IF(rmsfe_Pivot_T4!AO18=1,"**",IF(rmsfe_Pivot_T4!U18=1,"*",""))</f>
        <v>1,02</v>
      </c>
      <c r="E16" s="14" t="str">
        <f>ROUND(rmsfe_Pivot_T4!D18,2)&amp;IF(rmsfe_Pivot_T4!AP18=1,"**",IF(rmsfe_Pivot_T4!V18=1,"*",""))</f>
        <v>1,05</v>
      </c>
      <c r="F16" s="14" t="str">
        <f>ROUND(rmsfe_Pivot_T4!E18,2)&amp;IF(rmsfe_Pivot_T4!AQ18=1,"**",IF(rmsfe_Pivot_T4!W18=1,"*",""))</f>
        <v>0,9**</v>
      </c>
      <c r="G16" s="14" t="str">
        <f>ROUND(rmsfe_Pivot_T4!F18,2)&amp;IF(rmsfe_Pivot_T4!AR18=1,"**",IF(rmsfe_Pivot_T4!X18=1,"*",""))</f>
        <v>1,05</v>
      </c>
      <c r="H16" s="14" t="str">
        <f>ROUND(rmsfe_Pivot_T4!G18,2)&amp;IF(rmsfe_Pivot_T4!AS18=1,"**",IF(rmsfe_Pivot_T4!Y18=1,"*",""))</f>
        <v>1,04</v>
      </c>
      <c r="I16" s="14" t="str">
        <f>ROUND(rmsfe_Pivot_T4!H18,2)&amp;IF(rmsfe_Pivot_T4!AT18=1,"**",IF(rmsfe_Pivot_T4!Z18=1,"*",""))</f>
        <v>1,05</v>
      </c>
      <c r="J16" s="14" t="str">
        <f>ROUND(rmsfe_Pivot_T4!I18,2)&amp;IF(rmsfe_Pivot_T4!AU18=1,"**",IF(rmsfe_Pivot_T4!AA18=1,"*",""))</f>
        <v>1,05</v>
      </c>
      <c r="K16" s="14" t="str">
        <f>ROUND(rmsfe_Pivot_T4!J18,2)&amp;IF(rmsfe_Pivot_T4!AV18=1,"**",IF(rmsfe_Pivot_T4!AB18=1,"*",""))</f>
        <v>1,04</v>
      </c>
      <c r="L16" s="14" t="str">
        <f>ROUND(rmsfe_Pivot_T4!K18,2)&amp;IF(rmsfe_Pivot_T4!AW18=1,"**",IF(rmsfe_Pivot_T4!AC18=1,"*",""))</f>
        <v>1,01</v>
      </c>
      <c r="M16" s="14" t="str">
        <f>ROUND(rmsfe_Pivot_T4!L18,2)&amp;IF(rmsfe_Pivot_T4!AX18=1,"**",IF(rmsfe_Pivot_T4!AD18=1,"*",""))</f>
        <v>1,04</v>
      </c>
      <c r="N16" s="14" t="str">
        <f>ROUND(rmsfe_Pivot_T4!M18,2)&amp;IF(rmsfe_Pivot_T4!AY18=1,"**",IF(rmsfe_Pivot_T4!AE18=1,"*",""))</f>
        <v>1,03</v>
      </c>
      <c r="O16" s="14" t="str">
        <f>ROUND(rmsfe_Pivot_T4!N18,2)&amp;IF(rmsfe_Pivot_T4!AZ18=1,"**",IF(rmsfe_Pivot_T4!AF18=1,"*",""))</f>
        <v>0,98</v>
      </c>
      <c r="P16" s="14" t="str">
        <f>ROUND(rmsfe_Pivot_T4!O18,2)&amp;IF(rmsfe_Pivot_T4!BA18=1,"**",IF(rmsfe_Pivot_T4!AG18=1,"*",""))</f>
        <v>0,65**</v>
      </c>
      <c r="Q16" s="14" t="str">
        <f>ROUND(rmsfe_Pivot_T4!P18,2)&amp;IF(rmsfe_Pivot_T4!BB18=1,"**",IF(rmsfe_Pivot_T4!AH18=1,"*",""))</f>
        <v>1,01</v>
      </c>
      <c r="R16" s="15" t="str">
        <f>rmsfe_Pivot_T4!AI18&amp;"/"&amp;rmsfe_Pivot_T4!BC18</f>
        <v>3/2</v>
      </c>
    </row>
    <row r="17" spans="2:20" x14ac:dyDescent="0.25">
      <c r="B17" t="str">
        <f>rmsfe_Pivot_T4!A19</f>
        <v>ZSGL</v>
      </c>
      <c r="C17" s="14" t="str">
        <f>ROUND(rmsfe_Pivot_T4!B19,2)&amp;IF(rmsfe_Pivot_T4!AN19=1,"**",IF(rmsfe_Pivot_T4!T19=1,"*",""))</f>
        <v>0,92*</v>
      </c>
      <c r="D17" s="14" t="str">
        <f>ROUND(rmsfe_Pivot_T4!C19,2)&amp;IF(rmsfe_Pivot_T4!AO19=1,"**",IF(rmsfe_Pivot_T4!U19=1,"*",""))</f>
        <v>0,98</v>
      </c>
      <c r="E17" s="14" t="str">
        <f>ROUND(rmsfe_Pivot_T4!D19,2)&amp;IF(rmsfe_Pivot_T4!AP19=1,"**",IF(rmsfe_Pivot_T4!V19=1,"*",""))</f>
        <v>0,98</v>
      </c>
      <c r="F17" s="14" t="str">
        <f>ROUND(rmsfe_Pivot_T4!E19,2)&amp;IF(rmsfe_Pivot_T4!AQ19=1,"**",IF(rmsfe_Pivot_T4!W19=1,"*",""))</f>
        <v>1,06</v>
      </c>
      <c r="G17" s="14" t="str">
        <f>ROUND(rmsfe_Pivot_T4!F19,2)&amp;IF(rmsfe_Pivot_T4!AR19=1,"**",IF(rmsfe_Pivot_T4!X19=1,"*",""))</f>
        <v>1</v>
      </c>
      <c r="H17" s="14" t="str">
        <f>ROUND(rmsfe_Pivot_T4!G19,2)&amp;IF(rmsfe_Pivot_T4!AS19=1,"**",IF(rmsfe_Pivot_T4!Y19=1,"*",""))</f>
        <v>1</v>
      </c>
      <c r="I17" s="14" t="str">
        <f>ROUND(rmsfe_Pivot_T4!H19,2)&amp;IF(rmsfe_Pivot_T4!AT19=1,"**",IF(rmsfe_Pivot_T4!Z19=1,"*",""))</f>
        <v>1,01</v>
      </c>
      <c r="J17" s="14" t="str">
        <f>ROUND(rmsfe_Pivot_T4!I19,2)&amp;IF(rmsfe_Pivot_T4!AU19=1,"**",IF(rmsfe_Pivot_T4!AA19=1,"*",""))</f>
        <v>1,02</v>
      </c>
      <c r="K17" s="14" t="str">
        <f>ROUND(rmsfe_Pivot_T4!J19,2)&amp;IF(rmsfe_Pivot_T4!AV19=1,"**",IF(rmsfe_Pivot_T4!AB19=1,"*",""))</f>
        <v>1,01</v>
      </c>
      <c r="L17" s="14" t="str">
        <f>ROUND(rmsfe_Pivot_T4!K19,2)&amp;IF(rmsfe_Pivot_T4!AW19=1,"**",IF(rmsfe_Pivot_T4!AC19=1,"*",""))</f>
        <v>0,99</v>
      </c>
      <c r="M17" s="14" t="str">
        <f>ROUND(rmsfe_Pivot_T4!L19,2)&amp;IF(rmsfe_Pivot_T4!AX19=1,"**",IF(rmsfe_Pivot_T4!AD19=1,"*",""))</f>
        <v>1,02</v>
      </c>
      <c r="N17" s="14" t="str">
        <f>ROUND(rmsfe_Pivot_T4!M19,2)&amp;IF(rmsfe_Pivot_T4!AY19=1,"**",IF(rmsfe_Pivot_T4!AE19=1,"*",""))</f>
        <v>1,01</v>
      </c>
      <c r="O17" s="14" t="str">
        <f>ROUND(rmsfe_Pivot_T4!N19,2)&amp;IF(rmsfe_Pivot_T4!AZ19=1,"**",IF(rmsfe_Pivot_T4!AF19=1,"*",""))</f>
        <v>0,97</v>
      </c>
      <c r="P17" s="14" t="str">
        <f>ROUND(rmsfe_Pivot_T4!O19,2)&amp;IF(rmsfe_Pivot_T4!BA19=1,"**",IF(rmsfe_Pivot_T4!AG19=1,"*",""))</f>
        <v>0,72**</v>
      </c>
      <c r="Q17" s="14" t="str">
        <f>ROUND(rmsfe_Pivot_T4!P19,2)&amp;IF(rmsfe_Pivot_T4!BB19=1,"**",IF(rmsfe_Pivot_T4!AH19=1,"*",""))</f>
        <v>1</v>
      </c>
      <c r="R17" s="15" t="str">
        <f>rmsfe_Pivot_T4!AI19&amp;"/"&amp;rmsfe_Pivot_T4!BC19</f>
        <v>2/1</v>
      </c>
    </row>
    <row r="18" spans="2:20" x14ac:dyDescent="0.25">
      <c r="B18" t="str">
        <f>rmsfe_Pivot_T4!A20</f>
        <v>J</v>
      </c>
      <c r="C18" s="14" t="str">
        <f>ROUND(rmsfe_Pivot_T4!B20,2)&amp;IF(rmsfe_Pivot_T4!AN20=1,"**",IF(rmsfe_Pivot_T4!T20=1,"*",""))</f>
        <v>0,56**</v>
      </c>
      <c r="D18" s="14" t="str">
        <f>ROUND(rmsfe_Pivot_T4!C20,2)&amp;IF(rmsfe_Pivot_T4!AO20=1,"**",IF(rmsfe_Pivot_T4!U20=1,"*",""))</f>
        <v>1,36</v>
      </c>
      <c r="E18" s="14" t="str">
        <f>ROUND(rmsfe_Pivot_T4!D20,2)&amp;IF(rmsfe_Pivot_T4!AP20=1,"**",IF(rmsfe_Pivot_T4!V20=1,"*",""))</f>
        <v>1,05</v>
      </c>
      <c r="F18" s="14" t="str">
        <f>ROUND(rmsfe_Pivot_T4!E20,2)&amp;IF(rmsfe_Pivot_T4!AQ20=1,"**",IF(rmsfe_Pivot_T4!W20=1,"*",""))</f>
        <v>0,27**</v>
      </c>
      <c r="G18" s="14" t="str">
        <f>ROUND(rmsfe_Pivot_T4!F20,2)&amp;IF(rmsfe_Pivot_T4!AR20=1,"**",IF(rmsfe_Pivot_T4!X20=1,"*",""))</f>
        <v>1,15</v>
      </c>
      <c r="H18" s="14" t="str">
        <f>ROUND(rmsfe_Pivot_T4!G20,2)&amp;IF(rmsfe_Pivot_T4!AS20=1,"**",IF(rmsfe_Pivot_T4!Y20=1,"*",""))</f>
        <v>1,06</v>
      </c>
      <c r="I18" s="14" t="str">
        <f>ROUND(rmsfe_Pivot_T4!H20,2)&amp;IF(rmsfe_Pivot_T4!AT20=1,"**",IF(rmsfe_Pivot_T4!Z20=1,"*",""))</f>
        <v>1,02</v>
      </c>
      <c r="J18" s="14" t="str">
        <f>ROUND(rmsfe_Pivot_T4!I20,2)&amp;IF(rmsfe_Pivot_T4!AU20=1,"**",IF(rmsfe_Pivot_T4!AA20=1,"*",""))</f>
        <v>1,3</v>
      </c>
      <c r="K18" s="14" t="str">
        <f>ROUND(rmsfe_Pivot_T4!J20,2)&amp;IF(rmsfe_Pivot_T4!AV20=1,"**",IF(rmsfe_Pivot_T4!AB20=1,"*",""))</f>
        <v>1,16</v>
      </c>
      <c r="L18" s="14" t="str">
        <f>ROUND(rmsfe_Pivot_T4!K20,2)&amp;IF(rmsfe_Pivot_T4!AW20=1,"**",IF(rmsfe_Pivot_T4!AC20=1,"*",""))</f>
        <v>1,11</v>
      </c>
      <c r="M18" s="14" t="str">
        <f>ROUND(rmsfe_Pivot_T4!L20,2)&amp;IF(rmsfe_Pivot_T4!AX20=1,"**",IF(rmsfe_Pivot_T4!AD20=1,"*",""))</f>
        <v>0,85*</v>
      </c>
      <c r="N18" s="14" t="str">
        <f>ROUND(rmsfe_Pivot_T4!M20,2)&amp;IF(rmsfe_Pivot_T4!AY20=1,"**",IF(rmsfe_Pivot_T4!AE20=1,"*",""))</f>
        <v>0,99</v>
      </c>
      <c r="O18" s="14" t="str">
        <f>ROUND(rmsfe_Pivot_T4!N20,2)&amp;IF(rmsfe_Pivot_T4!AZ20=1,"**",IF(rmsfe_Pivot_T4!AF20=1,"*",""))</f>
        <v>1,16</v>
      </c>
      <c r="P18" s="14" t="str">
        <f>ROUND(rmsfe_Pivot_T4!O20,2)&amp;IF(rmsfe_Pivot_T4!BA20=1,"**",IF(rmsfe_Pivot_T4!AG20=1,"*",""))</f>
        <v>0,64**</v>
      </c>
      <c r="Q18" s="14" t="str">
        <f>ROUND(rmsfe_Pivot_T4!P20,2)&amp;IF(rmsfe_Pivot_T4!BB20=1,"**",IF(rmsfe_Pivot_T4!AH20=1,"*",""))</f>
        <v>1,11</v>
      </c>
      <c r="R18" s="15" t="str">
        <f>rmsfe_Pivot_T4!AI20&amp;"/"&amp;rmsfe_Pivot_T4!BC20</f>
        <v>4/3</v>
      </c>
      <c r="T18" t="str">
        <f>B18&amp;"&amp;"&amp;C18&amp;"&amp;"&amp;D18&amp;"&amp;"&amp;E18&amp;"&amp;"&amp;F18&amp;"&amp;"&amp;G18&amp;"&amp;"&amp;H18&amp;"&amp;"&amp;I18&amp;"&amp;"&amp;J18&amp;"&amp;"&amp;K18&amp;"&amp;"&amp;L18&amp;"&amp;"&amp;M18&amp;"&amp;"&amp;N18&amp;"&amp;"&amp;O18&amp;"&amp;"&amp;P18&amp;"&amp;"&amp;Q18&amp;"&amp;"&amp;R18&amp;"\\"</f>
        <v>J&amp;0,56**&amp;1,36&amp;1,05&amp;0,27**&amp;1,15&amp;1,06&amp;1,02&amp;1,3&amp;1,16&amp;1,11&amp;0,85*&amp;0,99&amp;1,16&amp;0,64**&amp;1,11&amp;4/3\\</v>
      </c>
    </row>
    <row r="19" spans="2:20" x14ac:dyDescent="0.25">
      <c r="B19" t="str">
        <f>rmsfe_Pivot_T4!A21</f>
        <v>BFCS</v>
      </c>
      <c r="C19" s="14" t="str">
        <f>ROUND(rmsfe_Pivot_T4!B21,2)&amp;IF(rmsfe_Pivot_T4!AN21=1,"**",IF(rmsfe_Pivot_T4!T21=1,"*",""))</f>
        <v>1,96</v>
      </c>
      <c r="D19" s="14" t="str">
        <f>ROUND(rmsfe_Pivot_T4!C21,2)&amp;IF(rmsfe_Pivot_T4!AO21=1,"**",IF(rmsfe_Pivot_T4!U21=1,"*",""))</f>
        <v>1,09</v>
      </c>
      <c r="E19" s="14" t="str">
        <f>ROUND(rmsfe_Pivot_T4!D21,2)&amp;IF(rmsfe_Pivot_T4!AP21=1,"**",IF(rmsfe_Pivot_T4!V21=1,"*",""))</f>
        <v>1,42</v>
      </c>
      <c r="F19" s="14" t="str">
        <f>ROUND(rmsfe_Pivot_T4!E21,2)&amp;IF(rmsfe_Pivot_T4!AQ21=1,"**",IF(rmsfe_Pivot_T4!W21=1,"*",""))</f>
        <v>2,46</v>
      </c>
      <c r="G19" s="14" t="str">
        <f>ROUND(rmsfe_Pivot_T4!F21,2)&amp;IF(rmsfe_Pivot_T4!AR21=1,"**",IF(rmsfe_Pivot_T4!X21=1,"*",""))</f>
        <v>1,22</v>
      </c>
      <c r="H19" s="14" t="str">
        <f>ROUND(rmsfe_Pivot_T4!G21,2)&amp;IF(rmsfe_Pivot_T4!AS21=1,"**",IF(rmsfe_Pivot_T4!Y21=1,"*",""))</f>
        <v>1,33</v>
      </c>
      <c r="I19" s="14" t="str">
        <f>ROUND(rmsfe_Pivot_T4!H21,2)&amp;IF(rmsfe_Pivot_T4!AT21=1,"**",IF(rmsfe_Pivot_T4!Z21=1,"*",""))</f>
        <v>1,15</v>
      </c>
      <c r="J19" s="14" t="str">
        <f>ROUND(rmsfe_Pivot_T4!I21,2)&amp;IF(rmsfe_Pivot_T4!AU21=1,"**",IF(rmsfe_Pivot_T4!AA21=1,"*",""))</f>
        <v>1,1</v>
      </c>
      <c r="K19" s="14" t="str">
        <f>ROUND(rmsfe_Pivot_T4!J21,2)&amp;IF(rmsfe_Pivot_T4!AV21=1,"**",IF(rmsfe_Pivot_T4!AB21=1,"*",""))</f>
        <v>1,57</v>
      </c>
      <c r="L19" s="14" t="str">
        <f>ROUND(rmsfe_Pivot_T4!K21,2)&amp;IF(rmsfe_Pivot_T4!AW21=1,"**",IF(rmsfe_Pivot_T4!AC21=1,"*",""))</f>
        <v>1,54</v>
      </c>
      <c r="M19" s="14" t="str">
        <f>ROUND(rmsfe_Pivot_T4!L21,2)&amp;IF(rmsfe_Pivot_T4!AX21=1,"**",IF(rmsfe_Pivot_T4!AD21=1,"*",""))</f>
        <v>0,95**</v>
      </c>
      <c r="N19" s="14" t="str">
        <f>ROUND(rmsfe_Pivot_T4!M21,2)&amp;IF(rmsfe_Pivot_T4!AY21=1,"**",IF(rmsfe_Pivot_T4!AE21=1,"*",""))</f>
        <v>2,26</v>
      </c>
      <c r="O19" s="14" t="str">
        <f>ROUND(rmsfe_Pivot_T4!N21,2)&amp;IF(rmsfe_Pivot_T4!AZ21=1,"**",IF(rmsfe_Pivot_T4!AF21=1,"*",""))</f>
        <v>1,05</v>
      </c>
      <c r="P19" s="14" t="str">
        <f>ROUND(rmsfe_Pivot_T4!O21,2)&amp;IF(rmsfe_Pivot_T4!BA21=1,"**",IF(rmsfe_Pivot_T4!AG21=1,"*",""))</f>
        <v>2,75</v>
      </c>
      <c r="Q19" s="14" t="str">
        <f>ROUND(rmsfe_Pivot_T4!P21,2)&amp;IF(rmsfe_Pivot_T4!BB21=1,"**",IF(rmsfe_Pivot_T4!AH21=1,"*",""))</f>
        <v>1,12</v>
      </c>
      <c r="R19" s="15" t="str">
        <f>rmsfe_Pivot_T4!AI21&amp;"/"&amp;rmsfe_Pivot_T4!BC21</f>
        <v>1/1</v>
      </c>
    </row>
    <row r="20" spans="2:20" x14ac:dyDescent="0.25">
      <c r="B20" s="11" t="str">
        <f>rmsfe_Pivot_T4!A22</f>
        <v>SSSS</v>
      </c>
      <c r="C20" s="16" t="str">
        <f>ROUND(rmsfe_Pivot_T4!B22,2)&amp;IF(rmsfe_Pivot_T4!AN22=1,"**",IF(rmsfe_Pivot_T4!T22=1,"*",""))</f>
        <v>1,97</v>
      </c>
      <c r="D20" s="16" t="str">
        <f>ROUND(rmsfe_Pivot_T4!C22,2)&amp;IF(rmsfe_Pivot_T4!AO22=1,"**",IF(rmsfe_Pivot_T4!U22=1,"*",""))</f>
        <v>1,16</v>
      </c>
      <c r="E20" s="16" t="str">
        <f>ROUND(rmsfe_Pivot_T4!D22,2)&amp;IF(rmsfe_Pivot_T4!AP22=1,"**",IF(rmsfe_Pivot_T4!V22=1,"*",""))</f>
        <v>1,08</v>
      </c>
      <c r="F20" s="16" t="str">
        <f>ROUND(rmsfe_Pivot_T4!E22,2)&amp;IF(rmsfe_Pivot_T4!AQ22=1,"**",IF(rmsfe_Pivot_T4!W22=1,"*",""))</f>
        <v>1,05</v>
      </c>
      <c r="G20" s="16" t="str">
        <f>ROUND(rmsfe_Pivot_T4!F22,2)&amp;IF(rmsfe_Pivot_T4!AR22=1,"**",IF(rmsfe_Pivot_T4!X22=1,"*",""))</f>
        <v>1,01</v>
      </c>
      <c r="H20" s="16" t="str">
        <f>ROUND(rmsfe_Pivot_T4!G22,2)&amp;IF(rmsfe_Pivot_T4!AS22=1,"**",IF(rmsfe_Pivot_T4!Y22=1,"*",""))</f>
        <v>0,96</v>
      </c>
      <c r="I20" s="16" t="str">
        <f>ROUND(rmsfe_Pivot_T4!H22,2)&amp;IF(rmsfe_Pivot_T4!AT22=1,"**",IF(rmsfe_Pivot_T4!Z22=1,"*",""))</f>
        <v>0,99</v>
      </c>
      <c r="J20" s="16" t="str">
        <f>ROUND(rmsfe_Pivot_T4!I22,2)&amp;IF(rmsfe_Pivot_T4!AU22=1,"**",IF(rmsfe_Pivot_T4!AA22=1,"*",""))</f>
        <v>1,19</v>
      </c>
      <c r="K20" s="16" t="str">
        <f>ROUND(rmsfe_Pivot_T4!J22,2)&amp;IF(rmsfe_Pivot_T4!AV22=1,"**",IF(rmsfe_Pivot_T4!AB22=1,"*",""))</f>
        <v>1,21</v>
      </c>
      <c r="L20" s="16" t="str">
        <f>ROUND(rmsfe_Pivot_T4!K22,2)&amp;IF(rmsfe_Pivot_T4!AW22=1,"**",IF(rmsfe_Pivot_T4!AC22=1,"*",""))</f>
        <v>1,17</v>
      </c>
      <c r="M20" s="16" t="str">
        <f>ROUND(rmsfe_Pivot_T4!L22,2)&amp;IF(rmsfe_Pivot_T4!AX22=1,"**",IF(rmsfe_Pivot_T4!AD22=1,"*",""))</f>
        <v>0,95</v>
      </c>
      <c r="N20" s="16" t="str">
        <f>ROUND(rmsfe_Pivot_T4!M22,2)&amp;IF(rmsfe_Pivot_T4!AY22=1,"**",IF(rmsfe_Pivot_T4!AE22=1,"*",""))</f>
        <v>1,37</v>
      </c>
      <c r="O20" s="16" t="str">
        <f>ROUND(rmsfe_Pivot_T4!N22,2)&amp;IF(rmsfe_Pivot_T4!AZ22=1,"**",IF(rmsfe_Pivot_T4!AF22=1,"*",""))</f>
        <v>0,98</v>
      </c>
      <c r="P20" s="16" t="str">
        <f>ROUND(rmsfe_Pivot_T4!O22,2)&amp;IF(rmsfe_Pivot_T4!BA22=1,"**",IF(rmsfe_Pivot_T4!AG22=1,"*",""))</f>
        <v>1,66</v>
      </c>
      <c r="Q20" s="16" t="str">
        <f>ROUND(rmsfe_Pivot_T4!P22,2)&amp;IF(rmsfe_Pivot_T4!BB22=1,"**",IF(rmsfe_Pivot_T4!AH22=1,"*",""))</f>
        <v>1</v>
      </c>
      <c r="R20" s="17" t="str">
        <f>rmsfe_Pivot_T4!AI22&amp;"/"&amp;rmsfe_Pivot_T4!BC22</f>
        <v>0/0</v>
      </c>
    </row>
    <row r="21" spans="2:20" x14ac:dyDescent="0.25">
      <c r="B21" s="11" t="str">
        <f>rmsfe_Pivot_T4!A23</f>
        <v>BMS</v>
      </c>
      <c r="C21" s="16" t="str">
        <f>ROUND(rmsfe_Pivot_T4!B23,2)&amp;IF(rmsfe_Pivot_T4!AN23=1,"**",IF(rmsfe_Pivot_T4!T23=1,"*",""))</f>
        <v>1,4</v>
      </c>
      <c r="D21" s="16" t="str">
        <f>ROUND(rmsfe_Pivot_T4!C23,2)&amp;IF(rmsfe_Pivot_T4!AO23=1,"**",IF(rmsfe_Pivot_T4!U23=1,"*",""))</f>
        <v>0,94</v>
      </c>
      <c r="E21" s="16" t="str">
        <f>ROUND(rmsfe_Pivot_T4!D23,2)&amp;IF(rmsfe_Pivot_T4!AP23=1,"**",IF(rmsfe_Pivot_T4!V23=1,"*",""))</f>
        <v>1,15</v>
      </c>
      <c r="F21" s="16" t="str">
        <f>ROUND(rmsfe_Pivot_T4!E23,2)&amp;IF(rmsfe_Pivot_T4!AQ23=1,"**",IF(rmsfe_Pivot_T4!W23=1,"*",""))</f>
        <v>2</v>
      </c>
      <c r="G21" s="16" t="str">
        <f>ROUND(rmsfe_Pivot_T4!F23,2)&amp;IF(rmsfe_Pivot_T4!AR23=1,"**",IF(rmsfe_Pivot_T4!X23=1,"*",""))</f>
        <v>0,97</v>
      </c>
      <c r="H21" s="16" t="str">
        <f>ROUND(rmsfe_Pivot_T4!G23,2)&amp;IF(rmsfe_Pivot_T4!AS23=1,"**",IF(rmsfe_Pivot_T4!Y23=1,"*",""))</f>
        <v>0,95</v>
      </c>
      <c r="I21" s="16" t="str">
        <f>ROUND(rmsfe_Pivot_T4!H23,2)&amp;IF(rmsfe_Pivot_T4!AT23=1,"**",IF(rmsfe_Pivot_T4!Z23=1,"*",""))</f>
        <v>1,3</v>
      </c>
      <c r="J21" s="16" t="str">
        <f>ROUND(rmsfe_Pivot_T4!I23,2)&amp;IF(rmsfe_Pivot_T4!AU23=1,"**",IF(rmsfe_Pivot_T4!AA23=1,"*",""))</f>
        <v>0,96</v>
      </c>
      <c r="K21" s="16" t="str">
        <f>ROUND(rmsfe_Pivot_T4!J23,2)&amp;IF(rmsfe_Pivot_T4!AV23=1,"**",IF(rmsfe_Pivot_T4!AB23=1,"*",""))</f>
        <v>0,95</v>
      </c>
      <c r="L21" s="16" t="str">
        <f>ROUND(rmsfe_Pivot_T4!K23,2)&amp;IF(rmsfe_Pivot_T4!AW23=1,"**",IF(rmsfe_Pivot_T4!AC23=1,"*",""))</f>
        <v>1,24</v>
      </c>
      <c r="M21" s="16" t="str">
        <f>ROUND(rmsfe_Pivot_T4!L23,2)&amp;IF(rmsfe_Pivot_T4!AX23=1,"**",IF(rmsfe_Pivot_T4!AD23=1,"*",""))</f>
        <v>0,88</v>
      </c>
      <c r="N21" s="16" t="str">
        <f>ROUND(rmsfe_Pivot_T4!M23,2)&amp;IF(rmsfe_Pivot_T4!AY23=1,"**",IF(rmsfe_Pivot_T4!AE23=1,"*",""))</f>
        <v>1,28</v>
      </c>
      <c r="O21" s="16" t="str">
        <f>ROUND(rmsfe_Pivot_T4!N23,2)&amp;IF(rmsfe_Pivot_T4!AZ23=1,"**",IF(rmsfe_Pivot_T4!AF23=1,"*",""))</f>
        <v>1</v>
      </c>
      <c r="P21" s="16" t="str">
        <f>ROUND(rmsfe_Pivot_T4!O23,2)&amp;IF(rmsfe_Pivot_T4!BA23=1,"**",IF(rmsfe_Pivot_T4!AG23=1,"*",""))</f>
        <v>1,17</v>
      </c>
      <c r="Q21" s="16" t="str">
        <f>ROUND(rmsfe_Pivot_T4!P23,2)&amp;IF(rmsfe_Pivot_T4!BB23=1,"**",IF(rmsfe_Pivot_T4!AH23=1,"*",""))</f>
        <v>1,07</v>
      </c>
      <c r="R21" s="17" t="str">
        <f>rmsfe_Pivot_T4!AI23&amp;"/"&amp;rmsfe_Pivot_T4!BC23</f>
        <v>0/0</v>
      </c>
    </row>
    <row r="22" spans="2:20" x14ac:dyDescent="0.25">
      <c r="B22" s="11" t="str">
        <f>rmsfe_Pivot_T4!A24</f>
        <v>CC</v>
      </c>
      <c r="C22" s="16" t="str">
        <f>ROUND(rmsfe_Pivot_T4!B24,2)&amp;IF(rmsfe_Pivot_T4!AN24=1,"**",IF(rmsfe_Pivot_T4!T24=1,"*",""))</f>
        <v>1,98</v>
      </c>
      <c r="D22" s="16" t="str">
        <f>ROUND(rmsfe_Pivot_T4!C24,2)&amp;IF(rmsfe_Pivot_T4!AO24=1,"**",IF(rmsfe_Pivot_T4!U24=1,"*",""))</f>
        <v>1,18</v>
      </c>
      <c r="E22" s="16" t="str">
        <f>ROUND(rmsfe_Pivot_T4!D24,2)&amp;IF(rmsfe_Pivot_T4!AP24=1,"**",IF(rmsfe_Pivot_T4!V24=1,"*",""))</f>
        <v>1,14</v>
      </c>
      <c r="F22" s="16" t="str">
        <f>ROUND(rmsfe_Pivot_T4!E24,2)&amp;IF(rmsfe_Pivot_T4!AQ24=1,"**",IF(rmsfe_Pivot_T4!W24=1,"*",""))</f>
        <v>2,48</v>
      </c>
      <c r="G22" s="16" t="str">
        <f>ROUND(rmsfe_Pivot_T4!F24,2)&amp;IF(rmsfe_Pivot_T4!AR24=1,"**",IF(rmsfe_Pivot_T4!X24=1,"*",""))</f>
        <v>1,13</v>
      </c>
      <c r="H22" s="16" t="str">
        <f>ROUND(rmsfe_Pivot_T4!G24,2)&amp;IF(rmsfe_Pivot_T4!AS24=1,"**",IF(rmsfe_Pivot_T4!Y24=1,"*",""))</f>
        <v>1,21</v>
      </c>
      <c r="I22" s="16" t="str">
        <f>ROUND(rmsfe_Pivot_T4!H24,2)&amp;IF(rmsfe_Pivot_T4!AT24=1,"**",IF(rmsfe_Pivot_T4!Z24=1,"*",""))</f>
        <v>1,11</v>
      </c>
      <c r="J22" s="16" t="str">
        <f>ROUND(rmsfe_Pivot_T4!I24,2)&amp;IF(rmsfe_Pivot_T4!AU24=1,"**",IF(rmsfe_Pivot_T4!AA24=1,"*",""))</f>
        <v>1,24</v>
      </c>
      <c r="K22" s="16" t="str">
        <f>ROUND(rmsfe_Pivot_T4!J24,2)&amp;IF(rmsfe_Pivot_T4!AV24=1,"**",IF(rmsfe_Pivot_T4!AB24=1,"*",""))</f>
        <v>1,12</v>
      </c>
      <c r="L22" s="16" t="str">
        <f>ROUND(rmsfe_Pivot_T4!K24,2)&amp;IF(rmsfe_Pivot_T4!AW24=1,"**",IF(rmsfe_Pivot_T4!AC24=1,"*",""))</f>
        <v>1,08</v>
      </c>
      <c r="M22" s="16" t="str">
        <f>ROUND(rmsfe_Pivot_T4!L24,2)&amp;IF(rmsfe_Pivot_T4!AX24=1,"**",IF(rmsfe_Pivot_T4!AD24=1,"*",""))</f>
        <v>0,96</v>
      </c>
      <c r="N22" s="16" t="str">
        <f>ROUND(rmsfe_Pivot_T4!M24,2)&amp;IF(rmsfe_Pivot_T4!AY24=1,"**",IF(rmsfe_Pivot_T4!AE24=1,"*",""))</f>
        <v>1,42</v>
      </c>
      <c r="O22" s="16" t="str">
        <f>ROUND(rmsfe_Pivot_T4!N24,2)&amp;IF(rmsfe_Pivot_T4!AZ24=1,"**",IF(rmsfe_Pivot_T4!AF24=1,"*",""))</f>
        <v>2</v>
      </c>
      <c r="P22" s="16" t="str">
        <f>ROUND(rmsfe_Pivot_T4!O24,2)&amp;IF(rmsfe_Pivot_T4!BA24=1,"**",IF(rmsfe_Pivot_T4!AG24=1,"*",""))</f>
        <v>2,09</v>
      </c>
      <c r="Q22" s="16" t="str">
        <f>ROUND(rmsfe_Pivot_T4!P24,2)&amp;IF(rmsfe_Pivot_T4!BB24=1,"**",IF(rmsfe_Pivot_T4!AH24=1,"*",""))</f>
        <v>1,09</v>
      </c>
      <c r="R22" s="17" t="str">
        <f>rmsfe_Pivot_T4!AI24&amp;"/"&amp;rmsfe_Pivot_T4!BC24</f>
        <v>0/0</v>
      </c>
    </row>
    <row r="23" spans="2:20" x14ac:dyDescent="0.25">
      <c r="B23" t="s">
        <v>445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</row>
    <row r="24" spans="2:20" x14ac:dyDescent="0.25">
      <c r="B24" t="str">
        <f>rmsfe_Pivot_T4!A26</f>
        <v>ZS</v>
      </c>
      <c r="C24" s="14" t="str">
        <f>ROUND(rmsfe_Pivot_T4!B26,2)&amp;IF(rmsfe_Pivot_T4!AN26=1,"**",IF(rmsfe_Pivot_T4!T26=1,"*",""))</f>
        <v>1</v>
      </c>
      <c r="D24" s="14" t="str">
        <f>ROUND(rmsfe_Pivot_T4!C26,2)&amp;IF(rmsfe_Pivot_T4!AO26=1,"**",IF(rmsfe_Pivot_T4!U26=1,"*",""))</f>
        <v>1</v>
      </c>
      <c r="E24" s="14" t="str">
        <f>ROUND(rmsfe_Pivot_T4!D26,2)&amp;IF(rmsfe_Pivot_T4!AP26=1,"**",IF(rmsfe_Pivot_T4!V26=1,"*",""))</f>
        <v>1</v>
      </c>
      <c r="F24" s="14" t="str">
        <f>ROUND(rmsfe_Pivot_T4!E26,2)&amp;IF(rmsfe_Pivot_T4!AQ26=1,"**",IF(rmsfe_Pivot_T4!W26=1,"*",""))</f>
        <v>1</v>
      </c>
      <c r="G24" s="14" t="str">
        <f>ROUND(rmsfe_Pivot_T4!F26,2)&amp;IF(rmsfe_Pivot_T4!AR26=1,"**",IF(rmsfe_Pivot_T4!X26=1,"*",""))</f>
        <v>1</v>
      </c>
      <c r="H24" s="14" t="str">
        <f>ROUND(rmsfe_Pivot_T4!G26,2)&amp;IF(rmsfe_Pivot_T4!AS26=1,"**",IF(rmsfe_Pivot_T4!Y26=1,"*",""))</f>
        <v>1</v>
      </c>
      <c r="I24" s="14" t="str">
        <f>ROUND(rmsfe_Pivot_T4!H26,2)&amp;IF(rmsfe_Pivot_T4!AT26=1,"**",IF(rmsfe_Pivot_T4!Z26=1,"*",""))</f>
        <v>1</v>
      </c>
      <c r="J24" s="14" t="str">
        <f>ROUND(rmsfe_Pivot_T4!I26,2)&amp;IF(rmsfe_Pivot_T4!AU26=1,"**",IF(rmsfe_Pivot_T4!AA26=1,"*",""))</f>
        <v>1</v>
      </c>
      <c r="K24" s="14" t="str">
        <f>ROUND(rmsfe_Pivot_T4!J26,2)&amp;IF(rmsfe_Pivot_T4!AV26=1,"**",IF(rmsfe_Pivot_T4!AB26=1,"*",""))</f>
        <v>1</v>
      </c>
      <c r="L24" s="14" t="str">
        <f>ROUND(rmsfe_Pivot_T4!K26,2)&amp;IF(rmsfe_Pivot_T4!AW26=1,"**",IF(rmsfe_Pivot_T4!AC26=1,"*",""))</f>
        <v>1</v>
      </c>
      <c r="M24" s="14" t="str">
        <f>ROUND(rmsfe_Pivot_T4!L26,2)&amp;IF(rmsfe_Pivot_T4!AX26=1,"**",IF(rmsfe_Pivot_T4!AD26=1,"*",""))</f>
        <v>1</v>
      </c>
      <c r="N24" s="14" t="str">
        <f>ROUND(rmsfe_Pivot_T4!M26,2)&amp;IF(rmsfe_Pivot_T4!AY26=1,"**",IF(rmsfe_Pivot_T4!AE26=1,"*",""))</f>
        <v>1</v>
      </c>
      <c r="O24" s="14" t="str">
        <f>ROUND(rmsfe_Pivot_T4!N26,2)&amp;IF(rmsfe_Pivot_T4!AZ26=1,"**",IF(rmsfe_Pivot_T4!AF26=1,"*",""))</f>
        <v>1</v>
      </c>
      <c r="P24" s="14" t="str">
        <f>ROUND(rmsfe_Pivot_T4!O26,2)&amp;IF(rmsfe_Pivot_T4!BA26=1,"**",IF(rmsfe_Pivot_T4!AG26=1,"*",""))</f>
        <v>1</v>
      </c>
      <c r="Q24" s="14" t="str">
        <f>ROUND(rmsfe_Pivot_T4!P26,2)&amp;IF(rmsfe_Pivot_T4!BB26=1,"**",IF(rmsfe_Pivot_T4!AH26=1,"*",""))</f>
        <v>1</v>
      </c>
      <c r="R24" s="15" t="str">
        <f>rmsfe_Pivot_T4!AI26&amp;"/"&amp;rmsfe_Pivot_T4!BC26</f>
        <v>0/0</v>
      </c>
    </row>
    <row r="25" spans="2:20" x14ac:dyDescent="0.25">
      <c r="B25" t="str">
        <f>rmsfe_Pivot_T4!A27</f>
        <v>ZS\&amp;POOL</v>
      </c>
      <c r="C25" s="14" t="str">
        <f>ROUND(rmsfe_Pivot_T4!B27,2)&amp;IF(rmsfe_Pivot_T4!AN27=1,"**",IF(rmsfe_Pivot_T4!T27=1,"*",""))</f>
        <v>1,1</v>
      </c>
      <c r="D25" s="14" t="str">
        <f>ROUND(rmsfe_Pivot_T4!C27,2)&amp;IF(rmsfe_Pivot_T4!AO27=1,"**",IF(rmsfe_Pivot_T4!U27=1,"*",""))</f>
        <v>1,04</v>
      </c>
      <c r="E25" s="14" t="str">
        <f>ROUND(rmsfe_Pivot_T4!D27,2)&amp;IF(rmsfe_Pivot_T4!AP27=1,"**",IF(rmsfe_Pivot_T4!V27=1,"*",""))</f>
        <v>1,03</v>
      </c>
      <c r="F25" s="14" t="str">
        <f>ROUND(rmsfe_Pivot_T4!E27,2)&amp;IF(rmsfe_Pivot_T4!AQ27=1,"**",IF(rmsfe_Pivot_T4!W27=1,"*",""))</f>
        <v>1,02</v>
      </c>
      <c r="G25" s="14" t="str">
        <f>ROUND(rmsfe_Pivot_T4!F27,2)&amp;IF(rmsfe_Pivot_T4!AR27=1,"**",IF(rmsfe_Pivot_T4!X27=1,"*",""))</f>
        <v>0,99</v>
      </c>
      <c r="H25" s="14" t="str">
        <f>ROUND(rmsfe_Pivot_T4!G27,2)&amp;IF(rmsfe_Pivot_T4!AS27=1,"**",IF(rmsfe_Pivot_T4!Y27=1,"*",""))</f>
        <v>0,99</v>
      </c>
      <c r="I25" s="14" t="str">
        <f>ROUND(rmsfe_Pivot_T4!H27,2)&amp;IF(rmsfe_Pivot_T4!AT27=1,"**",IF(rmsfe_Pivot_T4!Z27=1,"*",""))</f>
        <v>0,91**</v>
      </c>
      <c r="J25" s="14" t="str">
        <f>ROUND(rmsfe_Pivot_T4!I27,2)&amp;IF(rmsfe_Pivot_T4!AU27=1,"**",IF(rmsfe_Pivot_T4!AA27=1,"*",""))</f>
        <v>1,02</v>
      </c>
      <c r="K25" s="14" t="str">
        <f>ROUND(rmsfe_Pivot_T4!J27,2)&amp;IF(rmsfe_Pivot_T4!AV27=1,"**",IF(rmsfe_Pivot_T4!AB27=1,"*",""))</f>
        <v>1,04</v>
      </c>
      <c r="L25" s="14" t="str">
        <f>ROUND(rmsfe_Pivot_T4!K27,2)&amp;IF(rmsfe_Pivot_T4!AW27=1,"**",IF(rmsfe_Pivot_T4!AC27=1,"*",""))</f>
        <v>0,97**</v>
      </c>
      <c r="M25" s="14" t="str">
        <f>ROUND(rmsfe_Pivot_T4!L27,2)&amp;IF(rmsfe_Pivot_T4!AX27=1,"**",IF(rmsfe_Pivot_T4!AD27=1,"*",""))</f>
        <v>0,95**</v>
      </c>
      <c r="N25" s="14" t="str">
        <f>ROUND(rmsfe_Pivot_T4!M27,2)&amp;IF(rmsfe_Pivot_T4!AY27=1,"**",IF(rmsfe_Pivot_T4!AE27=1,"*",""))</f>
        <v>0,92**</v>
      </c>
      <c r="O25" s="14" t="str">
        <f>ROUND(rmsfe_Pivot_T4!N27,2)&amp;IF(rmsfe_Pivot_T4!AZ27=1,"**",IF(rmsfe_Pivot_T4!AF27=1,"*",""))</f>
        <v>1,15</v>
      </c>
      <c r="P25" s="14" t="str">
        <f>ROUND(rmsfe_Pivot_T4!O27,2)&amp;IF(rmsfe_Pivot_T4!BA27=1,"**",IF(rmsfe_Pivot_T4!AG27=1,"*",""))</f>
        <v>0,99</v>
      </c>
      <c r="Q25" s="14" t="str">
        <f>ROUND(rmsfe_Pivot_T4!P27,2)&amp;IF(rmsfe_Pivot_T4!BB27=1,"**",IF(rmsfe_Pivot_T4!AH27=1,"*",""))</f>
        <v>0,95**</v>
      </c>
      <c r="R25" s="15" t="str">
        <f>rmsfe_Pivot_T4!AI27&amp;"/"&amp;rmsfe_Pivot_T4!BC27</f>
        <v>5/5</v>
      </c>
    </row>
    <row r="26" spans="2:20" x14ac:dyDescent="0.25">
      <c r="B26" t="str">
        <f>rmsfe_Pivot_T4!A28</f>
        <v>POOL</v>
      </c>
      <c r="C26" s="14" t="str">
        <f>ROUND(rmsfe_Pivot_T4!B28,2)&amp;IF(rmsfe_Pivot_T4!AN28=1,"**",IF(rmsfe_Pivot_T4!T28=1,"*",""))</f>
        <v>0,88</v>
      </c>
      <c r="D26" s="14" t="str">
        <f>ROUND(rmsfe_Pivot_T4!C28,2)&amp;IF(rmsfe_Pivot_T4!AO28=1,"**",IF(rmsfe_Pivot_T4!U28=1,"*",""))</f>
        <v>0,91**</v>
      </c>
      <c r="E26" s="14" t="str">
        <f>ROUND(rmsfe_Pivot_T4!D28,2)&amp;IF(rmsfe_Pivot_T4!AP28=1,"**",IF(rmsfe_Pivot_T4!V28=1,"*",""))</f>
        <v>1,07</v>
      </c>
      <c r="F26" s="14" t="str">
        <f>ROUND(rmsfe_Pivot_T4!E28,2)&amp;IF(rmsfe_Pivot_T4!AQ28=1,"**",IF(rmsfe_Pivot_T4!W28=1,"*",""))</f>
        <v>0,88**</v>
      </c>
      <c r="G26" s="14" t="str">
        <f>ROUND(rmsfe_Pivot_T4!F28,2)&amp;IF(rmsfe_Pivot_T4!AR28=1,"**",IF(rmsfe_Pivot_T4!X28=1,"*",""))</f>
        <v>1,07</v>
      </c>
      <c r="H26" s="14" t="str">
        <f>ROUND(rmsfe_Pivot_T4!G28,2)&amp;IF(rmsfe_Pivot_T4!AS28=1,"**",IF(rmsfe_Pivot_T4!Y28=1,"*",""))</f>
        <v>1,07</v>
      </c>
      <c r="I26" s="14" t="str">
        <f>ROUND(rmsfe_Pivot_T4!H28,2)&amp;IF(rmsfe_Pivot_T4!AT28=1,"**",IF(rmsfe_Pivot_T4!Z28=1,"*",""))</f>
        <v>0,99</v>
      </c>
      <c r="J26" s="14" t="str">
        <f>ROUND(rmsfe_Pivot_T4!I28,2)&amp;IF(rmsfe_Pivot_T4!AU28=1,"**",IF(rmsfe_Pivot_T4!AA28=1,"*",""))</f>
        <v>0,95**</v>
      </c>
      <c r="K26" s="14" t="str">
        <f>ROUND(rmsfe_Pivot_T4!J28,2)&amp;IF(rmsfe_Pivot_T4!AV28=1,"**",IF(rmsfe_Pivot_T4!AB28=1,"*",""))</f>
        <v>1,07</v>
      </c>
      <c r="L26" s="14" t="str">
        <f>ROUND(rmsfe_Pivot_T4!K28,2)&amp;IF(rmsfe_Pivot_T4!AW28=1,"**",IF(rmsfe_Pivot_T4!AC28=1,"*",""))</f>
        <v>0,91**</v>
      </c>
      <c r="M26" s="14" t="str">
        <f>ROUND(rmsfe_Pivot_T4!L28,2)&amp;IF(rmsfe_Pivot_T4!AX28=1,"**",IF(rmsfe_Pivot_T4!AD28=1,"*",""))</f>
        <v>0,95**</v>
      </c>
      <c r="N26" s="14" t="str">
        <f>ROUND(rmsfe_Pivot_T4!M28,2)&amp;IF(rmsfe_Pivot_T4!AY28=1,"**",IF(rmsfe_Pivot_T4!AE28=1,"*",""))</f>
        <v>1</v>
      </c>
      <c r="O26" s="14" t="str">
        <f>ROUND(rmsfe_Pivot_T4!N28,2)&amp;IF(rmsfe_Pivot_T4!AZ28=1,"**",IF(rmsfe_Pivot_T4!AF28=1,"*",""))</f>
        <v>1,01</v>
      </c>
      <c r="P26" s="14" t="str">
        <f>ROUND(rmsfe_Pivot_T4!O28,2)&amp;IF(rmsfe_Pivot_T4!BA28=1,"**",IF(rmsfe_Pivot_T4!AG28=1,"*",""))</f>
        <v>0,74**</v>
      </c>
      <c r="Q26" s="14" t="str">
        <f>ROUND(rmsfe_Pivot_T4!P28,2)&amp;IF(rmsfe_Pivot_T4!BB28=1,"**",IF(rmsfe_Pivot_T4!AH28=1,"*",""))</f>
        <v>0,97*</v>
      </c>
      <c r="R26" s="15" t="str">
        <f>rmsfe_Pivot_T4!AI28&amp;"/"&amp;rmsfe_Pivot_T4!BC28</f>
        <v>7/6</v>
      </c>
    </row>
    <row r="27" spans="2:20" x14ac:dyDescent="0.25">
      <c r="B27" t="str">
        <f>rmsfe_Pivot_T4!A29</f>
        <v>ZSGL</v>
      </c>
      <c r="C27" s="14" t="str">
        <f>ROUND(rmsfe_Pivot_T4!B29,2)&amp;IF(rmsfe_Pivot_T4!AN29=1,"**",IF(rmsfe_Pivot_T4!T29=1,"*",""))</f>
        <v>0,97</v>
      </c>
      <c r="D27" s="14" t="str">
        <f>ROUND(rmsfe_Pivot_T4!C29,2)&amp;IF(rmsfe_Pivot_T4!AO29=1,"**",IF(rmsfe_Pivot_T4!U29=1,"*",""))</f>
        <v>0,93**</v>
      </c>
      <c r="E27" s="14" t="str">
        <f>ROUND(rmsfe_Pivot_T4!D29,2)&amp;IF(rmsfe_Pivot_T4!AP29=1,"**",IF(rmsfe_Pivot_T4!V29=1,"*",""))</f>
        <v>0,99</v>
      </c>
      <c r="F27" s="14" t="str">
        <f>ROUND(rmsfe_Pivot_T4!E29,2)&amp;IF(rmsfe_Pivot_T4!AQ29=1,"**",IF(rmsfe_Pivot_T4!W29=1,"*",""))</f>
        <v>1,05</v>
      </c>
      <c r="G27" s="14" t="str">
        <f>ROUND(rmsfe_Pivot_T4!F29,2)&amp;IF(rmsfe_Pivot_T4!AR29=1,"**",IF(rmsfe_Pivot_T4!X29=1,"*",""))</f>
        <v>0,96**</v>
      </c>
      <c r="H27" s="14" t="str">
        <f>ROUND(rmsfe_Pivot_T4!G29,2)&amp;IF(rmsfe_Pivot_T4!AS29=1,"**",IF(rmsfe_Pivot_T4!Y29=1,"*",""))</f>
        <v>1,03</v>
      </c>
      <c r="I27" s="14" t="str">
        <f>ROUND(rmsfe_Pivot_T4!H29,2)&amp;IF(rmsfe_Pivot_T4!AT29=1,"**",IF(rmsfe_Pivot_T4!Z29=1,"*",""))</f>
        <v>0,97**</v>
      </c>
      <c r="J27" s="14" t="str">
        <f>ROUND(rmsfe_Pivot_T4!I29,2)&amp;IF(rmsfe_Pivot_T4!AU29=1,"**",IF(rmsfe_Pivot_T4!AA29=1,"*",""))</f>
        <v>0,89**</v>
      </c>
      <c r="K27" s="14" t="str">
        <f>ROUND(rmsfe_Pivot_T4!J29,2)&amp;IF(rmsfe_Pivot_T4!AV29=1,"**",IF(rmsfe_Pivot_T4!AB29=1,"*",""))</f>
        <v>1,03</v>
      </c>
      <c r="L27" s="14" t="str">
        <f>ROUND(rmsfe_Pivot_T4!K29,2)&amp;IF(rmsfe_Pivot_T4!AW29=1,"**",IF(rmsfe_Pivot_T4!AC29=1,"*",""))</f>
        <v>0,97</v>
      </c>
      <c r="M27" s="14" t="str">
        <f>ROUND(rmsfe_Pivot_T4!L29,2)&amp;IF(rmsfe_Pivot_T4!AX29=1,"**",IF(rmsfe_Pivot_T4!AD29=1,"*",""))</f>
        <v>0,97**</v>
      </c>
      <c r="N27" s="14" t="str">
        <f>ROUND(rmsfe_Pivot_T4!M29,2)&amp;IF(rmsfe_Pivot_T4!AY29=1,"**",IF(rmsfe_Pivot_T4!AE29=1,"*",""))</f>
        <v>1,01</v>
      </c>
      <c r="O27" s="14" t="str">
        <f>ROUND(rmsfe_Pivot_T4!N29,2)&amp;IF(rmsfe_Pivot_T4!AZ29=1,"**",IF(rmsfe_Pivot_T4!AF29=1,"*",""))</f>
        <v>0,92**</v>
      </c>
      <c r="P27" s="14" t="str">
        <f>ROUND(rmsfe_Pivot_T4!O29,2)&amp;IF(rmsfe_Pivot_T4!BA29=1,"**",IF(rmsfe_Pivot_T4!AG29=1,"*",""))</f>
        <v>0,85**</v>
      </c>
      <c r="Q27" s="14" t="str">
        <f>ROUND(rmsfe_Pivot_T4!P29,2)&amp;IF(rmsfe_Pivot_T4!BB29=1,"**",IF(rmsfe_Pivot_T4!AH29=1,"*",""))</f>
        <v>1</v>
      </c>
      <c r="R27" s="15" t="str">
        <f>rmsfe_Pivot_T4!AI29&amp;"/"&amp;rmsfe_Pivot_T4!BC29</f>
        <v>7/7</v>
      </c>
    </row>
    <row r="28" spans="2:20" x14ac:dyDescent="0.25">
      <c r="B28" t="str">
        <f>rmsfe_Pivot_T4!A30</f>
        <v>J</v>
      </c>
      <c r="C28" s="14" t="str">
        <f>ROUND(rmsfe_Pivot_T4!B30,2)&amp;IF(rmsfe_Pivot_T4!AN30=1,"**",IF(rmsfe_Pivot_T4!T30=1,"*",""))</f>
        <v>0,48**</v>
      </c>
      <c r="D28" s="14" t="str">
        <f>ROUND(rmsfe_Pivot_T4!C30,2)&amp;IF(rmsfe_Pivot_T4!AO30=1,"**",IF(rmsfe_Pivot_T4!U30=1,"*",""))</f>
        <v>0,83**</v>
      </c>
      <c r="E28" s="14" t="str">
        <f>ROUND(rmsfe_Pivot_T4!D30,2)&amp;IF(rmsfe_Pivot_T4!AP30=1,"**",IF(rmsfe_Pivot_T4!V30=1,"*",""))</f>
        <v>0,96*</v>
      </c>
      <c r="F28" s="14" t="str">
        <f>ROUND(rmsfe_Pivot_T4!E30,2)&amp;IF(rmsfe_Pivot_T4!AQ30=1,"**",IF(rmsfe_Pivot_T4!W30=1,"*",""))</f>
        <v>0,16**</v>
      </c>
      <c r="G28" s="14" t="str">
        <f>ROUND(rmsfe_Pivot_T4!F30,2)&amp;IF(rmsfe_Pivot_T4!AR30=1,"**",IF(rmsfe_Pivot_T4!X30=1,"*",""))</f>
        <v>0,88**</v>
      </c>
      <c r="H28" s="14" t="str">
        <f>ROUND(rmsfe_Pivot_T4!G30,2)&amp;IF(rmsfe_Pivot_T4!AS30=1,"**",IF(rmsfe_Pivot_T4!Y30=1,"*",""))</f>
        <v>1,02</v>
      </c>
      <c r="I28" s="14" t="str">
        <f>ROUND(rmsfe_Pivot_T4!H30,2)&amp;IF(rmsfe_Pivot_T4!AT30=1,"**",IF(rmsfe_Pivot_T4!Z30=1,"*",""))</f>
        <v>0,93</v>
      </c>
      <c r="J28" s="14" t="str">
        <f>ROUND(rmsfe_Pivot_T4!I30,2)&amp;IF(rmsfe_Pivot_T4!AU30=1,"**",IF(rmsfe_Pivot_T4!AA30=1,"*",""))</f>
        <v>0,82**</v>
      </c>
      <c r="K28" s="14" t="str">
        <f>ROUND(rmsfe_Pivot_T4!J30,2)&amp;IF(rmsfe_Pivot_T4!AV30=1,"**",IF(rmsfe_Pivot_T4!AB30=1,"*",""))</f>
        <v>0,99</v>
      </c>
      <c r="L28" s="14" t="str">
        <f>ROUND(rmsfe_Pivot_T4!K30,2)&amp;IF(rmsfe_Pivot_T4!AW30=1,"**",IF(rmsfe_Pivot_T4!AC30=1,"*",""))</f>
        <v>0,77**</v>
      </c>
      <c r="M28" s="14" t="str">
        <f>ROUND(rmsfe_Pivot_T4!L30,2)&amp;IF(rmsfe_Pivot_T4!AX30=1,"**",IF(rmsfe_Pivot_T4!AD30=1,"*",""))</f>
        <v>0,78**</v>
      </c>
      <c r="N28" s="14" t="str">
        <f>ROUND(rmsfe_Pivot_T4!M30,2)&amp;IF(rmsfe_Pivot_T4!AY30=1,"**",IF(rmsfe_Pivot_T4!AE30=1,"*",""))</f>
        <v>0,89**</v>
      </c>
      <c r="O28" s="14" t="str">
        <f>ROUND(rmsfe_Pivot_T4!N30,2)&amp;IF(rmsfe_Pivot_T4!AZ30=1,"**",IF(rmsfe_Pivot_T4!AF30=1,"*",""))</f>
        <v>0,72*</v>
      </c>
      <c r="P28" s="14" t="str">
        <f>ROUND(rmsfe_Pivot_T4!O30,2)&amp;IF(rmsfe_Pivot_T4!BA30=1,"**",IF(rmsfe_Pivot_T4!AG30=1,"*",""))</f>
        <v>0,44**</v>
      </c>
      <c r="Q28" s="14" t="str">
        <f>ROUND(rmsfe_Pivot_T4!P30,2)&amp;IF(rmsfe_Pivot_T4!BB30=1,"**",IF(rmsfe_Pivot_T4!AH30=1,"*",""))</f>
        <v>0,81**</v>
      </c>
      <c r="R28" s="15" t="str">
        <f>rmsfe_Pivot_T4!AI30&amp;"/"&amp;rmsfe_Pivot_T4!BC30</f>
        <v>12/10</v>
      </c>
      <c r="T28" t="str">
        <f>B28&amp;"&amp;"&amp;C28&amp;"&amp;"&amp;D28&amp;"&amp;"&amp;E28&amp;"&amp;"&amp;F28&amp;"&amp;"&amp;G28&amp;"&amp;"&amp;H28&amp;"&amp;"&amp;I28&amp;"&amp;"&amp;J28&amp;"&amp;"&amp;K28&amp;"&amp;"&amp;L28&amp;"&amp;"&amp;M28&amp;"&amp;"&amp;N28&amp;"&amp;"&amp;O28&amp;"&amp;"&amp;P28&amp;"&amp;"&amp;Q28&amp;"&amp;"&amp;R28&amp;"\\"</f>
        <v>J&amp;0,48**&amp;0,83**&amp;0,96*&amp;0,16**&amp;0,88**&amp;1,02&amp;0,93&amp;0,82**&amp;0,99&amp;0,77**&amp;0,78**&amp;0,89**&amp;0,72*&amp;0,44**&amp;0,81**&amp;12/10\\</v>
      </c>
    </row>
    <row r="29" spans="2:20" x14ac:dyDescent="0.25">
      <c r="B29" s="11" t="str">
        <f>rmsfe_Pivot_T4!A31</f>
        <v>BFCS</v>
      </c>
      <c r="C29" s="16" t="str">
        <f>ROUND(rmsfe_Pivot_T4!B31,2)&amp;IF(rmsfe_Pivot_T4!AN31=1,"**",IF(rmsfe_Pivot_T4!T31=1,"*",""))</f>
        <v>1,75</v>
      </c>
      <c r="D29" s="16" t="str">
        <f>ROUND(rmsfe_Pivot_T4!C31,2)&amp;IF(rmsfe_Pivot_T4!AO31=1,"**",IF(rmsfe_Pivot_T4!U31=1,"*",""))</f>
        <v>1,91</v>
      </c>
      <c r="E29" s="16" t="str">
        <f>ROUND(rmsfe_Pivot_T4!D31,2)&amp;IF(rmsfe_Pivot_T4!AP31=1,"**",IF(rmsfe_Pivot_T4!V31=1,"*",""))</f>
        <v>1,66</v>
      </c>
      <c r="F29" s="16" t="str">
        <f>ROUND(rmsfe_Pivot_T4!E31,2)&amp;IF(rmsfe_Pivot_T4!AQ31=1,"**",IF(rmsfe_Pivot_T4!W31=1,"*",""))</f>
        <v>2,28</v>
      </c>
      <c r="G29" s="16" t="str">
        <f>ROUND(rmsfe_Pivot_T4!F31,2)&amp;IF(rmsfe_Pivot_T4!AR31=1,"**",IF(rmsfe_Pivot_T4!X31=1,"*",""))</f>
        <v>2,75</v>
      </c>
      <c r="H29" s="16" t="str">
        <f>ROUND(rmsfe_Pivot_T4!G31,2)&amp;IF(rmsfe_Pivot_T4!AS31=1,"**",IF(rmsfe_Pivot_T4!Y31=1,"*",""))</f>
        <v>2,38</v>
      </c>
      <c r="I29" s="16" t="str">
        <f>ROUND(rmsfe_Pivot_T4!H31,2)&amp;IF(rmsfe_Pivot_T4!AT31=1,"**",IF(rmsfe_Pivot_T4!Z31=1,"*",""))</f>
        <v>2,87</v>
      </c>
      <c r="J29" s="16" t="str">
        <f>ROUND(rmsfe_Pivot_T4!I31,2)&amp;IF(rmsfe_Pivot_T4!AU31=1,"**",IF(rmsfe_Pivot_T4!AA31=1,"*",""))</f>
        <v>1,74</v>
      </c>
      <c r="K29" s="16" t="str">
        <f>ROUND(rmsfe_Pivot_T4!J31,2)&amp;IF(rmsfe_Pivot_T4!AV31=1,"**",IF(rmsfe_Pivot_T4!AB31=1,"*",""))</f>
        <v>3,21</v>
      </c>
      <c r="L29" s="16" t="str">
        <f>ROUND(rmsfe_Pivot_T4!K31,2)&amp;IF(rmsfe_Pivot_T4!AW31=1,"**",IF(rmsfe_Pivot_T4!AC31=1,"*",""))</f>
        <v>3,05</v>
      </c>
      <c r="M29" s="16" t="str">
        <f>ROUND(rmsfe_Pivot_T4!L31,2)&amp;IF(rmsfe_Pivot_T4!AX31=1,"**",IF(rmsfe_Pivot_T4!AD31=1,"*",""))</f>
        <v>1,15</v>
      </c>
      <c r="N29" s="16" t="str">
        <f>ROUND(rmsfe_Pivot_T4!M31,2)&amp;IF(rmsfe_Pivot_T4!AY31=1,"**",IF(rmsfe_Pivot_T4!AE31=1,"*",""))</f>
        <v>2,67</v>
      </c>
      <c r="O29" s="16" t="str">
        <f>ROUND(rmsfe_Pivot_T4!N31,2)&amp;IF(rmsfe_Pivot_T4!AZ31=1,"**",IF(rmsfe_Pivot_T4!AF31=1,"*",""))</f>
        <v>0,99</v>
      </c>
      <c r="P29" s="16" t="str">
        <f>ROUND(rmsfe_Pivot_T4!O31,2)&amp;IF(rmsfe_Pivot_T4!BA31=1,"**",IF(rmsfe_Pivot_T4!AG31=1,"*",""))</f>
        <v>3,33</v>
      </c>
      <c r="Q29" s="16" t="str">
        <f>ROUND(rmsfe_Pivot_T4!P31,2)&amp;IF(rmsfe_Pivot_T4!BB31=1,"**",IF(rmsfe_Pivot_T4!AH31=1,"*",""))</f>
        <v>2,08</v>
      </c>
      <c r="R29" s="17" t="str">
        <f>rmsfe_Pivot_T4!AI31&amp;"/"&amp;rmsfe_Pivot_T4!BC31</f>
        <v>0/0</v>
      </c>
    </row>
    <row r="30" spans="2:20" x14ac:dyDescent="0.25">
      <c r="B30" s="11" t="str">
        <f>rmsfe_Pivot_T4!A32</f>
        <v>SSSS</v>
      </c>
      <c r="C30" s="16" t="str">
        <f>ROUND(rmsfe_Pivot_T4!B32,2)&amp;IF(rmsfe_Pivot_T4!AN32=1,"**",IF(rmsfe_Pivot_T4!T32=1,"*",""))</f>
        <v>1,28</v>
      </c>
      <c r="D30" s="16" t="str">
        <f>ROUND(rmsfe_Pivot_T4!C32,2)&amp;IF(rmsfe_Pivot_T4!AO32=1,"**",IF(rmsfe_Pivot_T4!U32=1,"*",""))</f>
        <v>1,16</v>
      </c>
      <c r="E30" s="16" t="str">
        <f>ROUND(rmsfe_Pivot_T4!D32,2)&amp;IF(rmsfe_Pivot_T4!AP32=1,"**",IF(rmsfe_Pivot_T4!V32=1,"*",""))</f>
        <v>1,76</v>
      </c>
      <c r="F30" s="16" t="str">
        <f>ROUND(rmsfe_Pivot_T4!E32,2)&amp;IF(rmsfe_Pivot_T4!AQ32=1,"**",IF(rmsfe_Pivot_T4!W32=1,"*",""))</f>
        <v>2,02</v>
      </c>
      <c r="G30" s="16" t="str">
        <f>ROUND(rmsfe_Pivot_T4!F32,2)&amp;IF(rmsfe_Pivot_T4!AR32=1,"**",IF(rmsfe_Pivot_T4!X32=1,"*",""))</f>
        <v>1,23</v>
      </c>
      <c r="H30" s="16" t="str">
        <f>ROUND(rmsfe_Pivot_T4!G32,2)&amp;IF(rmsfe_Pivot_T4!AS32=1,"**",IF(rmsfe_Pivot_T4!Y32=1,"*",""))</f>
        <v>1,12</v>
      </c>
      <c r="I30" s="16" t="str">
        <f>ROUND(rmsfe_Pivot_T4!H32,2)&amp;IF(rmsfe_Pivot_T4!AT32=1,"**",IF(rmsfe_Pivot_T4!Z32=1,"*",""))</f>
        <v>0,95</v>
      </c>
      <c r="J30" s="16" t="str">
        <f>ROUND(rmsfe_Pivot_T4!I32,2)&amp;IF(rmsfe_Pivot_T4!AU32=1,"**",IF(rmsfe_Pivot_T4!AA32=1,"*",""))</f>
        <v>1,1</v>
      </c>
      <c r="K30" s="16" t="str">
        <f>ROUND(rmsfe_Pivot_T4!J32,2)&amp;IF(rmsfe_Pivot_T4!AV32=1,"**",IF(rmsfe_Pivot_T4!AB32=1,"*",""))</f>
        <v>1,47</v>
      </c>
      <c r="L30" s="16" t="str">
        <f>ROUND(rmsfe_Pivot_T4!K32,2)&amp;IF(rmsfe_Pivot_T4!AW32=1,"**",IF(rmsfe_Pivot_T4!AC32=1,"*",""))</f>
        <v>1,15</v>
      </c>
      <c r="M30" s="16" t="str">
        <f>ROUND(rmsfe_Pivot_T4!L32,2)&amp;IF(rmsfe_Pivot_T4!AX32=1,"**",IF(rmsfe_Pivot_T4!AD32=1,"*",""))</f>
        <v>0,92</v>
      </c>
      <c r="N30" s="16" t="str">
        <f>ROUND(rmsfe_Pivot_T4!M32,2)&amp;IF(rmsfe_Pivot_T4!AY32=1,"**",IF(rmsfe_Pivot_T4!AE32=1,"*",""))</f>
        <v>1,73</v>
      </c>
      <c r="O30" s="16" t="str">
        <f>ROUND(rmsfe_Pivot_T4!N32,2)&amp;IF(rmsfe_Pivot_T4!AZ32=1,"**",IF(rmsfe_Pivot_T4!AF32=1,"*",""))</f>
        <v>1,59</v>
      </c>
      <c r="P30" s="16" t="str">
        <f>ROUND(rmsfe_Pivot_T4!O32,2)&amp;IF(rmsfe_Pivot_T4!BA32=1,"**",IF(rmsfe_Pivot_T4!AG32=1,"*",""))</f>
        <v>0,84*</v>
      </c>
      <c r="Q30" s="16" t="str">
        <f>ROUND(rmsfe_Pivot_T4!P32,2)&amp;IF(rmsfe_Pivot_T4!BB32=1,"**",IF(rmsfe_Pivot_T4!AH32=1,"*",""))</f>
        <v>1,13</v>
      </c>
      <c r="R30" s="17" t="str">
        <f>rmsfe_Pivot_T4!AI32&amp;"/"&amp;rmsfe_Pivot_T4!BC32</f>
        <v>1/0</v>
      </c>
    </row>
    <row r="31" spans="2:20" x14ac:dyDescent="0.25">
      <c r="B31" s="11" t="str">
        <f>rmsfe_Pivot_T4!A33</f>
        <v>BMS</v>
      </c>
      <c r="C31" s="16" t="str">
        <f>ROUND(rmsfe_Pivot_T4!B33,2)&amp;IF(rmsfe_Pivot_T4!AN33=1,"**",IF(rmsfe_Pivot_T4!T33=1,"*",""))</f>
        <v>1,35</v>
      </c>
      <c r="D31" s="16" t="str">
        <f>ROUND(rmsfe_Pivot_T4!C33,2)&amp;IF(rmsfe_Pivot_T4!AO33=1,"**",IF(rmsfe_Pivot_T4!U33=1,"*",""))</f>
        <v>1,38</v>
      </c>
      <c r="E31" s="16" t="str">
        <f>ROUND(rmsfe_Pivot_T4!D33,2)&amp;IF(rmsfe_Pivot_T4!AP33=1,"**",IF(rmsfe_Pivot_T4!V33=1,"*",""))</f>
        <v>1,29</v>
      </c>
      <c r="F31" s="16" t="str">
        <f>ROUND(rmsfe_Pivot_T4!E33,2)&amp;IF(rmsfe_Pivot_T4!AQ33=1,"**",IF(rmsfe_Pivot_T4!W33=1,"*",""))</f>
        <v>2,04</v>
      </c>
      <c r="G31" s="16" t="str">
        <f>ROUND(rmsfe_Pivot_T4!F33,2)&amp;IF(rmsfe_Pivot_T4!AR33=1,"**",IF(rmsfe_Pivot_T4!X33=1,"*",""))</f>
        <v>1,55</v>
      </c>
      <c r="H31" s="16" t="str">
        <f>ROUND(rmsfe_Pivot_T4!G33,2)&amp;IF(rmsfe_Pivot_T4!AS33=1,"**",IF(rmsfe_Pivot_T4!Y33=1,"*",""))</f>
        <v>1,46</v>
      </c>
      <c r="I31" s="16" t="str">
        <f>ROUND(rmsfe_Pivot_T4!H33,2)&amp;IF(rmsfe_Pivot_T4!AT33=1,"**",IF(rmsfe_Pivot_T4!Z33=1,"*",""))</f>
        <v>1,67</v>
      </c>
      <c r="J31" s="16" t="str">
        <f>ROUND(rmsfe_Pivot_T4!I33,2)&amp;IF(rmsfe_Pivot_T4!AU33=1,"**",IF(rmsfe_Pivot_T4!AA33=1,"*",""))</f>
        <v>1,29</v>
      </c>
      <c r="K31" s="16" t="str">
        <f>ROUND(rmsfe_Pivot_T4!J33,2)&amp;IF(rmsfe_Pivot_T4!AV33=1,"**",IF(rmsfe_Pivot_T4!AB33=1,"*",""))</f>
        <v>1,93</v>
      </c>
      <c r="L31" s="16" t="str">
        <f>ROUND(rmsfe_Pivot_T4!K33,2)&amp;IF(rmsfe_Pivot_T4!AW33=1,"**",IF(rmsfe_Pivot_T4!AC33=1,"*",""))</f>
        <v>1,71</v>
      </c>
      <c r="M31" s="16" t="str">
        <f>ROUND(rmsfe_Pivot_T4!L33,2)&amp;IF(rmsfe_Pivot_T4!AX33=1,"**",IF(rmsfe_Pivot_T4!AD33=1,"*",""))</f>
        <v>1,09</v>
      </c>
      <c r="N31" s="16" t="str">
        <f>ROUND(rmsfe_Pivot_T4!M33,2)&amp;IF(rmsfe_Pivot_T4!AY33=1,"**",IF(rmsfe_Pivot_T4!AE33=1,"*",""))</f>
        <v>1,76</v>
      </c>
      <c r="O31" s="16" t="str">
        <f>ROUND(rmsfe_Pivot_T4!N33,2)&amp;IF(rmsfe_Pivot_T4!AZ33=1,"**",IF(rmsfe_Pivot_T4!AF33=1,"*",""))</f>
        <v>1,15</v>
      </c>
      <c r="P31" s="16" t="str">
        <f>ROUND(rmsfe_Pivot_T4!O33,2)&amp;IF(rmsfe_Pivot_T4!BA33=1,"**",IF(rmsfe_Pivot_T4!AG33=1,"*",""))</f>
        <v>1,64</v>
      </c>
      <c r="Q31" s="16" t="str">
        <f>ROUND(rmsfe_Pivot_T4!P33,2)&amp;IF(rmsfe_Pivot_T4!BB33=1,"**",IF(rmsfe_Pivot_T4!AH33=1,"*",""))</f>
        <v>1,26</v>
      </c>
      <c r="R31" s="17" t="str">
        <f>rmsfe_Pivot_T4!AI33&amp;"/"&amp;rmsfe_Pivot_T4!BC33</f>
        <v>0/0</v>
      </c>
    </row>
    <row r="32" spans="2:20" x14ac:dyDescent="0.25">
      <c r="B32" s="11" t="str">
        <f>rmsfe_Pivot_T4!A34</f>
        <v>CC</v>
      </c>
      <c r="C32" s="16" t="str">
        <f>ROUND(rmsfe_Pivot_T4!B34,2)&amp;IF(rmsfe_Pivot_T4!AN34=1,"**",IF(rmsfe_Pivot_T4!T34=1,"*",""))</f>
        <v>1,85</v>
      </c>
      <c r="D32" s="16" t="str">
        <f>ROUND(rmsfe_Pivot_T4!C34,2)&amp;IF(rmsfe_Pivot_T4!AO34=1,"**",IF(rmsfe_Pivot_T4!U34=1,"*",""))</f>
        <v>2,19</v>
      </c>
      <c r="E32" s="16" t="str">
        <f>ROUND(rmsfe_Pivot_T4!D34,2)&amp;IF(rmsfe_Pivot_T4!AP34=1,"**",IF(rmsfe_Pivot_T4!V34=1,"*",""))</f>
        <v>1,89</v>
      </c>
      <c r="F32" s="16" t="str">
        <f>ROUND(rmsfe_Pivot_T4!E34,2)&amp;IF(rmsfe_Pivot_T4!AQ34=1,"**",IF(rmsfe_Pivot_T4!W34=1,"*",""))</f>
        <v>2,34</v>
      </c>
      <c r="G32" s="16" t="str">
        <f>ROUND(rmsfe_Pivot_T4!F34,2)&amp;IF(rmsfe_Pivot_T4!AR34=1,"**",IF(rmsfe_Pivot_T4!X34=1,"*",""))</f>
        <v>2,31</v>
      </c>
      <c r="H32" s="16" t="str">
        <f>ROUND(rmsfe_Pivot_T4!G34,2)&amp;IF(rmsfe_Pivot_T4!AS34=1,"**",IF(rmsfe_Pivot_T4!Y34=1,"*",""))</f>
        <v>1,68</v>
      </c>
      <c r="I32" s="16" t="str">
        <f>ROUND(rmsfe_Pivot_T4!H34,2)&amp;IF(rmsfe_Pivot_T4!AT34=1,"**",IF(rmsfe_Pivot_T4!Z34=1,"*",""))</f>
        <v>2,61</v>
      </c>
      <c r="J32" s="16" t="str">
        <f>ROUND(rmsfe_Pivot_T4!I34,2)&amp;IF(rmsfe_Pivot_T4!AU34=1,"**",IF(rmsfe_Pivot_T4!AA34=1,"*",""))</f>
        <v>2,02</v>
      </c>
      <c r="K32" s="16" t="str">
        <f>ROUND(rmsfe_Pivot_T4!J34,2)&amp;IF(rmsfe_Pivot_T4!AV34=1,"**",IF(rmsfe_Pivot_T4!AB34=1,"*",""))</f>
        <v>3,25</v>
      </c>
      <c r="L32" s="16" t="str">
        <f>ROUND(rmsfe_Pivot_T4!K34,2)&amp;IF(rmsfe_Pivot_T4!AW34=1,"**",IF(rmsfe_Pivot_T4!AC34=1,"*",""))</f>
        <v>2,31</v>
      </c>
      <c r="M32" s="16" t="str">
        <f>ROUND(rmsfe_Pivot_T4!L34,2)&amp;IF(rmsfe_Pivot_T4!AX34=1,"**",IF(rmsfe_Pivot_T4!AD34=1,"*",""))</f>
        <v>1,12</v>
      </c>
      <c r="N32" s="16" t="str">
        <f>ROUND(rmsfe_Pivot_T4!M34,2)&amp;IF(rmsfe_Pivot_T4!AY34=1,"**",IF(rmsfe_Pivot_T4!AE34=1,"*",""))</f>
        <v>2,17</v>
      </c>
      <c r="O32" s="16" t="str">
        <f>ROUND(rmsfe_Pivot_T4!N34,2)&amp;IF(rmsfe_Pivot_T4!AZ34=1,"**",IF(rmsfe_Pivot_T4!AF34=1,"*",""))</f>
        <v>3,54</v>
      </c>
      <c r="P32" s="16" t="str">
        <f>ROUND(rmsfe_Pivot_T4!O34,2)&amp;IF(rmsfe_Pivot_T4!BA34=1,"**",IF(rmsfe_Pivot_T4!AG34=1,"*",""))</f>
        <v>2,4</v>
      </c>
      <c r="Q32" s="16" t="str">
        <f>ROUND(rmsfe_Pivot_T4!P34,2)&amp;IF(rmsfe_Pivot_T4!BB34=1,"**",IF(rmsfe_Pivot_T4!AH34=1,"*",""))</f>
        <v>1,8</v>
      </c>
      <c r="R32" s="17" t="str">
        <f>rmsfe_Pivot_T4!AI34&amp;"/"&amp;rmsfe_Pivot_T4!BC34</f>
        <v>0/0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4867-A9FA-433D-9FE7-EE0E472CD9C2}">
  <dimension ref="B2:T32"/>
  <sheetViews>
    <sheetView workbookViewId="0">
      <selection activeCell="T8" sqref="T8"/>
    </sheetView>
  </sheetViews>
  <sheetFormatPr defaultRowHeight="15" x14ac:dyDescent="0.25"/>
  <cols>
    <col min="2" max="2" width="13.7109375" customWidth="1"/>
    <col min="3" max="10" width="6.42578125" bestFit="1" customWidth="1"/>
    <col min="11" max="11" width="5.42578125" bestFit="1" customWidth="1"/>
    <col min="12" max="17" width="6.42578125" bestFit="1" customWidth="1"/>
    <col min="18" max="18" width="6.7109375" customWidth="1"/>
  </cols>
  <sheetData>
    <row r="2" spans="2:20" x14ac:dyDescent="0.25">
      <c r="B2" s="11" t="s">
        <v>435</v>
      </c>
      <c r="C2" s="12" t="str">
        <f>rmsfe_Pivot_T8!B4</f>
        <v>AG</v>
      </c>
      <c r="D2" s="12" t="str">
        <f>rmsfe_Pivot_T8!C4</f>
        <v>AT</v>
      </c>
      <c r="E2" s="12" t="str">
        <f>rmsfe_Pivot_T8!D4</f>
        <v>AU</v>
      </c>
      <c r="F2" s="12" t="str">
        <f>rmsfe_Pivot_T8!E4</f>
        <v>BR</v>
      </c>
      <c r="G2" s="12" t="str">
        <f>rmsfe_Pivot_T8!F4</f>
        <v>CA</v>
      </c>
      <c r="H2" s="12" t="str">
        <f>rmsfe_Pivot_T8!G4</f>
        <v>CH</v>
      </c>
      <c r="I2" s="12" t="str">
        <f>rmsfe_Pivot_T8!H4</f>
        <v>CN</v>
      </c>
      <c r="J2" s="12" t="str">
        <f>rmsfe_Pivot_T8!I4</f>
        <v>DE</v>
      </c>
      <c r="K2" s="12" t="str">
        <f>rmsfe_Pivot_T8!J4</f>
        <v>FR</v>
      </c>
      <c r="L2" s="12" t="str">
        <f>rmsfe_Pivot_T8!K4</f>
        <v>GB</v>
      </c>
      <c r="M2" s="12" t="str">
        <f>rmsfe_Pivot_T8!L4</f>
        <v>IN</v>
      </c>
      <c r="N2" s="12" t="str">
        <f>rmsfe_Pivot_T8!M4</f>
        <v>IT</v>
      </c>
      <c r="O2" s="12" t="str">
        <f>rmsfe_Pivot_T8!N4</f>
        <v>JP</v>
      </c>
      <c r="P2" s="12" t="str">
        <f>rmsfe_Pivot_T8!O4</f>
        <v>MX</v>
      </c>
      <c r="Q2" s="12" t="str">
        <f>rmsfe_Pivot_T8!P4</f>
        <v>US</v>
      </c>
      <c r="R2" s="11"/>
    </row>
    <row r="3" spans="2:20" x14ac:dyDescent="0.25">
      <c r="B3" s="13" t="s">
        <v>443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2:20" x14ac:dyDescent="0.25">
      <c r="B4" t="str">
        <f>rmsfe_Pivot_T8!A6</f>
        <v>ZS</v>
      </c>
      <c r="C4" s="14" t="str">
        <f>ROUND(rmsfe_Pivot_T8!B6,2)&amp;IF(rmsfe_Pivot_T8!AN6=1,"**",IF(rmsfe_Pivot_T8!T6=1,"*",""))</f>
        <v>1</v>
      </c>
      <c r="D4" s="14" t="str">
        <f>ROUND(rmsfe_Pivot_T8!C6,2)&amp;IF(rmsfe_Pivot_T8!AO6=1,"**",IF(rmsfe_Pivot_T8!U6=1,"*",""))</f>
        <v>1</v>
      </c>
      <c r="E4" s="14" t="str">
        <f>ROUND(rmsfe_Pivot_T8!D6,2)&amp;IF(rmsfe_Pivot_T8!AP6=1,"**",IF(rmsfe_Pivot_T8!V6=1,"*",""))</f>
        <v>1</v>
      </c>
      <c r="F4" s="14" t="str">
        <f>ROUND(rmsfe_Pivot_T8!E6,2)&amp;IF(rmsfe_Pivot_T8!AQ6=1,"**",IF(rmsfe_Pivot_T8!W6=1,"*",""))</f>
        <v>1</v>
      </c>
      <c r="G4" s="14" t="str">
        <f>ROUND(rmsfe_Pivot_T8!F6,2)&amp;IF(rmsfe_Pivot_T8!AR6=1,"**",IF(rmsfe_Pivot_T8!X6=1,"*",""))</f>
        <v>1</v>
      </c>
      <c r="H4" s="14" t="str">
        <f>ROUND(rmsfe_Pivot_T8!G6,2)&amp;IF(rmsfe_Pivot_T8!AS6=1,"**",IF(rmsfe_Pivot_T8!Y6=1,"*",""))</f>
        <v>1</v>
      </c>
      <c r="I4" s="14" t="str">
        <f>ROUND(rmsfe_Pivot_T8!H6,2)&amp;IF(rmsfe_Pivot_T8!AT6=1,"**",IF(rmsfe_Pivot_T8!Z6=1,"*",""))</f>
        <v>1</v>
      </c>
      <c r="J4" s="14" t="str">
        <f>ROUND(rmsfe_Pivot_T8!I6,2)&amp;IF(rmsfe_Pivot_T8!AU6=1,"**",IF(rmsfe_Pivot_T8!AA6=1,"*",""))</f>
        <v>1</v>
      </c>
      <c r="K4" s="14" t="str">
        <f>ROUND(rmsfe_Pivot_T8!J6,2)&amp;IF(rmsfe_Pivot_T8!AV6=1,"**",IF(rmsfe_Pivot_T8!AB6=1,"*",""))</f>
        <v>1</v>
      </c>
      <c r="L4" s="14" t="str">
        <f>ROUND(rmsfe_Pivot_T8!K6,2)&amp;IF(rmsfe_Pivot_T8!AW6=1,"**",IF(rmsfe_Pivot_T8!AC6=1,"*",""))</f>
        <v>1</v>
      </c>
      <c r="M4" s="14" t="str">
        <f>ROUND(rmsfe_Pivot_T8!L6,2)&amp;IF(rmsfe_Pivot_T8!AX6=1,"**",IF(rmsfe_Pivot_T8!AD6=1,"*",""))</f>
        <v>1</v>
      </c>
      <c r="N4" s="14" t="str">
        <f>ROUND(rmsfe_Pivot_T8!M6,2)&amp;IF(rmsfe_Pivot_T8!AY6=1,"**",IF(rmsfe_Pivot_T8!AE6=1,"*",""))</f>
        <v>1</v>
      </c>
      <c r="O4" s="14" t="str">
        <f>ROUND(rmsfe_Pivot_T8!N6,2)&amp;IF(rmsfe_Pivot_T8!AZ6=1,"**",IF(rmsfe_Pivot_T8!AF6=1,"*",""))</f>
        <v>1</v>
      </c>
      <c r="P4" s="14" t="str">
        <f>ROUND(rmsfe_Pivot_T8!O6,2)&amp;IF(rmsfe_Pivot_T8!BA6=1,"**",IF(rmsfe_Pivot_T8!AG6=1,"*",""))</f>
        <v>1</v>
      </c>
      <c r="Q4" s="14" t="str">
        <f>ROUND(rmsfe_Pivot_T8!P6,2)&amp;IF(rmsfe_Pivot_T8!BB6=1,"**",IF(rmsfe_Pivot_T8!AH6=1,"*",""))</f>
        <v>1</v>
      </c>
    </row>
    <row r="5" spans="2:20" x14ac:dyDescent="0.25">
      <c r="B5" t="str">
        <f>rmsfe_Pivot_T8!A7</f>
        <v>ZS\&amp;POOL</v>
      </c>
      <c r="C5" s="14" t="str">
        <f>ROUND(rmsfe_Pivot_T8!B7,2)&amp;IF(rmsfe_Pivot_T8!AN7=1,"**",IF(rmsfe_Pivot_T8!T7=1,"*",""))</f>
        <v>1</v>
      </c>
      <c r="D5" s="14" t="str">
        <f>ROUND(rmsfe_Pivot_T8!C7,2)&amp;IF(rmsfe_Pivot_T8!AO7=1,"**",IF(rmsfe_Pivot_T8!U7=1,"*",""))</f>
        <v>1**</v>
      </c>
      <c r="E5" s="14" t="str">
        <f>ROUND(rmsfe_Pivot_T8!D7,2)&amp;IF(rmsfe_Pivot_T8!AP7=1,"**",IF(rmsfe_Pivot_T8!V7=1,"*",""))</f>
        <v>0,98**</v>
      </c>
      <c r="F5" s="14" t="str">
        <f>ROUND(rmsfe_Pivot_T8!E7,2)&amp;IF(rmsfe_Pivot_T8!AQ7=1,"**",IF(rmsfe_Pivot_T8!W7=1,"*",""))</f>
        <v>1</v>
      </c>
      <c r="G5" s="14" t="str">
        <f>ROUND(rmsfe_Pivot_T8!F7,2)&amp;IF(rmsfe_Pivot_T8!AR7=1,"**",IF(rmsfe_Pivot_T8!X7=1,"*",""))</f>
        <v>0,96**</v>
      </c>
      <c r="H5" s="14" t="str">
        <f>ROUND(rmsfe_Pivot_T8!G7,2)&amp;IF(rmsfe_Pivot_T8!AS7=1,"**",IF(rmsfe_Pivot_T8!Y7=1,"*",""))</f>
        <v>1</v>
      </c>
      <c r="I5" s="14" t="str">
        <f>ROUND(rmsfe_Pivot_T8!H7,2)&amp;IF(rmsfe_Pivot_T8!AT7=1,"**",IF(rmsfe_Pivot_T8!Z7=1,"*",""))</f>
        <v>0,99</v>
      </c>
      <c r="J5" s="14" t="str">
        <f>ROUND(rmsfe_Pivot_T8!I7,2)&amp;IF(rmsfe_Pivot_T8!AU7=1,"**",IF(rmsfe_Pivot_T8!AA7=1,"*",""))</f>
        <v>0,99*</v>
      </c>
      <c r="K5" s="14" t="str">
        <f>ROUND(rmsfe_Pivot_T8!J7,2)&amp;IF(rmsfe_Pivot_T8!AV7=1,"**",IF(rmsfe_Pivot_T8!AB7=1,"*",""))</f>
        <v>1</v>
      </c>
      <c r="L5" s="14" t="str">
        <f>ROUND(rmsfe_Pivot_T8!K7,2)&amp;IF(rmsfe_Pivot_T8!AW7=1,"**",IF(rmsfe_Pivot_T8!AC7=1,"*",""))</f>
        <v>0,99</v>
      </c>
      <c r="M5" s="14" t="str">
        <f>ROUND(rmsfe_Pivot_T8!L7,2)&amp;IF(rmsfe_Pivot_T8!AX7=1,"**",IF(rmsfe_Pivot_T8!AD7=1,"*",""))</f>
        <v>1</v>
      </c>
      <c r="N5" s="14" t="str">
        <f>ROUND(rmsfe_Pivot_T8!M7,2)&amp;IF(rmsfe_Pivot_T8!AY7=1,"**",IF(rmsfe_Pivot_T8!AE7=1,"*",""))</f>
        <v>1,02</v>
      </c>
      <c r="O5" s="14" t="str">
        <f>ROUND(rmsfe_Pivot_T8!N7,2)&amp;IF(rmsfe_Pivot_T8!AZ7=1,"**",IF(rmsfe_Pivot_T8!AF7=1,"*",""))</f>
        <v>1,02</v>
      </c>
      <c r="P5" s="14" t="str">
        <f>ROUND(rmsfe_Pivot_T8!O7,2)&amp;IF(rmsfe_Pivot_T8!BA7=1,"**",IF(rmsfe_Pivot_T8!AG7=1,"*",""))</f>
        <v>1</v>
      </c>
      <c r="Q5" s="14" t="str">
        <f>ROUND(rmsfe_Pivot_T8!P7,2)&amp;IF(rmsfe_Pivot_T8!BB7=1,"**",IF(rmsfe_Pivot_T8!AH7=1,"*",""))</f>
        <v>1,01</v>
      </c>
      <c r="R5" s="15" t="str">
        <f>rmsfe_Pivot_T8!AI7&amp;"/"&amp;rmsfe_Pivot_T8!BC7</f>
        <v>4/3</v>
      </c>
    </row>
    <row r="6" spans="2:20" x14ac:dyDescent="0.25">
      <c r="B6" t="str">
        <f>rmsfe_Pivot_T8!A8</f>
        <v>POOL</v>
      </c>
      <c r="C6" s="14" t="str">
        <f>ROUND(rmsfe_Pivot_T8!B8,2)&amp;IF(rmsfe_Pivot_T8!AN8=1,"**",IF(rmsfe_Pivot_T8!T8=1,"*",""))</f>
        <v>1</v>
      </c>
      <c r="D6" s="14" t="str">
        <f>ROUND(rmsfe_Pivot_T8!C8,2)&amp;IF(rmsfe_Pivot_T8!AO8=1,"**",IF(rmsfe_Pivot_T8!U8=1,"*",""))</f>
        <v>1</v>
      </c>
      <c r="E6" s="14" t="str">
        <f>ROUND(rmsfe_Pivot_T8!D8,2)&amp;IF(rmsfe_Pivot_T8!AP8=1,"**",IF(rmsfe_Pivot_T8!V8=1,"*",""))</f>
        <v>1</v>
      </c>
      <c r="F6" s="14" t="str">
        <f>ROUND(rmsfe_Pivot_T8!E8,2)&amp;IF(rmsfe_Pivot_T8!AQ8=1,"**",IF(rmsfe_Pivot_T8!W8=1,"*",""))</f>
        <v>1</v>
      </c>
      <c r="G6" s="14" t="str">
        <f>ROUND(rmsfe_Pivot_T8!F8,2)&amp;IF(rmsfe_Pivot_T8!AR8=1,"**",IF(rmsfe_Pivot_T8!X8=1,"*",""))</f>
        <v>1</v>
      </c>
      <c r="H6" s="14" t="str">
        <f>ROUND(rmsfe_Pivot_T8!G8,2)&amp;IF(rmsfe_Pivot_T8!AS8=1,"**",IF(rmsfe_Pivot_T8!Y8=1,"*",""))</f>
        <v>1,01</v>
      </c>
      <c r="I6" s="14" t="str">
        <f>ROUND(rmsfe_Pivot_T8!H8,2)&amp;IF(rmsfe_Pivot_T8!AT8=1,"**",IF(rmsfe_Pivot_T8!Z8=1,"*",""))</f>
        <v>1,03</v>
      </c>
      <c r="J6" s="14" t="str">
        <f>ROUND(rmsfe_Pivot_T8!I8,2)&amp;IF(rmsfe_Pivot_T8!AU8=1,"**",IF(rmsfe_Pivot_T8!AA8=1,"*",""))</f>
        <v>1</v>
      </c>
      <c r="K6" s="14" t="str">
        <f>ROUND(rmsfe_Pivot_T8!J8,2)&amp;IF(rmsfe_Pivot_T8!AV8=1,"**",IF(rmsfe_Pivot_T8!AB8=1,"*",""))</f>
        <v>1,03</v>
      </c>
      <c r="L6" s="14" t="str">
        <f>ROUND(rmsfe_Pivot_T8!K8,2)&amp;IF(rmsfe_Pivot_T8!AW8=1,"**",IF(rmsfe_Pivot_T8!AC8=1,"*",""))</f>
        <v>0,99</v>
      </c>
      <c r="M6" s="14" t="str">
        <f>ROUND(rmsfe_Pivot_T8!L8,2)&amp;IF(rmsfe_Pivot_T8!AX8=1,"**",IF(rmsfe_Pivot_T8!AD8=1,"*",""))</f>
        <v>0,99</v>
      </c>
      <c r="N6" s="14" t="str">
        <f>ROUND(rmsfe_Pivot_T8!M8,2)&amp;IF(rmsfe_Pivot_T8!AY8=1,"**",IF(rmsfe_Pivot_T8!AE8=1,"*",""))</f>
        <v>0,97</v>
      </c>
      <c r="O6" s="14" t="str">
        <f>ROUND(rmsfe_Pivot_T8!N8,2)&amp;IF(rmsfe_Pivot_T8!AZ8=1,"**",IF(rmsfe_Pivot_T8!AF8=1,"*",""))</f>
        <v>1</v>
      </c>
      <c r="P6" s="14" t="str">
        <f>ROUND(rmsfe_Pivot_T8!O8,2)&amp;IF(rmsfe_Pivot_T8!BA8=1,"**",IF(rmsfe_Pivot_T8!AG8=1,"*",""))</f>
        <v>1</v>
      </c>
      <c r="Q6" s="14" t="str">
        <f>ROUND(rmsfe_Pivot_T8!P8,2)&amp;IF(rmsfe_Pivot_T8!BB8=1,"**",IF(rmsfe_Pivot_T8!AH8=1,"*",""))</f>
        <v>1</v>
      </c>
      <c r="R6" s="15" t="str">
        <f>rmsfe_Pivot_T8!AI8&amp;"/"&amp;rmsfe_Pivot_T8!BC8</f>
        <v>0/0</v>
      </c>
    </row>
    <row r="7" spans="2:20" x14ac:dyDescent="0.25">
      <c r="B7" t="str">
        <f>rmsfe_Pivot_T8!A9</f>
        <v>ZSGL</v>
      </c>
      <c r="C7" s="14" t="str">
        <f>ROUND(rmsfe_Pivot_T8!B9,2)&amp;IF(rmsfe_Pivot_T8!AN9=1,"**",IF(rmsfe_Pivot_T8!T9=1,"*",""))</f>
        <v>1</v>
      </c>
      <c r="D7" s="14" t="str">
        <f>ROUND(rmsfe_Pivot_T8!C9,2)&amp;IF(rmsfe_Pivot_T8!AO9=1,"**",IF(rmsfe_Pivot_T8!U9=1,"*",""))</f>
        <v>1</v>
      </c>
      <c r="E7" s="14" t="str">
        <f>ROUND(rmsfe_Pivot_T8!D9,2)&amp;IF(rmsfe_Pivot_T8!AP9=1,"**",IF(rmsfe_Pivot_T8!V9=1,"*",""))</f>
        <v>1,01</v>
      </c>
      <c r="F7" s="14" t="str">
        <f>ROUND(rmsfe_Pivot_T8!E9,2)&amp;IF(rmsfe_Pivot_T8!AQ9=1,"**",IF(rmsfe_Pivot_T8!W9=1,"*",""))</f>
        <v>1</v>
      </c>
      <c r="G7" s="14" t="str">
        <f>ROUND(rmsfe_Pivot_T8!F9,2)&amp;IF(rmsfe_Pivot_T8!AR9=1,"**",IF(rmsfe_Pivot_T8!X9=1,"*",""))</f>
        <v>1,02</v>
      </c>
      <c r="H7" s="14" t="str">
        <f>ROUND(rmsfe_Pivot_T8!G9,2)&amp;IF(rmsfe_Pivot_T8!AS9=1,"**",IF(rmsfe_Pivot_T8!Y9=1,"*",""))</f>
        <v>1</v>
      </c>
      <c r="I7" s="14" t="str">
        <f>ROUND(rmsfe_Pivot_T8!H9,2)&amp;IF(rmsfe_Pivot_T8!AT9=1,"**",IF(rmsfe_Pivot_T8!Z9=1,"*",""))</f>
        <v>1,02</v>
      </c>
      <c r="J7" s="14" t="str">
        <f>ROUND(rmsfe_Pivot_T8!I9,2)&amp;IF(rmsfe_Pivot_T8!AU9=1,"**",IF(rmsfe_Pivot_T8!AA9=1,"*",""))</f>
        <v>0,99</v>
      </c>
      <c r="K7" s="14" t="str">
        <f>ROUND(rmsfe_Pivot_T8!J9,2)&amp;IF(rmsfe_Pivot_T8!AV9=1,"**",IF(rmsfe_Pivot_T8!AB9=1,"*",""))</f>
        <v>1,01</v>
      </c>
      <c r="L7" s="14" t="str">
        <f>ROUND(rmsfe_Pivot_T8!K9,2)&amp;IF(rmsfe_Pivot_T8!AW9=1,"**",IF(rmsfe_Pivot_T8!AC9=1,"*",""))</f>
        <v>1*</v>
      </c>
      <c r="M7" s="14" t="str">
        <f>ROUND(rmsfe_Pivot_T8!L9,2)&amp;IF(rmsfe_Pivot_T8!AX9=1,"**",IF(rmsfe_Pivot_T8!AD9=1,"*",""))</f>
        <v>1</v>
      </c>
      <c r="N7" s="14" t="str">
        <f>ROUND(rmsfe_Pivot_T8!M9,2)&amp;IF(rmsfe_Pivot_T8!AY9=1,"**",IF(rmsfe_Pivot_T8!AE9=1,"*",""))</f>
        <v>1</v>
      </c>
      <c r="O7" s="14" t="str">
        <f>ROUND(rmsfe_Pivot_T8!N9,2)&amp;IF(rmsfe_Pivot_T8!AZ9=1,"**",IF(rmsfe_Pivot_T8!AF9=1,"*",""))</f>
        <v>1</v>
      </c>
      <c r="P7" s="14" t="str">
        <f>ROUND(rmsfe_Pivot_T8!O9,2)&amp;IF(rmsfe_Pivot_T8!BA9=1,"**",IF(rmsfe_Pivot_T8!AG9=1,"*",""))</f>
        <v>1,01</v>
      </c>
      <c r="Q7" s="14" t="str">
        <f>ROUND(rmsfe_Pivot_T8!P9,2)&amp;IF(rmsfe_Pivot_T8!BB9=1,"**",IF(rmsfe_Pivot_T8!AH9=1,"*",""))</f>
        <v>1</v>
      </c>
      <c r="R7" s="15" t="str">
        <f>rmsfe_Pivot_T8!AI9&amp;"/"&amp;rmsfe_Pivot_T8!BC9</f>
        <v>1/0</v>
      </c>
    </row>
    <row r="8" spans="2:20" x14ac:dyDescent="0.25">
      <c r="B8" t="str">
        <f>rmsfe_Pivot_T8!A10</f>
        <v>J</v>
      </c>
      <c r="C8" s="14" t="str">
        <f>ROUND(rmsfe_Pivot_T8!B10,2)&amp;IF(rmsfe_Pivot_T8!AN10=1,"**",IF(rmsfe_Pivot_T8!T10=1,"*",""))</f>
        <v>0,96</v>
      </c>
      <c r="D8" s="14" t="str">
        <f>ROUND(rmsfe_Pivot_T8!C10,2)&amp;IF(rmsfe_Pivot_T8!AO10=1,"**",IF(rmsfe_Pivot_T8!U10=1,"*",""))</f>
        <v>1</v>
      </c>
      <c r="E8" s="14" t="str">
        <f>ROUND(rmsfe_Pivot_T8!D10,2)&amp;IF(rmsfe_Pivot_T8!AP10=1,"**",IF(rmsfe_Pivot_T8!V10=1,"*",""))</f>
        <v>0,96**</v>
      </c>
      <c r="F8" s="14" t="str">
        <f>ROUND(rmsfe_Pivot_T8!E10,2)&amp;IF(rmsfe_Pivot_T8!AQ10=1,"**",IF(rmsfe_Pivot_T8!W10=1,"*",""))</f>
        <v>0,99</v>
      </c>
      <c r="G8" s="14" t="str">
        <f>ROUND(rmsfe_Pivot_T8!F10,2)&amp;IF(rmsfe_Pivot_T8!AR10=1,"**",IF(rmsfe_Pivot_T8!X10=1,"*",""))</f>
        <v>0,94**</v>
      </c>
      <c r="H8" s="14" t="str">
        <f>ROUND(rmsfe_Pivot_T8!G10,2)&amp;IF(rmsfe_Pivot_T8!AS10=1,"**",IF(rmsfe_Pivot_T8!Y10=1,"*",""))</f>
        <v>0,99</v>
      </c>
      <c r="I8" s="14" t="str">
        <f>ROUND(rmsfe_Pivot_T8!H10,2)&amp;IF(rmsfe_Pivot_T8!AT10=1,"**",IF(rmsfe_Pivot_T8!Z10=1,"*",""))</f>
        <v>1,04</v>
      </c>
      <c r="J8" s="14" t="str">
        <f>ROUND(rmsfe_Pivot_T8!I10,2)&amp;IF(rmsfe_Pivot_T8!AU10=1,"**",IF(rmsfe_Pivot_T8!AA10=1,"*",""))</f>
        <v>0,99</v>
      </c>
      <c r="K8" s="14" t="str">
        <f>ROUND(rmsfe_Pivot_T8!J10,2)&amp;IF(rmsfe_Pivot_T8!AV10=1,"**",IF(rmsfe_Pivot_T8!AB10=1,"*",""))</f>
        <v>1</v>
      </c>
      <c r="L8" s="14" t="str">
        <f>ROUND(rmsfe_Pivot_T8!K10,2)&amp;IF(rmsfe_Pivot_T8!AW10=1,"**",IF(rmsfe_Pivot_T8!AC10=1,"*",""))</f>
        <v>1</v>
      </c>
      <c r="M8" s="14" t="str">
        <f>ROUND(rmsfe_Pivot_T8!L10,2)&amp;IF(rmsfe_Pivot_T8!AX10=1,"**",IF(rmsfe_Pivot_T8!AD10=1,"*",""))</f>
        <v>1,06</v>
      </c>
      <c r="N8" s="14" t="str">
        <f>ROUND(rmsfe_Pivot_T8!M10,2)&amp;IF(rmsfe_Pivot_T8!AY10=1,"**",IF(rmsfe_Pivot_T8!AE10=1,"*",""))</f>
        <v>1</v>
      </c>
      <c r="O8" s="14" t="str">
        <f>ROUND(rmsfe_Pivot_T8!N10,2)&amp;IF(rmsfe_Pivot_T8!AZ10=1,"**",IF(rmsfe_Pivot_T8!AF10=1,"*",""))</f>
        <v>1,03</v>
      </c>
      <c r="P8" s="14" t="str">
        <f>ROUND(rmsfe_Pivot_T8!O10,2)&amp;IF(rmsfe_Pivot_T8!BA10=1,"**",IF(rmsfe_Pivot_T8!AG10=1,"*",""))</f>
        <v>1</v>
      </c>
      <c r="Q8" s="14" t="str">
        <f>ROUND(rmsfe_Pivot_T8!P10,2)&amp;IF(rmsfe_Pivot_T8!BB10=1,"**",IF(rmsfe_Pivot_T8!AH10=1,"*",""))</f>
        <v>1,02</v>
      </c>
      <c r="R8" s="15" t="str">
        <f>rmsfe_Pivot_T8!AI10&amp;"/"&amp;rmsfe_Pivot_T8!BC10</f>
        <v>2/2</v>
      </c>
      <c r="T8" t="str">
        <f>B8&amp;"&amp;"&amp;C8&amp;"&amp;"&amp;D8&amp;"&amp;"&amp;E8&amp;"&amp;"&amp;F8&amp;"&amp;"&amp;G8&amp;"&amp;"&amp;H8&amp;"&amp;"&amp;I8&amp;"&amp;"&amp;J8&amp;"&amp;"&amp;K8&amp;"&amp;"&amp;L8&amp;"&amp;"&amp;M8&amp;"&amp;"&amp;N8&amp;"&amp;"&amp;O8&amp;"&amp;"&amp;P8&amp;"&amp;"&amp;Q8&amp;"&amp;"&amp;R8&amp;"\\"</f>
        <v>J&amp;0,96&amp;1&amp;0,96**&amp;0,99&amp;0,94**&amp;0,99&amp;1,04&amp;0,99&amp;1&amp;1&amp;1,06&amp;1&amp;1,03&amp;1&amp;1,02&amp;2/2\\</v>
      </c>
    </row>
    <row r="9" spans="2:20" x14ac:dyDescent="0.25">
      <c r="B9" t="str">
        <f>rmsfe_Pivot_T8!A11</f>
        <v>BFCS</v>
      </c>
      <c r="C9" s="14" t="str">
        <f>ROUND(rmsfe_Pivot_T8!B11,2)&amp;IF(rmsfe_Pivot_T8!AN11=1,"**",IF(rmsfe_Pivot_T8!T11=1,"*",""))</f>
        <v>1,01</v>
      </c>
      <c r="D9" s="14" t="str">
        <f>ROUND(rmsfe_Pivot_T8!C11,2)&amp;IF(rmsfe_Pivot_T8!AO11=1,"**",IF(rmsfe_Pivot_T8!U11=1,"*",""))</f>
        <v>1,03</v>
      </c>
      <c r="E9" s="14" t="str">
        <f>ROUND(rmsfe_Pivot_T8!D11,2)&amp;IF(rmsfe_Pivot_T8!AP11=1,"**",IF(rmsfe_Pivot_T8!V11=1,"*",""))</f>
        <v>0,97</v>
      </c>
      <c r="F9" s="14" t="str">
        <f>ROUND(rmsfe_Pivot_T8!E11,2)&amp;IF(rmsfe_Pivot_T8!AQ11=1,"**",IF(rmsfe_Pivot_T8!W11=1,"*",""))</f>
        <v>1,04</v>
      </c>
      <c r="G9" s="14" t="str">
        <f>ROUND(rmsfe_Pivot_T8!F11,2)&amp;IF(rmsfe_Pivot_T8!AR11=1,"**",IF(rmsfe_Pivot_T8!X11=1,"*",""))</f>
        <v>0,93**</v>
      </c>
      <c r="H9" s="14" t="str">
        <f>ROUND(rmsfe_Pivot_T8!G11,2)&amp;IF(rmsfe_Pivot_T8!AS11=1,"**",IF(rmsfe_Pivot_T8!Y11=1,"*",""))</f>
        <v>0,98*</v>
      </c>
      <c r="I9" s="14" t="str">
        <f>ROUND(rmsfe_Pivot_T8!H11,2)&amp;IF(rmsfe_Pivot_T8!AT11=1,"**",IF(rmsfe_Pivot_T8!Z11=1,"*",""))</f>
        <v>1</v>
      </c>
      <c r="J9" s="14" t="str">
        <f>ROUND(rmsfe_Pivot_T8!I11,2)&amp;IF(rmsfe_Pivot_T8!AU11=1,"**",IF(rmsfe_Pivot_T8!AA11=1,"*",""))</f>
        <v>1</v>
      </c>
      <c r="K9" s="14" t="str">
        <f>ROUND(rmsfe_Pivot_T8!J11,2)&amp;IF(rmsfe_Pivot_T8!AV11=1,"**",IF(rmsfe_Pivot_T8!AB11=1,"*",""))</f>
        <v>0,99</v>
      </c>
      <c r="L9" s="14" t="str">
        <f>ROUND(rmsfe_Pivot_T8!K11,2)&amp;IF(rmsfe_Pivot_T8!AW11=1,"**",IF(rmsfe_Pivot_T8!AC11=1,"*",""))</f>
        <v>0,97*</v>
      </c>
      <c r="M9" s="14" t="str">
        <f>ROUND(rmsfe_Pivot_T8!L11,2)&amp;IF(rmsfe_Pivot_T8!AX11=1,"**",IF(rmsfe_Pivot_T8!AD11=1,"*",""))</f>
        <v>1,03</v>
      </c>
      <c r="N9" s="14" t="str">
        <f>ROUND(rmsfe_Pivot_T8!M11,2)&amp;IF(rmsfe_Pivot_T8!AY11=1,"**",IF(rmsfe_Pivot_T8!AE11=1,"*",""))</f>
        <v>1</v>
      </c>
      <c r="O9" s="14" t="str">
        <f>ROUND(rmsfe_Pivot_T8!N11,2)&amp;IF(rmsfe_Pivot_T8!AZ11=1,"**",IF(rmsfe_Pivot_T8!AF11=1,"*",""))</f>
        <v>1,01</v>
      </c>
      <c r="P9" s="14" t="str">
        <f>ROUND(rmsfe_Pivot_T8!O11,2)&amp;IF(rmsfe_Pivot_T8!BA11=1,"**",IF(rmsfe_Pivot_T8!AG11=1,"*",""))</f>
        <v>1,04</v>
      </c>
      <c r="Q9" s="14" t="str">
        <f>ROUND(rmsfe_Pivot_T8!P11,2)&amp;IF(rmsfe_Pivot_T8!BB11=1,"**",IF(rmsfe_Pivot_T8!AH11=1,"*",""))</f>
        <v>1,01</v>
      </c>
      <c r="R9" s="15" t="str">
        <f>rmsfe_Pivot_T8!AI11&amp;"/"&amp;rmsfe_Pivot_T8!BC11</f>
        <v>3/1</v>
      </c>
    </row>
    <row r="10" spans="2:20" x14ac:dyDescent="0.25">
      <c r="B10" t="str">
        <f>rmsfe_Pivot_T8!A12</f>
        <v>SSSS</v>
      </c>
      <c r="C10" s="14" t="str">
        <f>ROUND(rmsfe_Pivot_T8!B12,2)&amp;IF(rmsfe_Pivot_T8!AN12=1,"**",IF(rmsfe_Pivot_T8!T12=1,"*",""))</f>
        <v>1,2</v>
      </c>
      <c r="D10" s="14" t="str">
        <f>ROUND(rmsfe_Pivot_T8!C12,2)&amp;IF(rmsfe_Pivot_T8!AO12=1,"**",IF(rmsfe_Pivot_T8!U12=1,"*",""))</f>
        <v>1,03</v>
      </c>
      <c r="E10" s="14" t="str">
        <f>ROUND(rmsfe_Pivot_T8!D12,2)&amp;IF(rmsfe_Pivot_T8!AP12=1,"**",IF(rmsfe_Pivot_T8!V12=1,"*",""))</f>
        <v>1,26</v>
      </c>
      <c r="F10" s="14" t="str">
        <f>ROUND(rmsfe_Pivot_T8!E12,2)&amp;IF(rmsfe_Pivot_T8!AQ12=1,"**",IF(rmsfe_Pivot_T8!W12=1,"*",""))</f>
        <v>8,34</v>
      </c>
      <c r="G10" s="14" t="str">
        <f>ROUND(rmsfe_Pivot_T8!F12,2)&amp;IF(rmsfe_Pivot_T8!AR12=1,"**",IF(rmsfe_Pivot_T8!X12=1,"*",""))</f>
        <v>1,12</v>
      </c>
      <c r="H10" s="14" t="str">
        <f>ROUND(rmsfe_Pivot_T8!G12,2)&amp;IF(rmsfe_Pivot_T8!AS12=1,"**",IF(rmsfe_Pivot_T8!Y12=1,"*",""))</f>
        <v>1,01</v>
      </c>
      <c r="I10" s="14" t="str">
        <f>ROUND(rmsfe_Pivot_T8!H12,2)&amp;IF(rmsfe_Pivot_T8!AT12=1,"**",IF(rmsfe_Pivot_T8!Z12=1,"*",""))</f>
        <v>1,1</v>
      </c>
      <c r="J10" s="14" t="str">
        <f>ROUND(rmsfe_Pivot_T8!I12,2)&amp;IF(rmsfe_Pivot_T8!AU12=1,"**",IF(rmsfe_Pivot_T8!AA12=1,"*",""))</f>
        <v>0,98</v>
      </c>
      <c r="K10" s="14" t="str">
        <f>ROUND(rmsfe_Pivot_T8!J12,2)&amp;IF(rmsfe_Pivot_T8!AV12=1,"**",IF(rmsfe_Pivot_T8!AB12=1,"*",""))</f>
        <v>1,14</v>
      </c>
      <c r="L10" s="14" t="str">
        <f>ROUND(rmsfe_Pivot_T8!K12,2)&amp;IF(rmsfe_Pivot_T8!AW12=1,"**",IF(rmsfe_Pivot_T8!AC12=1,"*",""))</f>
        <v>1,11</v>
      </c>
      <c r="M10" s="14" t="str">
        <f>ROUND(rmsfe_Pivot_T8!L12,2)&amp;IF(rmsfe_Pivot_T8!AX12=1,"**",IF(rmsfe_Pivot_T8!AD12=1,"*",""))</f>
        <v>1,11</v>
      </c>
      <c r="N10" s="14" t="str">
        <f>ROUND(rmsfe_Pivot_T8!M12,2)&amp;IF(rmsfe_Pivot_T8!AY12=1,"**",IF(rmsfe_Pivot_T8!AE12=1,"*",""))</f>
        <v>1,38</v>
      </c>
      <c r="O10" s="14" t="str">
        <f>ROUND(rmsfe_Pivot_T8!N12,2)&amp;IF(rmsfe_Pivot_T8!AZ12=1,"**",IF(rmsfe_Pivot_T8!AF12=1,"*",""))</f>
        <v>1,03</v>
      </c>
      <c r="P10" s="14" t="str">
        <f>ROUND(rmsfe_Pivot_T8!O12,2)&amp;IF(rmsfe_Pivot_T8!BA12=1,"**",IF(rmsfe_Pivot_T8!AG12=1,"*",""))</f>
        <v>2,16</v>
      </c>
      <c r="Q10" s="14" t="str">
        <f>ROUND(rmsfe_Pivot_T8!P12,2)&amp;IF(rmsfe_Pivot_T8!BB12=1,"**",IF(rmsfe_Pivot_T8!AH12=1,"*",""))</f>
        <v>1,03</v>
      </c>
      <c r="R10" s="15" t="str">
        <f>rmsfe_Pivot_T8!AI12&amp;"/"&amp;rmsfe_Pivot_T8!BC12</f>
        <v>0/0</v>
      </c>
    </row>
    <row r="11" spans="2:20" x14ac:dyDescent="0.25">
      <c r="B11" t="str">
        <f>rmsfe_Pivot_T8!A13</f>
        <v>BMS</v>
      </c>
      <c r="C11" s="14" t="str">
        <f>ROUND(rmsfe_Pivot_T8!B13,2)&amp;IF(rmsfe_Pivot_T8!AN13=1,"**",IF(rmsfe_Pivot_T8!T13=1,"*",""))</f>
        <v>1,16</v>
      </c>
      <c r="D11" s="14" t="str">
        <f>ROUND(rmsfe_Pivot_T8!C13,2)&amp;IF(rmsfe_Pivot_T8!AO13=1,"**",IF(rmsfe_Pivot_T8!U13=1,"*",""))</f>
        <v>1,02</v>
      </c>
      <c r="E11" s="14" t="str">
        <f>ROUND(rmsfe_Pivot_T8!D13,2)&amp;IF(rmsfe_Pivot_T8!AP13=1,"**",IF(rmsfe_Pivot_T8!V13=1,"*",""))</f>
        <v>1,27</v>
      </c>
      <c r="F11" s="14" t="str">
        <f>ROUND(rmsfe_Pivot_T8!E13,2)&amp;IF(rmsfe_Pivot_T8!AQ13=1,"**",IF(rmsfe_Pivot_T8!W13=1,"*",""))</f>
        <v>1,17</v>
      </c>
      <c r="G11" s="14" t="str">
        <f>ROUND(rmsfe_Pivot_T8!F13,2)&amp;IF(rmsfe_Pivot_T8!AR13=1,"**",IF(rmsfe_Pivot_T8!X13=1,"*",""))</f>
        <v>1,1</v>
      </c>
      <c r="H11" s="14" t="str">
        <f>ROUND(rmsfe_Pivot_T8!G13,2)&amp;IF(rmsfe_Pivot_T8!AS13=1,"**",IF(rmsfe_Pivot_T8!Y13=1,"*",""))</f>
        <v>1,07</v>
      </c>
      <c r="I11" s="14" t="str">
        <f>ROUND(rmsfe_Pivot_T8!H13,2)&amp;IF(rmsfe_Pivot_T8!AT13=1,"**",IF(rmsfe_Pivot_T8!Z13=1,"*",""))</f>
        <v>1,08</v>
      </c>
      <c r="J11" s="14" t="str">
        <f>ROUND(rmsfe_Pivot_T8!I13,2)&amp;IF(rmsfe_Pivot_T8!AU13=1,"**",IF(rmsfe_Pivot_T8!AA13=1,"*",""))</f>
        <v>1</v>
      </c>
      <c r="K11" s="14" t="str">
        <f>ROUND(rmsfe_Pivot_T8!J13,2)&amp;IF(rmsfe_Pivot_T8!AV13=1,"**",IF(rmsfe_Pivot_T8!AB13=1,"*",""))</f>
        <v>1,08</v>
      </c>
      <c r="L11" s="14" t="str">
        <f>ROUND(rmsfe_Pivot_T8!K13,2)&amp;IF(rmsfe_Pivot_T8!AW13=1,"**",IF(rmsfe_Pivot_T8!AC13=1,"*",""))</f>
        <v>1,06</v>
      </c>
      <c r="M11" s="14" t="str">
        <f>ROUND(rmsfe_Pivot_T8!L13,2)&amp;IF(rmsfe_Pivot_T8!AX13=1,"**",IF(rmsfe_Pivot_T8!AD13=1,"*",""))</f>
        <v>1,02</v>
      </c>
      <c r="N11" s="14" t="str">
        <f>ROUND(rmsfe_Pivot_T8!M13,2)&amp;IF(rmsfe_Pivot_T8!AY13=1,"**",IF(rmsfe_Pivot_T8!AE13=1,"*",""))</f>
        <v>1,03</v>
      </c>
      <c r="O11" s="14" t="str">
        <f>ROUND(rmsfe_Pivot_T8!N13,2)&amp;IF(rmsfe_Pivot_T8!AZ13=1,"**",IF(rmsfe_Pivot_T8!AF13=1,"*",""))</f>
        <v>1,01</v>
      </c>
      <c r="P11" s="14" t="str">
        <f>ROUND(rmsfe_Pivot_T8!O13,2)&amp;IF(rmsfe_Pivot_T8!BA13=1,"**",IF(rmsfe_Pivot_T8!AG13=1,"*",""))</f>
        <v>1,03</v>
      </c>
      <c r="Q11" s="14" t="str">
        <f>ROUND(rmsfe_Pivot_T8!P13,2)&amp;IF(rmsfe_Pivot_T8!BB13=1,"**",IF(rmsfe_Pivot_T8!AH13=1,"*",""))</f>
        <v>1,08</v>
      </c>
      <c r="R11" s="15" t="str">
        <f>rmsfe_Pivot_T8!AI13&amp;"/"&amp;rmsfe_Pivot_T8!BC13</f>
        <v>0/0</v>
      </c>
    </row>
    <row r="12" spans="2:20" x14ac:dyDescent="0.25">
      <c r="B12" t="str">
        <f>rmsfe_Pivot_T8!A14</f>
        <v>CC</v>
      </c>
      <c r="C12" s="14" t="str">
        <f>ROUND(rmsfe_Pivot_T8!B14,2)&amp;IF(rmsfe_Pivot_T8!AN14=1,"**",IF(rmsfe_Pivot_T8!T14=1,"*",""))</f>
        <v>1,55</v>
      </c>
      <c r="D12" s="14" t="str">
        <f>ROUND(rmsfe_Pivot_T8!C14,2)&amp;IF(rmsfe_Pivot_T8!AO14=1,"**",IF(rmsfe_Pivot_T8!U14=1,"*",""))</f>
        <v>1,96</v>
      </c>
      <c r="E12" s="14" t="str">
        <f>ROUND(rmsfe_Pivot_T8!D14,2)&amp;IF(rmsfe_Pivot_T8!AP14=1,"**",IF(rmsfe_Pivot_T8!V14=1,"*",""))</f>
        <v>3,22</v>
      </c>
      <c r="F12" s="14" t="str">
        <f>ROUND(rmsfe_Pivot_T8!E14,2)&amp;IF(rmsfe_Pivot_T8!AQ14=1,"**",IF(rmsfe_Pivot_T8!W14=1,"*",""))</f>
        <v>2,17</v>
      </c>
      <c r="G12" s="14" t="str">
        <f>ROUND(rmsfe_Pivot_T8!F14,2)&amp;IF(rmsfe_Pivot_T8!AR14=1,"**",IF(rmsfe_Pivot_T8!X14=1,"*",""))</f>
        <v>2,8</v>
      </c>
      <c r="H12" s="14" t="str">
        <f>ROUND(rmsfe_Pivot_T8!G14,2)&amp;IF(rmsfe_Pivot_T8!AS14=1,"**",IF(rmsfe_Pivot_T8!Y14=1,"*",""))</f>
        <v>2,06</v>
      </c>
      <c r="I12" s="14" t="str">
        <f>ROUND(rmsfe_Pivot_T8!H14,2)&amp;IF(rmsfe_Pivot_T8!AT14=1,"**",IF(rmsfe_Pivot_T8!Z14=1,"*",""))</f>
        <v>1,66</v>
      </c>
      <c r="J12" s="14" t="str">
        <f>ROUND(rmsfe_Pivot_T8!I14,2)&amp;IF(rmsfe_Pivot_T8!AU14=1,"**",IF(rmsfe_Pivot_T8!AA14=1,"*",""))</f>
        <v>2,16</v>
      </c>
      <c r="K12" s="14" t="str">
        <f>ROUND(rmsfe_Pivot_T8!J14,2)&amp;IF(rmsfe_Pivot_T8!AV14=1,"**",IF(rmsfe_Pivot_T8!AB14=1,"*",""))</f>
        <v>3,12</v>
      </c>
      <c r="L12" s="14" t="str">
        <f>ROUND(rmsfe_Pivot_T8!K14,2)&amp;IF(rmsfe_Pivot_T8!AW14=1,"**",IF(rmsfe_Pivot_T8!AC14=1,"*",""))</f>
        <v>2,22</v>
      </c>
      <c r="M12" s="14" t="str">
        <f>ROUND(rmsfe_Pivot_T8!L14,2)&amp;IF(rmsfe_Pivot_T8!AX14=1,"**",IF(rmsfe_Pivot_T8!AD14=1,"*",""))</f>
        <v>1,63</v>
      </c>
      <c r="N12" s="14" t="str">
        <f>ROUND(rmsfe_Pivot_T8!M14,2)&amp;IF(rmsfe_Pivot_T8!AY14=1,"**",IF(rmsfe_Pivot_T8!AE14=1,"*",""))</f>
        <v>2,75</v>
      </c>
      <c r="O12" s="14" t="str">
        <f>ROUND(rmsfe_Pivot_T8!N14,2)&amp;IF(rmsfe_Pivot_T8!AZ14=1,"**",IF(rmsfe_Pivot_T8!AF14=1,"*",""))</f>
        <v>2,01</v>
      </c>
      <c r="P12" s="14" t="str">
        <f>ROUND(rmsfe_Pivot_T8!O14,2)&amp;IF(rmsfe_Pivot_T8!BA14=1,"**",IF(rmsfe_Pivot_T8!AG14=1,"*",""))</f>
        <v>2,25</v>
      </c>
      <c r="Q12" s="14" t="str">
        <f>ROUND(rmsfe_Pivot_T8!P14,2)&amp;IF(rmsfe_Pivot_T8!BB14=1,"**",IF(rmsfe_Pivot_T8!AH14=1,"*",""))</f>
        <v>2,84</v>
      </c>
      <c r="R12" s="15" t="str">
        <f>rmsfe_Pivot_T8!AI14&amp;"/"&amp;rmsfe_Pivot_T8!BC14</f>
        <v>0/0</v>
      </c>
    </row>
    <row r="13" spans="2:20" x14ac:dyDescent="0.25">
      <c r="B13" s="13" t="s">
        <v>444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2:20" x14ac:dyDescent="0.25">
      <c r="B14" t="str">
        <f>rmsfe_Pivot_T8!A16</f>
        <v>ZS</v>
      </c>
      <c r="C14" s="14" t="str">
        <f>ROUND(rmsfe_Pivot_T8!B16,2)&amp;IF(rmsfe_Pivot_T8!AN16=1,"**",IF(rmsfe_Pivot_T8!T16=1,"*",""))</f>
        <v>1</v>
      </c>
      <c r="D14" s="14" t="str">
        <f>ROUND(rmsfe_Pivot_T8!C16,2)&amp;IF(rmsfe_Pivot_T8!AO16=1,"**",IF(rmsfe_Pivot_T8!U16=1,"*",""))</f>
        <v>1</v>
      </c>
      <c r="E14" s="14" t="str">
        <f>ROUND(rmsfe_Pivot_T8!D16,2)&amp;IF(rmsfe_Pivot_T8!AP16=1,"**",IF(rmsfe_Pivot_T8!V16=1,"*",""))</f>
        <v>1</v>
      </c>
      <c r="F14" s="14" t="str">
        <f>ROUND(rmsfe_Pivot_T8!E16,2)&amp;IF(rmsfe_Pivot_T8!AQ16=1,"**",IF(rmsfe_Pivot_T8!W16=1,"*",""))</f>
        <v>1</v>
      </c>
      <c r="G14" s="14" t="str">
        <f>ROUND(rmsfe_Pivot_T8!F16,2)&amp;IF(rmsfe_Pivot_T8!AR16=1,"**",IF(rmsfe_Pivot_T8!X16=1,"*",""))</f>
        <v>1</v>
      </c>
      <c r="H14" s="14" t="str">
        <f>ROUND(rmsfe_Pivot_T8!G16,2)&amp;IF(rmsfe_Pivot_T8!AS16=1,"**",IF(rmsfe_Pivot_T8!Y16=1,"*",""))</f>
        <v>1</v>
      </c>
      <c r="I14" s="14" t="str">
        <f>ROUND(rmsfe_Pivot_T8!H16,2)&amp;IF(rmsfe_Pivot_T8!AT16=1,"**",IF(rmsfe_Pivot_T8!Z16=1,"*",""))</f>
        <v>1</v>
      </c>
      <c r="J14" s="14" t="str">
        <f>ROUND(rmsfe_Pivot_T8!I16,2)&amp;IF(rmsfe_Pivot_T8!AU16=1,"**",IF(rmsfe_Pivot_T8!AA16=1,"*",""))</f>
        <v>1</v>
      </c>
      <c r="K14" s="14" t="str">
        <f>ROUND(rmsfe_Pivot_T8!J16,2)&amp;IF(rmsfe_Pivot_T8!AV16=1,"**",IF(rmsfe_Pivot_T8!AB16=1,"*",""))</f>
        <v>1</v>
      </c>
      <c r="L14" s="14" t="str">
        <f>ROUND(rmsfe_Pivot_T8!K16,2)&amp;IF(rmsfe_Pivot_T8!AW16=1,"**",IF(rmsfe_Pivot_T8!AC16=1,"*",""))</f>
        <v>1</v>
      </c>
      <c r="M14" s="14" t="str">
        <f>ROUND(rmsfe_Pivot_T8!L16,2)&amp;IF(rmsfe_Pivot_T8!AX16=1,"**",IF(rmsfe_Pivot_T8!AD16=1,"*",""))</f>
        <v>1</v>
      </c>
      <c r="N14" s="14" t="str">
        <f>ROUND(rmsfe_Pivot_T8!M16,2)&amp;IF(rmsfe_Pivot_T8!AY16=1,"**",IF(rmsfe_Pivot_T8!AE16=1,"*",""))</f>
        <v>1</v>
      </c>
      <c r="O14" s="14" t="str">
        <f>ROUND(rmsfe_Pivot_T8!N16,2)&amp;IF(rmsfe_Pivot_T8!AZ16=1,"**",IF(rmsfe_Pivot_T8!AF16=1,"*",""))</f>
        <v>1</v>
      </c>
      <c r="P14" s="14" t="str">
        <f>ROUND(rmsfe_Pivot_T8!O16,2)&amp;IF(rmsfe_Pivot_T8!BA16=1,"**",IF(rmsfe_Pivot_T8!AG16=1,"*",""))</f>
        <v>1</v>
      </c>
      <c r="Q14" s="14" t="str">
        <f>ROUND(rmsfe_Pivot_T8!P16,2)&amp;IF(rmsfe_Pivot_T8!BB16=1,"**",IF(rmsfe_Pivot_T8!AH16=1,"*",""))</f>
        <v>1</v>
      </c>
      <c r="R14" s="15" t="str">
        <f>rmsfe_Pivot_T8!AI16&amp;"/"&amp;rmsfe_Pivot_T8!BC16</f>
        <v>0/0</v>
      </c>
    </row>
    <row r="15" spans="2:20" x14ac:dyDescent="0.25">
      <c r="B15" t="str">
        <f>rmsfe_Pivot_T8!A17</f>
        <v>ZS\&amp;POOL</v>
      </c>
      <c r="C15" s="14" t="str">
        <f>ROUND(rmsfe_Pivot_T8!B17,2)&amp;IF(rmsfe_Pivot_T8!AN17=1,"**",IF(rmsfe_Pivot_T8!T17=1,"*",""))</f>
        <v>1,14</v>
      </c>
      <c r="D15" s="14" t="str">
        <f>ROUND(rmsfe_Pivot_T8!C17,2)&amp;IF(rmsfe_Pivot_T8!AO17=1,"**",IF(rmsfe_Pivot_T8!U17=1,"*",""))</f>
        <v>0,99</v>
      </c>
      <c r="E15" s="14" t="str">
        <f>ROUND(rmsfe_Pivot_T8!D17,2)&amp;IF(rmsfe_Pivot_T8!AP17=1,"**",IF(rmsfe_Pivot_T8!V17=1,"*",""))</f>
        <v>1,08</v>
      </c>
      <c r="F15" s="14" t="str">
        <f>ROUND(rmsfe_Pivot_T8!E17,2)&amp;IF(rmsfe_Pivot_T8!AQ17=1,"**",IF(rmsfe_Pivot_T8!W17=1,"*",""))</f>
        <v>1,03</v>
      </c>
      <c r="G15" s="14" t="str">
        <f>ROUND(rmsfe_Pivot_T8!F17,2)&amp;IF(rmsfe_Pivot_T8!AR17=1,"**",IF(rmsfe_Pivot_T8!X17=1,"*",""))</f>
        <v>1</v>
      </c>
      <c r="H15" s="14" t="str">
        <f>ROUND(rmsfe_Pivot_T8!G17,2)&amp;IF(rmsfe_Pivot_T8!AS17=1,"**",IF(rmsfe_Pivot_T8!Y17=1,"*",""))</f>
        <v>1,04</v>
      </c>
      <c r="I15" s="14" t="str">
        <f>ROUND(rmsfe_Pivot_T8!H17,2)&amp;IF(rmsfe_Pivot_T8!AT17=1,"**",IF(rmsfe_Pivot_T8!Z17=1,"*",""))</f>
        <v>0,99</v>
      </c>
      <c r="J15" s="14" t="str">
        <f>ROUND(rmsfe_Pivot_T8!I17,2)&amp;IF(rmsfe_Pivot_T8!AU17=1,"**",IF(rmsfe_Pivot_T8!AA17=1,"*",""))</f>
        <v>0,98</v>
      </c>
      <c r="K15" s="14" t="str">
        <f>ROUND(rmsfe_Pivot_T8!J17,2)&amp;IF(rmsfe_Pivot_T8!AV17=1,"**",IF(rmsfe_Pivot_T8!AB17=1,"*",""))</f>
        <v>0,92**</v>
      </c>
      <c r="L15" s="14" t="str">
        <f>ROUND(rmsfe_Pivot_T8!K17,2)&amp;IF(rmsfe_Pivot_T8!AW17=1,"**",IF(rmsfe_Pivot_T8!AC17=1,"*",""))</f>
        <v>0,98</v>
      </c>
      <c r="M15" s="14" t="str">
        <f>ROUND(rmsfe_Pivot_T8!L17,2)&amp;IF(rmsfe_Pivot_T8!AX17=1,"**",IF(rmsfe_Pivot_T8!AD17=1,"*",""))</f>
        <v>1</v>
      </c>
      <c r="N15" s="14" t="str">
        <f>ROUND(rmsfe_Pivot_T8!M17,2)&amp;IF(rmsfe_Pivot_T8!AY17=1,"**",IF(rmsfe_Pivot_T8!AE17=1,"*",""))</f>
        <v>0,89**</v>
      </c>
      <c r="O15" s="14" t="str">
        <f>ROUND(rmsfe_Pivot_T8!N17,2)&amp;IF(rmsfe_Pivot_T8!AZ17=1,"**",IF(rmsfe_Pivot_T8!AF17=1,"*",""))</f>
        <v>1,01</v>
      </c>
      <c r="P15" s="14" t="str">
        <f>ROUND(rmsfe_Pivot_T8!O17,2)&amp;IF(rmsfe_Pivot_T8!BA17=1,"**",IF(rmsfe_Pivot_T8!AG17=1,"*",""))</f>
        <v>0,97**</v>
      </c>
      <c r="Q15" s="14" t="str">
        <f>ROUND(rmsfe_Pivot_T8!P17,2)&amp;IF(rmsfe_Pivot_T8!BB17=1,"**",IF(rmsfe_Pivot_T8!AH17=1,"*",""))</f>
        <v>1</v>
      </c>
      <c r="R15" s="15" t="str">
        <f>rmsfe_Pivot_T8!AI17&amp;"/"&amp;rmsfe_Pivot_T8!BC17</f>
        <v>3/3</v>
      </c>
    </row>
    <row r="16" spans="2:20" x14ac:dyDescent="0.25">
      <c r="B16" t="str">
        <f>rmsfe_Pivot_T8!A18</f>
        <v>POOL</v>
      </c>
      <c r="C16" s="14" t="str">
        <f>ROUND(rmsfe_Pivot_T8!B18,2)&amp;IF(rmsfe_Pivot_T8!AN18=1,"**",IF(rmsfe_Pivot_T8!T18=1,"*",""))</f>
        <v>0,92</v>
      </c>
      <c r="D16" s="14" t="str">
        <f>ROUND(rmsfe_Pivot_T8!C18,2)&amp;IF(rmsfe_Pivot_T8!AO18=1,"**",IF(rmsfe_Pivot_T8!U18=1,"*",""))</f>
        <v>1</v>
      </c>
      <c r="E16" s="14" t="str">
        <f>ROUND(rmsfe_Pivot_T8!D18,2)&amp;IF(rmsfe_Pivot_T8!AP18=1,"**",IF(rmsfe_Pivot_T8!V18=1,"*",""))</f>
        <v>1,1</v>
      </c>
      <c r="F16" s="14" t="str">
        <f>ROUND(rmsfe_Pivot_T8!E18,2)&amp;IF(rmsfe_Pivot_T8!AQ18=1,"**",IF(rmsfe_Pivot_T8!W18=1,"*",""))</f>
        <v>0,89**</v>
      </c>
      <c r="G16" s="14" t="str">
        <f>ROUND(rmsfe_Pivot_T8!F18,2)&amp;IF(rmsfe_Pivot_T8!AR18=1,"**",IF(rmsfe_Pivot_T8!X18=1,"*",""))</f>
        <v>1,04</v>
      </c>
      <c r="H16" s="14" t="str">
        <f>ROUND(rmsfe_Pivot_T8!G18,2)&amp;IF(rmsfe_Pivot_T8!AS18=1,"**",IF(rmsfe_Pivot_T8!Y18=1,"*",""))</f>
        <v>1,07</v>
      </c>
      <c r="I16" s="14" t="str">
        <f>ROUND(rmsfe_Pivot_T8!H18,2)&amp;IF(rmsfe_Pivot_T8!AT18=1,"**",IF(rmsfe_Pivot_T8!Z18=1,"*",""))</f>
        <v>1,03</v>
      </c>
      <c r="J16" s="14" t="str">
        <f>ROUND(rmsfe_Pivot_T8!I18,2)&amp;IF(rmsfe_Pivot_T8!AU18=1,"**",IF(rmsfe_Pivot_T8!AA18=1,"*",""))</f>
        <v>1,04</v>
      </c>
      <c r="K16" s="14" t="str">
        <f>ROUND(rmsfe_Pivot_T8!J18,2)&amp;IF(rmsfe_Pivot_T8!AV18=1,"**",IF(rmsfe_Pivot_T8!AB18=1,"*",""))</f>
        <v>1,08</v>
      </c>
      <c r="L16" s="14" t="str">
        <f>ROUND(rmsfe_Pivot_T8!K18,2)&amp;IF(rmsfe_Pivot_T8!AW18=1,"**",IF(rmsfe_Pivot_T8!AC18=1,"*",""))</f>
        <v>1,02</v>
      </c>
      <c r="M16" s="14" t="str">
        <f>ROUND(rmsfe_Pivot_T8!L18,2)&amp;IF(rmsfe_Pivot_T8!AX18=1,"**",IF(rmsfe_Pivot_T8!AD18=1,"*",""))</f>
        <v>1,05</v>
      </c>
      <c r="N16" s="14" t="str">
        <f>ROUND(rmsfe_Pivot_T8!M18,2)&amp;IF(rmsfe_Pivot_T8!AY18=1,"**",IF(rmsfe_Pivot_T8!AE18=1,"*",""))</f>
        <v>1,1</v>
      </c>
      <c r="O16" s="14" t="str">
        <f>ROUND(rmsfe_Pivot_T8!N18,2)&amp;IF(rmsfe_Pivot_T8!AZ18=1,"**",IF(rmsfe_Pivot_T8!AF18=1,"*",""))</f>
        <v>0,98</v>
      </c>
      <c r="P16" s="14" t="str">
        <f>ROUND(rmsfe_Pivot_T8!O18,2)&amp;IF(rmsfe_Pivot_T8!BA18=1,"**",IF(rmsfe_Pivot_T8!AG18=1,"*",""))</f>
        <v>0,67**</v>
      </c>
      <c r="Q16" s="14" t="str">
        <f>ROUND(rmsfe_Pivot_T8!P18,2)&amp;IF(rmsfe_Pivot_T8!BB18=1,"**",IF(rmsfe_Pivot_T8!AH18=1,"*",""))</f>
        <v>1,02</v>
      </c>
      <c r="R16" s="15" t="str">
        <f>rmsfe_Pivot_T8!AI18&amp;"/"&amp;rmsfe_Pivot_T8!BC18</f>
        <v>2/2</v>
      </c>
    </row>
    <row r="17" spans="2:20" x14ac:dyDescent="0.25">
      <c r="B17" t="str">
        <f>rmsfe_Pivot_T8!A19</f>
        <v>ZSGL</v>
      </c>
      <c r="C17" s="14" t="str">
        <f>ROUND(rmsfe_Pivot_T8!B19,2)&amp;IF(rmsfe_Pivot_T8!AN19=1,"**",IF(rmsfe_Pivot_T8!T19=1,"*",""))</f>
        <v>0,99</v>
      </c>
      <c r="D17" s="14" t="str">
        <f>ROUND(rmsfe_Pivot_T8!C19,2)&amp;IF(rmsfe_Pivot_T8!AO19=1,"**",IF(rmsfe_Pivot_T8!U19=1,"*",""))</f>
        <v>0,98</v>
      </c>
      <c r="E17" s="14" t="str">
        <f>ROUND(rmsfe_Pivot_T8!D19,2)&amp;IF(rmsfe_Pivot_T8!AP19=1,"**",IF(rmsfe_Pivot_T8!V19=1,"*",""))</f>
        <v>0,97*</v>
      </c>
      <c r="F17" s="14" t="str">
        <f>ROUND(rmsfe_Pivot_T8!E19,2)&amp;IF(rmsfe_Pivot_T8!AQ19=1,"**",IF(rmsfe_Pivot_T8!W19=1,"*",""))</f>
        <v>1,06</v>
      </c>
      <c r="G17" s="14" t="str">
        <f>ROUND(rmsfe_Pivot_T8!F19,2)&amp;IF(rmsfe_Pivot_T8!AR19=1,"**",IF(rmsfe_Pivot_T8!X19=1,"*",""))</f>
        <v>0,99</v>
      </c>
      <c r="H17" s="14" t="str">
        <f>ROUND(rmsfe_Pivot_T8!G19,2)&amp;IF(rmsfe_Pivot_T8!AS19=1,"**",IF(rmsfe_Pivot_T8!Y19=1,"*",""))</f>
        <v>1,01</v>
      </c>
      <c r="I17" s="14" t="str">
        <f>ROUND(rmsfe_Pivot_T8!H19,2)&amp;IF(rmsfe_Pivot_T8!AT19=1,"**",IF(rmsfe_Pivot_T8!Z19=1,"*",""))</f>
        <v>1</v>
      </c>
      <c r="J17" s="14" t="str">
        <f>ROUND(rmsfe_Pivot_T8!I19,2)&amp;IF(rmsfe_Pivot_T8!AU19=1,"**",IF(rmsfe_Pivot_T8!AA19=1,"*",""))</f>
        <v>1</v>
      </c>
      <c r="K17" s="14" t="str">
        <f>ROUND(rmsfe_Pivot_T8!J19,2)&amp;IF(rmsfe_Pivot_T8!AV19=1,"**",IF(rmsfe_Pivot_T8!AB19=1,"*",""))</f>
        <v>1,01</v>
      </c>
      <c r="L17" s="14" t="str">
        <f>ROUND(rmsfe_Pivot_T8!K19,2)&amp;IF(rmsfe_Pivot_T8!AW19=1,"**",IF(rmsfe_Pivot_T8!AC19=1,"*",""))</f>
        <v>0,96*</v>
      </c>
      <c r="M17" s="14" t="str">
        <f>ROUND(rmsfe_Pivot_T8!L19,2)&amp;IF(rmsfe_Pivot_T8!AX19=1,"**",IF(rmsfe_Pivot_T8!AD19=1,"*",""))</f>
        <v>1</v>
      </c>
      <c r="N17" s="14" t="str">
        <f>ROUND(rmsfe_Pivot_T8!M19,2)&amp;IF(rmsfe_Pivot_T8!AY19=1,"**",IF(rmsfe_Pivot_T8!AE19=1,"*",""))</f>
        <v>1,04</v>
      </c>
      <c r="O17" s="14" t="str">
        <f>ROUND(rmsfe_Pivot_T8!N19,2)&amp;IF(rmsfe_Pivot_T8!AZ19=1,"**",IF(rmsfe_Pivot_T8!AF19=1,"*",""))</f>
        <v>0,97*</v>
      </c>
      <c r="P17" s="14" t="str">
        <f>ROUND(rmsfe_Pivot_T8!O19,2)&amp;IF(rmsfe_Pivot_T8!BA19=1,"**",IF(rmsfe_Pivot_T8!AG19=1,"*",""))</f>
        <v>0,73**</v>
      </c>
      <c r="Q17" s="14" t="str">
        <f>ROUND(rmsfe_Pivot_T8!P19,2)&amp;IF(rmsfe_Pivot_T8!BB19=1,"**",IF(rmsfe_Pivot_T8!AH19=1,"*",""))</f>
        <v>0,99</v>
      </c>
      <c r="R17" s="15" t="str">
        <f>rmsfe_Pivot_T8!AI19&amp;"/"&amp;rmsfe_Pivot_T8!BC19</f>
        <v>4/1</v>
      </c>
    </row>
    <row r="18" spans="2:20" x14ac:dyDescent="0.25">
      <c r="B18" t="str">
        <f>rmsfe_Pivot_T8!A20</f>
        <v>J</v>
      </c>
      <c r="C18" s="14" t="str">
        <f>ROUND(rmsfe_Pivot_T8!B20,2)&amp;IF(rmsfe_Pivot_T8!AN20=1,"**",IF(rmsfe_Pivot_T8!T20=1,"*",""))</f>
        <v>0,41**</v>
      </c>
      <c r="D18" s="14" t="str">
        <f>ROUND(rmsfe_Pivot_T8!C20,2)&amp;IF(rmsfe_Pivot_T8!AO20=1,"**",IF(rmsfe_Pivot_T8!U20=1,"*",""))</f>
        <v>1,42</v>
      </c>
      <c r="E18" s="14" t="str">
        <f>ROUND(rmsfe_Pivot_T8!D20,2)&amp;IF(rmsfe_Pivot_T8!AP20=1,"**",IF(rmsfe_Pivot_T8!V20=1,"*",""))</f>
        <v>0,99</v>
      </c>
      <c r="F18" s="14" t="str">
        <f>ROUND(rmsfe_Pivot_T8!E20,2)&amp;IF(rmsfe_Pivot_T8!AQ20=1,"**",IF(rmsfe_Pivot_T8!W20=1,"*",""))</f>
        <v>0,24**</v>
      </c>
      <c r="G18" s="14" t="str">
        <f>ROUND(rmsfe_Pivot_T8!F20,2)&amp;IF(rmsfe_Pivot_T8!AR20=1,"**",IF(rmsfe_Pivot_T8!X20=1,"*",""))</f>
        <v>1,18</v>
      </c>
      <c r="H18" s="14" t="str">
        <f>ROUND(rmsfe_Pivot_T8!G20,2)&amp;IF(rmsfe_Pivot_T8!AS20=1,"**",IF(rmsfe_Pivot_T8!Y20=1,"*",""))</f>
        <v>0,99</v>
      </c>
      <c r="I18" s="14" t="str">
        <f>ROUND(rmsfe_Pivot_T8!H20,2)&amp;IF(rmsfe_Pivot_T8!AT20=1,"**",IF(rmsfe_Pivot_T8!Z20=1,"*",""))</f>
        <v>1,03</v>
      </c>
      <c r="J18" s="14" t="str">
        <f>ROUND(rmsfe_Pivot_T8!I20,2)&amp;IF(rmsfe_Pivot_T8!AU20=1,"**",IF(rmsfe_Pivot_T8!AA20=1,"*",""))</f>
        <v>1,4</v>
      </c>
      <c r="K18" s="14" t="str">
        <f>ROUND(rmsfe_Pivot_T8!J20,2)&amp;IF(rmsfe_Pivot_T8!AV20=1,"**",IF(rmsfe_Pivot_T8!AB20=1,"*",""))</f>
        <v>1,12</v>
      </c>
      <c r="L18" s="14" t="str">
        <f>ROUND(rmsfe_Pivot_T8!K20,2)&amp;IF(rmsfe_Pivot_T8!AW20=1,"**",IF(rmsfe_Pivot_T8!AC20=1,"*",""))</f>
        <v>1,09</v>
      </c>
      <c r="M18" s="14" t="str">
        <f>ROUND(rmsfe_Pivot_T8!L20,2)&amp;IF(rmsfe_Pivot_T8!AX20=1,"**",IF(rmsfe_Pivot_T8!AD20=1,"*",""))</f>
        <v>0,94</v>
      </c>
      <c r="N18" s="14" t="str">
        <f>ROUND(rmsfe_Pivot_T8!M20,2)&amp;IF(rmsfe_Pivot_T8!AY20=1,"**",IF(rmsfe_Pivot_T8!AE20=1,"*",""))</f>
        <v>0,85</v>
      </c>
      <c r="O18" s="14" t="str">
        <f>ROUND(rmsfe_Pivot_T8!N20,2)&amp;IF(rmsfe_Pivot_T8!AZ20=1,"**",IF(rmsfe_Pivot_T8!AF20=1,"*",""))</f>
        <v>1,21</v>
      </c>
      <c r="P18" s="14" t="str">
        <f>ROUND(rmsfe_Pivot_T8!O20,2)&amp;IF(rmsfe_Pivot_T8!BA20=1,"**",IF(rmsfe_Pivot_T8!AG20=1,"*",""))</f>
        <v>0,62**</v>
      </c>
      <c r="Q18" s="14" t="str">
        <f>ROUND(rmsfe_Pivot_T8!P20,2)&amp;IF(rmsfe_Pivot_T8!BB20=1,"**",IF(rmsfe_Pivot_T8!AH20=1,"*",""))</f>
        <v>1,12</v>
      </c>
      <c r="R18" s="15" t="str">
        <f>rmsfe_Pivot_T8!AI20&amp;"/"&amp;rmsfe_Pivot_T8!BC20</f>
        <v>3/3</v>
      </c>
      <c r="T18" t="str">
        <f>B18&amp;"&amp;"&amp;C18&amp;"&amp;"&amp;D18&amp;"&amp;"&amp;E18&amp;"&amp;"&amp;F18&amp;"&amp;"&amp;G18&amp;"&amp;"&amp;H18&amp;"&amp;"&amp;I18&amp;"&amp;"&amp;J18&amp;"&amp;"&amp;K18&amp;"&amp;"&amp;L18&amp;"&amp;"&amp;M18&amp;"&amp;"&amp;N18&amp;"&amp;"&amp;O18&amp;"&amp;"&amp;P18&amp;"&amp;"&amp;Q18&amp;"&amp;"&amp;R18&amp;"\\"</f>
        <v>J&amp;0,41**&amp;1,42&amp;0,99&amp;0,24**&amp;1,18&amp;0,99&amp;1,03&amp;1,4&amp;1,12&amp;1,09&amp;0,94&amp;0,85&amp;1,21&amp;0,62**&amp;1,12&amp;3/3\\</v>
      </c>
    </row>
    <row r="19" spans="2:20" x14ac:dyDescent="0.25">
      <c r="B19" t="str">
        <f>rmsfe_Pivot_T8!A21</f>
        <v>BFCS</v>
      </c>
      <c r="C19" s="14" t="str">
        <f>ROUND(rmsfe_Pivot_T8!B21,2)&amp;IF(rmsfe_Pivot_T8!AN21=1,"**",IF(rmsfe_Pivot_T8!T21=1,"*",""))</f>
        <v>1,53</v>
      </c>
      <c r="D19" s="14" t="str">
        <f>ROUND(rmsfe_Pivot_T8!C21,2)&amp;IF(rmsfe_Pivot_T8!AO21=1,"**",IF(rmsfe_Pivot_T8!U21=1,"*",""))</f>
        <v>1,08</v>
      </c>
      <c r="E19" s="14" t="str">
        <f>ROUND(rmsfe_Pivot_T8!D21,2)&amp;IF(rmsfe_Pivot_T8!AP21=1,"**",IF(rmsfe_Pivot_T8!V21=1,"*",""))</f>
        <v>1,41</v>
      </c>
      <c r="F19" s="14" t="str">
        <f>ROUND(rmsfe_Pivot_T8!E21,2)&amp;IF(rmsfe_Pivot_T8!AQ21=1,"**",IF(rmsfe_Pivot_T8!W21=1,"*",""))</f>
        <v>1,62</v>
      </c>
      <c r="G19" s="14" t="str">
        <f>ROUND(rmsfe_Pivot_T8!F21,2)&amp;IF(rmsfe_Pivot_T8!AR21=1,"**",IF(rmsfe_Pivot_T8!X21=1,"*",""))</f>
        <v>1,2</v>
      </c>
      <c r="H19" s="14" t="str">
        <f>ROUND(rmsfe_Pivot_T8!G21,2)&amp;IF(rmsfe_Pivot_T8!AS21=1,"**",IF(rmsfe_Pivot_T8!Y21=1,"*",""))</f>
        <v>1,27</v>
      </c>
      <c r="I19" s="14" t="str">
        <f>ROUND(rmsfe_Pivot_T8!H21,2)&amp;IF(rmsfe_Pivot_T8!AT21=1,"**",IF(rmsfe_Pivot_T8!Z21=1,"*",""))</f>
        <v>1,17</v>
      </c>
      <c r="J19" s="14" t="str">
        <f>ROUND(rmsfe_Pivot_T8!I21,2)&amp;IF(rmsfe_Pivot_T8!AU21=1,"**",IF(rmsfe_Pivot_T8!AA21=1,"*",""))</f>
        <v>1,06</v>
      </c>
      <c r="K19" s="14" t="str">
        <f>ROUND(rmsfe_Pivot_T8!J21,2)&amp;IF(rmsfe_Pivot_T8!AV21=1,"**",IF(rmsfe_Pivot_T8!AB21=1,"*",""))</f>
        <v>1,47</v>
      </c>
      <c r="L19" s="14" t="str">
        <f>ROUND(rmsfe_Pivot_T8!K21,2)&amp;IF(rmsfe_Pivot_T8!AW21=1,"**",IF(rmsfe_Pivot_T8!AC21=1,"*",""))</f>
        <v>1,36</v>
      </c>
      <c r="M19" s="14" t="str">
        <f>ROUND(rmsfe_Pivot_T8!L21,2)&amp;IF(rmsfe_Pivot_T8!AX21=1,"**",IF(rmsfe_Pivot_T8!AD21=1,"*",""))</f>
        <v>0,99</v>
      </c>
      <c r="N19" s="14" t="str">
        <f>ROUND(rmsfe_Pivot_T8!M21,2)&amp;IF(rmsfe_Pivot_T8!AY21=1,"**",IF(rmsfe_Pivot_T8!AE21=1,"*",""))</f>
        <v>1,79</v>
      </c>
      <c r="O19" s="14" t="str">
        <f>ROUND(rmsfe_Pivot_T8!N21,2)&amp;IF(rmsfe_Pivot_T8!AZ21=1,"**",IF(rmsfe_Pivot_T8!AF21=1,"*",""))</f>
        <v>1,04</v>
      </c>
      <c r="P19" s="14" t="str">
        <f>ROUND(rmsfe_Pivot_T8!O21,2)&amp;IF(rmsfe_Pivot_T8!BA21=1,"**",IF(rmsfe_Pivot_T8!AG21=1,"*",""))</f>
        <v>1,86</v>
      </c>
      <c r="Q19" s="14" t="str">
        <f>ROUND(rmsfe_Pivot_T8!P21,2)&amp;IF(rmsfe_Pivot_T8!BB21=1,"**",IF(rmsfe_Pivot_T8!AH21=1,"*",""))</f>
        <v>1,08</v>
      </c>
      <c r="R19" s="15" t="str">
        <f>rmsfe_Pivot_T8!AI21&amp;"/"&amp;rmsfe_Pivot_T8!BC21</f>
        <v>0/0</v>
      </c>
    </row>
    <row r="20" spans="2:20" x14ac:dyDescent="0.25">
      <c r="B20" t="str">
        <f>rmsfe_Pivot_T8!A22</f>
        <v>SSSS</v>
      </c>
      <c r="C20" s="14" t="str">
        <f>ROUND(rmsfe_Pivot_T8!B22,2)&amp;IF(rmsfe_Pivot_T8!AN22=1,"**",IF(rmsfe_Pivot_T8!T22=1,"*",""))</f>
        <v>1,45</v>
      </c>
      <c r="D20" s="14" t="str">
        <f>ROUND(rmsfe_Pivot_T8!C22,2)&amp;IF(rmsfe_Pivot_T8!AO22=1,"**",IF(rmsfe_Pivot_T8!U22=1,"*",""))</f>
        <v>1,14</v>
      </c>
      <c r="E20" s="14" t="str">
        <f>ROUND(rmsfe_Pivot_T8!D22,2)&amp;IF(rmsfe_Pivot_T8!AP22=1,"**",IF(rmsfe_Pivot_T8!V22=1,"*",""))</f>
        <v>1,09</v>
      </c>
      <c r="F20" s="14" t="str">
        <f>ROUND(rmsfe_Pivot_T8!E22,2)&amp;IF(rmsfe_Pivot_T8!AQ22=1,"**",IF(rmsfe_Pivot_T8!W22=1,"*",""))</f>
        <v>0,69**</v>
      </c>
      <c r="G20" s="14" t="str">
        <f>ROUND(rmsfe_Pivot_T8!F22,2)&amp;IF(rmsfe_Pivot_T8!AR22=1,"**",IF(rmsfe_Pivot_T8!X22=1,"*",""))</f>
        <v>1</v>
      </c>
      <c r="H20" s="14" t="str">
        <f>ROUND(rmsfe_Pivot_T8!G22,2)&amp;IF(rmsfe_Pivot_T8!AS22=1,"**",IF(rmsfe_Pivot_T8!Y22=1,"*",""))</f>
        <v>0,93*</v>
      </c>
      <c r="I20" s="14" t="str">
        <f>ROUND(rmsfe_Pivot_T8!H22,2)&amp;IF(rmsfe_Pivot_T8!AT22=1,"**",IF(rmsfe_Pivot_T8!Z22=1,"*",""))</f>
        <v>0,88*</v>
      </c>
      <c r="J20" s="14" t="str">
        <f>ROUND(rmsfe_Pivot_T8!I22,2)&amp;IF(rmsfe_Pivot_T8!AU22=1,"**",IF(rmsfe_Pivot_T8!AA22=1,"*",""))</f>
        <v>1,1</v>
      </c>
      <c r="K20" s="14" t="str">
        <f>ROUND(rmsfe_Pivot_T8!J22,2)&amp;IF(rmsfe_Pivot_T8!AV22=1,"**",IF(rmsfe_Pivot_T8!AB22=1,"*",""))</f>
        <v>1,18</v>
      </c>
      <c r="L20" s="14" t="str">
        <f>ROUND(rmsfe_Pivot_T8!K22,2)&amp;IF(rmsfe_Pivot_T8!AW22=1,"**",IF(rmsfe_Pivot_T8!AC22=1,"*",""))</f>
        <v>1,01</v>
      </c>
      <c r="M20" s="14" t="str">
        <f>ROUND(rmsfe_Pivot_T8!L22,2)&amp;IF(rmsfe_Pivot_T8!AX22=1,"**",IF(rmsfe_Pivot_T8!AD22=1,"*",""))</f>
        <v>1,04</v>
      </c>
      <c r="N20" s="14" t="str">
        <f>ROUND(rmsfe_Pivot_T8!M22,2)&amp;IF(rmsfe_Pivot_T8!AY22=1,"**",IF(rmsfe_Pivot_T8!AE22=1,"*",""))</f>
        <v>1,12</v>
      </c>
      <c r="O20" s="14" t="str">
        <f>ROUND(rmsfe_Pivot_T8!N22,2)&amp;IF(rmsfe_Pivot_T8!AZ22=1,"**",IF(rmsfe_Pivot_T8!AF22=1,"*",""))</f>
        <v>1</v>
      </c>
      <c r="P20" s="14" t="str">
        <f>ROUND(rmsfe_Pivot_T8!O22,2)&amp;IF(rmsfe_Pivot_T8!BA22=1,"**",IF(rmsfe_Pivot_T8!AG22=1,"*",""))</f>
        <v>1,13</v>
      </c>
      <c r="Q20" s="14" t="str">
        <f>ROUND(rmsfe_Pivot_T8!P22,2)&amp;IF(rmsfe_Pivot_T8!BB22=1,"**",IF(rmsfe_Pivot_T8!AH22=1,"*",""))</f>
        <v>0,98</v>
      </c>
      <c r="R20" s="15" t="str">
        <f>rmsfe_Pivot_T8!AI22&amp;"/"&amp;rmsfe_Pivot_T8!BC22</f>
        <v>3/1</v>
      </c>
    </row>
    <row r="21" spans="2:20" x14ac:dyDescent="0.25">
      <c r="B21" t="str">
        <f>rmsfe_Pivot_T8!A23</f>
        <v>BMS</v>
      </c>
      <c r="C21" s="14" t="str">
        <f>ROUND(rmsfe_Pivot_T8!B23,2)&amp;IF(rmsfe_Pivot_T8!AN23=1,"**",IF(rmsfe_Pivot_T8!T23=1,"*",""))</f>
        <v>1,08</v>
      </c>
      <c r="D21" s="14" t="str">
        <f>ROUND(rmsfe_Pivot_T8!C23,2)&amp;IF(rmsfe_Pivot_T8!AO23=1,"**",IF(rmsfe_Pivot_T8!U23=1,"*",""))</f>
        <v>0,95</v>
      </c>
      <c r="E21" s="14" t="str">
        <f>ROUND(rmsfe_Pivot_T8!D23,2)&amp;IF(rmsfe_Pivot_T8!AP23=1,"**",IF(rmsfe_Pivot_T8!V23=1,"*",""))</f>
        <v>1,13</v>
      </c>
      <c r="F21" s="14" t="str">
        <f>ROUND(rmsfe_Pivot_T8!E23,2)&amp;IF(rmsfe_Pivot_T8!AQ23=1,"**",IF(rmsfe_Pivot_T8!W23=1,"*",""))</f>
        <v>1,32</v>
      </c>
      <c r="G21" s="14" t="str">
        <f>ROUND(rmsfe_Pivot_T8!F23,2)&amp;IF(rmsfe_Pivot_T8!AR23=1,"**",IF(rmsfe_Pivot_T8!X23=1,"*",""))</f>
        <v>0,94**</v>
      </c>
      <c r="H21" s="14" t="str">
        <f>ROUND(rmsfe_Pivot_T8!G23,2)&amp;IF(rmsfe_Pivot_T8!AS23=1,"**",IF(rmsfe_Pivot_T8!Y23=1,"*",""))</f>
        <v>0,93**</v>
      </c>
      <c r="I21" s="14" t="str">
        <f>ROUND(rmsfe_Pivot_T8!H23,2)&amp;IF(rmsfe_Pivot_T8!AT23=1,"**",IF(rmsfe_Pivot_T8!Z23=1,"*",""))</f>
        <v>1,29</v>
      </c>
      <c r="J21" s="14" t="str">
        <f>ROUND(rmsfe_Pivot_T8!I23,2)&amp;IF(rmsfe_Pivot_T8!AU23=1,"**",IF(rmsfe_Pivot_T8!AA23=1,"*",""))</f>
        <v>0,96</v>
      </c>
      <c r="K21" s="14" t="str">
        <f>ROUND(rmsfe_Pivot_T8!J23,2)&amp;IF(rmsfe_Pivot_T8!AV23=1,"**",IF(rmsfe_Pivot_T8!AB23=1,"*",""))</f>
        <v>0,9</v>
      </c>
      <c r="L21" s="14" t="str">
        <f>ROUND(rmsfe_Pivot_T8!K23,2)&amp;IF(rmsfe_Pivot_T8!AW23=1,"**",IF(rmsfe_Pivot_T8!AC23=1,"*",""))</f>
        <v>1,11</v>
      </c>
      <c r="M21" s="14" t="str">
        <f>ROUND(rmsfe_Pivot_T8!L23,2)&amp;IF(rmsfe_Pivot_T8!AX23=1,"**",IF(rmsfe_Pivot_T8!AD23=1,"*",""))</f>
        <v>0,94</v>
      </c>
      <c r="N21" s="14" t="str">
        <f>ROUND(rmsfe_Pivot_T8!M23,2)&amp;IF(rmsfe_Pivot_T8!AY23=1,"**",IF(rmsfe_Pivot_T8!AE23=1,"*",""))</f>
        <v>1,03</v>
      </c>
      <c r="O21" s="14" t="str">
        <f>ROUND(rmsfe_Pivot_T8!N23,2)&amp;IF(rmsfe_Pivot_T8!AZ23=1,"**",IF(rmsfe_Pivot_T8!AF23=1,"*",""))</f>
        <v>0,96</v>
      </c>
      <c r="P21" s="14" t="str">
        <f>ROUND(rmsfe_Pivot_T8!O23,2)&amp;IF(rmsfe_Pivot_T8!BA23=1,"**",IF(rmsfe_Pivot_T8!AG23=1,"*",""))</f>
        <v>0,8**</v>
      </c>
      <c r="Q21" s="14" t="str">
        <f>ROUND(rmsfe_Pivot_T8!P23,2)&amp;IF(rmsfe_Pivot_T8!BB23=1,"**",IF(rmsfe_Pivot_T8!AH23=1,"*",""))</f>
        <v>1,03</v>
      </c>
      <c r="R21" s="15" t="str">
        <f>rmsfe_Pivot_T8!AI23&amp;"/"&amp;rmsfe_Pivot_T8!BC23</f>
        <v>3/3</v>
      </c>
    </row>
    <row r="22" spans="2:20" x14ac:dyDescent="0.25">
      <c r="B22" t="str">
        <f>rmsfe_Pivot_T8!A24</f>
        <v>CC</v>
      </c>
      <c r="C22" s="14" t="str">
        <f>ROUND(rmsfe_Pivot_T8!B24,2)&amp;IF(rmsfe_Pivot_T8!AN24=1,"**",IF(rmsfe_Pivot_T8!T24=1,"*",""))</f>
        <v>1,55</v>
      </c>
      <c r="D22" s="14" t="str">
        <f>ROUND(rmsfe_Pivot_T8!C24,2)&amp;IF(rmsfe_Pivot_T8!AO24=1,"**",IF(rmsfe_Pivot_T8!U24=1,"*",""))</f>
        <v>1,25</v>
      </c>
      <c r="E22" s="14" t="str">
        <f>ROUND(rmsfe_Pivot_T8!D24,2)&amp;IF(rmsfe_Pivot_T8!AP24=1,"**",IF(rmsfe_Pivot_T8!V24=1,"*",""))</f>
        <v>1,15</v>
      </c>
      <c r="F22" s="14" t="str">
        <f>ROUND(rmsfe_Pivot_T8!E24,2)&amp;IF(rmsfe_Pivot_T8!AQ24=1,"**",IF(rmsfe_Pivot_T8!W24=1,"*",""))</f>
        <v>1,63</v>
      </c>
      <c r="G22" s="14" t="str">
        <f>ROUND(rmsfe_Pivot_T8!F24,2)&amp;IF(rmsfe_Pivot_T8!AR24=1,"**",IF(rmsfe_Pivot_T8!X24=1,"*",""))</f>
        <v>1,28</v>
      </c>
      <c r="H22" s="14" t="str">
        <f>ROUND(rmsfe_Pivot_T8!G24,2)&amp;IF(rmsfe_Pivot_T8!AS24=1,"**",IF(rmsfe_Pivot_T8!Y24=1,"*",""))</f>
        <v>1,16</v>
      </c>
      <c r="I22" s="14" t="str">
        <f>ROUND(rmsfe_Pivot_T8!H24,2)&amp;IF(rmsfe_Pivot_T8!AT24=1,"**",IF(rmsfe_Pivot_T8!Z24=1,"*",""))</f>
        <v>1,15</v>
      </c>
      <c r="J22" s="14" t="str">
        <f>ROUND(rmsfe_Pivot_T8!I24,2)&amp;IF(rmsfe_Pivot_T8!AU24=1,"**",IF(rmsfe_Pivot_T8!AA24=1,"*",""))</f>
        <v>1,33</v>
      </c>
      <c r="K22" s="14" t="str">
        <f>ROUND(rmsfe_Pivot_T8!J24,2)&amp;IF(rmsfe_Pivot_T8!AV24=1,"**",IF(rmsfe_Pivot_T8!AB24=1,"*",""))</f>
        <v>1,11</v>
      </c>
      <c r="L22" s="14" t="str">
        <f>ROUND(rmsfe_Pivot_T8!K24,2)&amp;IF(rmsfe_Pivot_T8!AW24=1,"**",IF(rmsfe_Pivot_T8!AC24=1,"*",""))</f>
        <v>1,02</v>
      </c>
      <c r="M22" s="14" t="str">
        <f>ROUND(rmsfe_Pivot_T8!L24,2)&amp;IF(rmsfe_Pivot_T8!AX24=1,"**",IF(rmsfe_Pivot_T8!AD24=1,"*",""))</f>
        <v>0,99</v>
      </c>
      <c r="N22" s="14" t="str">
        <f>ROUND(rmsfe_Pivot_T8!M24,2)&amp;IF(rmsfe_Pivot_T8!AY24=1,"**",IF(rmsfe_Pivot_T8!AE24=1,"*",""))</f>
        <v>1,22</v>
      </c>
      <c r="O22" s="14" t="str">
        <f>ROUND(rmsfe_Pivot_T8!N24,2)&amp;IF(rmsfe_Pivot_T8!AZ24=1,"**",IF(rmsfe_Pivot_T8!AF24=1,"*",""))</f>
        <v>2,09</v>
      </c>
      <c r="P22" s="14" t="str">
        <f>ROUND(rmsfe_Pivot_T8!O24,2)&amp;IF(rmsfe_Pivot_T8!BA24=1,"**",IF(rmsfe_Pivot_T8!AG24=1,"*",""))</f>
        <v>1,42</v>
      </c>
      <c r="Q22" s="14" t="str">
        <f>ROUND(rmsfe_Pivot_T8!P24,2)&amp;IF(rmsfe_Pivot_T8!BB24=1,"**",IF(rmsfe_Pivot_T8!AH24=1,"*",""))</f>
        <v>1,11</v>
      </c>
      <c r="R22" s="15" t="str">
        <f>rmsfe_Pivot_T8!AI24&amp;"/"&amp;rmsfe_Pivot_T8!BC24</f>
        <v>0/0</v>
      </c>
    </row>
    <row r="23" spans="2:20" x14ac:dyDescent="0.25">
      <c r="B23" s="13" t="s">
        <v>445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</row>
    <row r="24" spans="2:20" x14ac:dyDescent="0.25">
      <c r="B24" t="str">
        <f>rmsfe_Pivot_T8!A26</f>
        <v>ZS</v>
      </c>
      <c r="C24" s="14" t="str">
        <f>ROUND(rmsfe_Pivot_T8!B26,2)&amp;IF(rmsfe_Pivot_T8!AN26=1,"**",IF(rmsfe_Pivot_T8!T26=1,"*",""))</f>
        <v>1</v>
      </c>
      <c r="D24" s="14" t="str">
        <f>ROUND(rmsfe_Pivot_T8!C26,2)&amp;IF(rmsfe_Pivot_T8!AO26=1,"**",IF(rmsfe_Pivot_T8!U26=1,"*",""))</f>
        <v>1</v>
      </c>
      <c r="E24" s="14" t="str">
        <f>ROUND(rmsfe_Pivot_T8!D26,2)&amp;IF(rmsfe_Pivot_T8!AP26=1,"**",IF(rmsfe_Pivot_T8!V26=1,"*",""))</f>
        <v>1</v>
      </c>
      <c r="F24" s="14" t="str">
        <f>ROUND(rmsfe_Pivot_T8!E26,2)&amp;IF(rmsfe_Pivot_T8!AQ26=1,"**",IF(rmsfe_Pivot_T8!W26=1,"*",""))</f>
        <v>1</v>
      </c>
      <c r="G24" s="14" t="str">
        <f>ROUND(rmsfe_Pivot_T8!F26,2)&amp;IF(rmsfe_Pivot_T8!AR26=1,"**",IF(rmsfe_Pivot_T8!X26=1,"*",""))</f>
        <v>1</v>
      </c>
      <c r="H24" s="14" t="str">
        <f>ROUND(rmsfe_Pivot_T8!G26,2)&amp;IF(rmsfe_Pivot_T8!AS26=1,"**",IF(rmsfe_Pivot_T8!Y26=1,"*",""))</f>
        <v>1</v>
      </c>
      <c r="I24" s="14" t="str">
        <f>ROUND(rmsfe_Pivot_T8!H26,2)&amp;IF(rmsfe_Pivot_T8!AT26=1,"**",IF(rmsfe_Pivot_T8!Z26=1,"*",""))</f>
        <v>1</v>
      </c>
      <c r="J24" s="14" t="str">
        <f>ROUND(rmsfe_Pivot_T8!I26,2)&amp;IF(rmsfe_Pivot_T8!AU26=1,"**",IF(rmsfe_Pivot_T8!AA26=1,"*",""))</f>
        <v>1</v>
      </c>
      <c r="K24" s="14" t="str">
        <f>ROUND(rmsfe_Pivot_T8!J26,2)&amp;IF(rmsfe_Pivot_T8!AV26=1,"**",IF(rmsfe_Pivot_T8!AB26=1,"*",""))</f>
        <v>1</v>
      </c>
      <c r="L24" s="14" t="str">
        <f>ROUND(rmsfe_Pivot_T8!K26,2)&amp;IF(rmsfe_Pivot_T8!AW26=1,"**",IF(rmsfe_Pivot_T8!AC26=1,"*",""))</f>
        <v>1</v>
      </c>
      <c r="M24" s="14" t="str">
        <f>ROUND(rmsfe_Pivot_T8!L26,2)&amp;IF(rmsfe_Pivot_T8!AX26=1,"**",IF(rmsfe_Pivot_T8!AD26=1,"*",""))</f>
        <v>1</v>
      </c>
      <c r="N24" s="14" t="str">
        <f>ROUND(rmsfe_Pivot_T8!M26,2)&amp;IF(rmsfe_Pivot_T8!AY26=1,"**",IF(rmsfe_Pivot_T8!AE26=1,"*",""))</f>
        <v>1</v>
      </c>
      <c r="O24" s="14" t="str">
        <f>ROUND(rmsfe_Pivot_T8!N26,2)&amp;IF(rmsfe_Pivot_T8!AZ26=1,"**",IF(rmsfe_Pivot_T8!AF26=1,"*",""))</f>
        <v>1</v>
      </c>
      <c r="P24" s="14" t="str">
        <f>ROUND(rmsfe_Pivot_T8!O26,2)&amp;IF(rmsfe_Pivot_T8!BA26=1,"**",IF(rmsfe_Pivot_T8!AG26=1,"*",""))</f>
        <v>1</v>
      </c>
      <c r="Q24" s="14" t="str">
        <f>ROUND(rmsfe_Pivot_T8!P26,2)&amp;IF(rmsfe_Pivot_T8!BB26=1,"**",IF(rmsfe_Pivot_T8!AH26=1,"*",""))</f>
        <v>1</v>
      </c>
      <c r="R24" s="15" t="str">
        <f>rmsfe_Pivot_T8!AI26&amp;"/"&amp;rmsfe_Pivot_T8!BC26</f>
        <v>0/0</v>
      </c>
    </row>
    <row r="25" spans="2:20" x14ac:dyDescent="0.25">
      <c r="B25" t="str">
        <f>rmsfe_Pivot_T8!A27</f>
        <v>ZS\&amp;POOL</v>
      </c>
      <c r="C25" s="14" t="str">
        <f>ROUND(rmsfe_Pivot_T8!B27,2)&amp;IF(rmsfe_Pivot_T8!AN27=1,"**",IF(rmsfe_Pivot_T8!T27=1,"*",""))</f>
        <v>1,12</v>
      </c>
      <c r="D25" s="14" t="str">
        <f>ROUND(rmsfe_Pivot_T8!C27,2)&amp;IF(rmsfe_Pivot_T8!AO27=1,"**",IF(rmsfe_Pivot_T8!U27=1,"*",""))</f>
        <v>1,01</v>
      </c>
      <c r="E25" s="14" t="str">
        <f>ROUND(rmsfe_Pivot_T8!D27,2)&amp;IF(rmsfe_Pivot_T8!AP27=1,"**",IF(rmsfe_Pivot_T8!V27=1,"*",""))</f>
        <v>1,02</v>
      </c>
      <c r="F25" s="14" t="str">
        <f>ROUND(rmsfe_Pivot_T8!E27,2)&amp;IF(rmsfe_Pivot_T8!AQ27=1,"**",IF(rmsfe_Pivot_T8!W27=1,"*",""))</f>
        <v>1,04</v>
      </c>
      <c r="G25" s="14" t="str">
        <f>ROUND(rmsfe_Pivot_T8!F27,2)&amp;IF(rmsfe_Pivot_T8!AR27=1,"**",IF(rmsfe_Pivot_T8!X27=1,"*",""))</f>
        <v>0,99</v>
      </c>
      <c r="H25" s="14" t="str">
        <f>ROUND(rmsfe_Pivot_T8!G27,2)&amp;IF(rmsfe_Pivot_T8!AS27=1,"**",IF(rmsfe_Pivot_T8!Y27=1,"*",""))</f>
        <v>0,98*</v>
      </c>
      <c r="I25" s="14" t="str">
        <f>ROUND(rmsfe_Pivot_T8!H27,2)&amp;IF(rmsfe_Pivot_T8!AT27=1,"**",IF(rmsfe_Pivot_T8!Z27=1,"*",""))</f>
        <v>0,9**</v>
      </c>
      <c r="J25" s="14" t="str">
        <f>ROUND(rmsfe_Pivot_T8!I27,2)&amp;IF(rmsfe_Pivot_T8!AU27=1,"**",IF(rmsfe_Pivot_T8!AA27=1,"*",""))</f>
        <v>1</v>
      </c>
      <c r="K25" s="14" t="str">
        <f>ROUND(rmsfe_Pivot_T8!J27,2)&amp;IF(rmsfe_Pivot_T8!AV27=1,"**",IF(rmsfe_Pivot_T8!AB27=1,"*",""))</f>
        <v>1,06</v>
      </c>
      <c r="L25" s="14" t="str">
        <f>ROUND(rmsfe_Pivot_T8!K27,2)&amp;IF(rmsfe_Pivot_T8!AW27=1,"**",IF(rmsfe_Pivot_T8!AC27=1,"*",""))</f>
        <v>0,98**</v>
      </c>
      <c r="M25" s="14" t="str">
        <f>ROUND(rmsfe_Pivot_T8!L27,2)&amp;IF(rmsfe_Pivot_T8!AX27=1,"**",IF(rmsfe_Pivot_T8!AD27=1,"*",""))</f>
        <v>0,96</v>
      </c>
      <c r="N25" s="14" t="str">
        <f>ROUND(rmsfe_Pivot_T8!M27,2)&amp;IF(rmsfe_Pivot_T8!AY27=1,"**",IF(rmsfe_Pivot_T8!AE27=1,"*",""))</f>
        <v>0,92**</v>
      </c>
      <c r="O25" s="14" t="str">
        <f>ROUND(rmsfe_Pivot_T8!N27,2)&amp;IF(rmsfe_Pivot_T8!AZ27=1,"**",IF(rmsfe_Pivot_T8!AF27=1,"*",""))</f>
        <v>1,2</v>
      </c>
      <c r="P25" s="14" t="str">
        <f>ROUND(rmsfe_Pivot_T8!O27,2)&amp;IF(rmsfe_Pivot_T8!BA27=1,"**",IF(rmsfe_Pivot_T8!AG27=1,"*",""))</f>
        <v>1,03</v>
      </c>
      <c r="Q25" s="14" t="str">
        <f>ROUND(rmsfe_Pivot_T8!P27,2)&amp;IF(rmsfe_Pivot_T8!BB27=1,"**",IF(rmsfe_Pivot_T8!AH27=1,"*",""))</f>
        <v>0,96**</v>
      </c>
      <c r="R25" s="15" t="str">
        <f>rmsfe_Pivot_T8!AI27&amp;"/"&amp;rmsfe_Pivot_T8!BC27</f>
        <v>5/4</v>
      </c>
    </row>
    <row r="26" spans="2:20" x14ac:dyDescent="0.25">
      <c r="B26" t="str">
        <f>rmsfe_Pivot_T8!A28</f>
        <v>POOL</v>
      </c>
      <c r="C26" s="14" t="str">
        <f>ROUND(rmsfe_Pivot_T8!B28,2)&amp;IF(rmsfe_Pivot_T8!AN28=1,"**",IF(rmsfe_Pivot_T8!T28=1,"*",""))</f>
        <v>0,94</v>
      </c>
      <c r="D26" s="14" t="str">
        <f>ROUND(rmsfe_Pivot_T8!C28,2)&amp;IF(rmsfe_Pivot_T8!AO28=1,"**",IF(rmsfe_Pivot_T8!U28=1,"*",""))</f>
        <v>0,9**</v>
      </c>
      <c r="E26" s="14" t="str">
        <f>ROUND(rmsfe_Pivot_T8!D28,2)&amp;IF(rmsfe_Pivot_T8!AP28=1,"**",IF(rmsfe_Pivot_T8!V28=1,"*",""))</f>
        <v>1,11</v>
      </c>
      <c r="F26" s="14" t="str">
        <f>ROUND(rmsfe_Pivot_T8!E28,2)&amp;IF(rmsfe_Pivot_T8!AQ28=1,"**",IF(rmsfe_Pivot_T8!W28=1,"*",""))</f>
        <v>0,9**</v>
      </c>
      <c r="G26" s="14" t="str">
        <f>ROUND(rmsfe_Pivot_T8!F28,2)&amp;IF(rmsfe_Pivot_T8!AR28=1,"**",IF(rmsfe_Pivot_T8!X28=1,"*",""))</f>
        <v>1,04</v>
      </c>
      <c r="H26" s="14" t="str">
        <f>ROUND(rmsfe_Pivot_T8!G28,2)&amp;IF(rmsfe_Pivot_T8!AS28=1,"**",IF(rmsfe_Pivot_T8!Y28=1,"*",""))</f>
        <v>1,14</v>
      </c>
      <c r="I26" s="14" t="str">
        <f>ROUND(rmsfe_Pivot_T8!H28,2)&amp;IF(rmsfe_Pivot_T8!AT28=1,"**",IF(rmsfe_Pivot_T8!Z28=1,"*",""))</f>
        <v>0,97</v>
      </c>
      <c r="J26" s="14" t="str">
        <f>ROUND(rmsfe_Pivot_T8!I28,2)&amp;IF(rmsfe_Pivot_T8!AU28=1,"**",IF(rmsfe_Pivot_T8!AA28=1,"*",""))</f>
        <v>0,92**</v>
      </c>
      <c r="K26" s="14" t="str">
        <f>ROUND(rmsfe_Pivot_T8!J28,2)&amp;IF(rmsfe_Pivot_T8!AV28=1,"**",IF(rmsfe_Pivot_T8!AB28=1,"*",""))</f>
        <v>1,15</v>
      </c>
      <c r="L26" s="14" t="str">
        <f>ROUND(rmsfe_Pivot_T8!K28,2)&amp;IF(rmsfe_Pivot_T8!AW28=1,"**",IF(rmsfe_Pivot_T8!AC28=1,"*",""))</f>
        <v>0,92**</v>
      </c>
      <c r="M26" s="14" t="str">
        <f>ROUND(rmsfe_Pivot_T8!L28,2)&amp;IF(rmsfe_Pivot_T8!AX28=1,"**",IF(rmsfe_Pivot_T8!AD28=1,"*",""))</f>
        <v>0,99</v>
      </c>
      <c r="N26" s="14" t="str">
        <f>ROUND(rmsfe_Pivot_T8!M28,2)&amp;IF(rmsfe_Pivot_T8!AY28=1,"**",IF(rmsfe_Pivot_T8!AE28=1,"*",""))</f>
        <v>1,02</v>
      </c>
      <c r="O26" s="14" t="str">
        <f>ROUND(rmsfe_Pivot_T8!N28,2)&amp;IF(rmsfe_Pivot_T8!AZ28=1,"**",IF(rmsfe_Pivot_T8!AF28=1,"*",""))</f>
        <v>0,95**</v>
      </c>
      <c r="P26" s="14" t="str">
        <f>ROUND(rmsfe_Pivot_T8!O28,2)&amp;IF(rmsfe_Pivot_T8!BA28=1,"**",IF(rmsfe_Pivot_T8!AG28=1,"*",""))</f>
        <v>0,78**</v>
      </c>
      <c r="Q26" s="14" t="str">
        <f>ROUND(rmsfe_Pivot_T8!P28,2)&amp;IF(rmsfe_Pivot_T8!BB28=1,"**",IF(rmsfe_Pivot_T8!AH28=1,"*",""))</f>
        <v>0,97</v>
      </c>
      <c r="R26" s="15" t="str">
        <f>rmsfe_Pivot_T8!AI28&amp;"/"&amp;rmsfe_Pivot_T8!BC28</f>
        <v>6/6</v>
      </c>
    </row>
    <row r="27" spans="2:20" x14ac:dyDescent="0.25">
      <c r="B27" t="str">
        <f>rmsfe_Pivot_T8!A29</f>
        <v>ZSGL</v>
      </c>
      <c r="C27" s="14" t="str">
        <f>ROUND(rmsfe_Pivot_T8!B29,2)&amp;IF(rmsfe_Pivot_T8!AN29=1,"**",IF(rmsfe_Pivot_T8!T29=1,"*",""))</f>
        <v>0,99</v>
      </c>
      <c r="D27" s="14" t="str">
        <f>ROUND(rmsfe_Pivot_T8!C29,2)&amp;IF(rmsfe_Pivot_T8!AO29=1,"**",IF(rmsfe_Pivot_T8!U29=1,"*",""))</f>
        <v>0,93**</v>
      </c>
      <c r="E27" s="14" t="str">
        <f>ROUND(rmsfe_Pivot_T8!D29,2)&amp;IF(rmsfe_Pivot_T8!AP29=1,"**",IF(rmsfe_Pivot_T8!V29=1,"*",""))</f>
        <v>0,98*</v>
      </c>
      <c r="F27" s="14" t="str">
        <f>ROUND(rmsfe_Pivot_T8!E29,2)&amp;IF(rmsfe_Pivot_T8!AQ29=1,"**",IF(rmsfe_Pivot_T8!W29=1,"*",""))</f>
        <v>1,05</v>
      </c>
      <c r="G27" s="14" t="str">
        <f>ROUND(rmsfe_Pivot_T8!F29,2)&amp;IF(rmsfe_Pivot_T8!AR29=1,"**",IF(rmsfe_Pivot_T8!X29=1,"*",""))</f>
        <v>0,96**</v>
      </c>
      <c r="H27" s="14" t="str">
        <f>ROUND(rmsfe_Pivot_T8!G29,2)&amp;IF(rmsfe_Pivot_T8!AS29=1,"**",IF(rmsfe_Pivot_T8!Y29=1,"*",""))</f>
        <v>1,06</v>
      </c>
      <c r="I27" s="14" t="str">
        <f>ROUND(rmsfe_Pivot_T8!H29,2)&amp;IF(rmsfe_Pivot_T8!AT29=1,"**",IF(rmsfe_Pivot_T8!Z29=1,"*",""))</f>
        <v>0,96**</v>
      </c>
      <c r="J27" s="14" t="str">
        <f>ROUND(rmsfe_Pivot_T8!I29,2)&amp;IF(rmsfe_Pivot_T8!AU29=1,"**",IF(rmsfe_Pivot_T8!AA29=1,"*",""))</f>
        <v>0,88**</v>
      </c>
      <c r="K27" s="14" t="str">
        <f>ROUND(rmsfe_Pivot_T8!J29,2)&amp;IF(rmsfe_Pivot_T8!AV29=1,"**",IF(rmsfe_Pivot_T8!AB29=1,"*",""))</f>
        <v>1,05</v>
      </c>
      <c r="L27" s="14" t="str">
        <f>ROUND(rmsfe_Pivot_T8!K29,2)&amp;IF(rmsfe_Pivot_T8!AW29=1,"**",IF(rmsfe_Pivot_T8!AC29=1,"*",""))</f>
        <v>0,94**</v>
      </c>
      <c r="M27" s="14" t="str">
        <f>ROUND(rmsfe_Pivot_T8!L29,2)&amp;IF(rmsfe_Pivot_T8!AX29=1,"**",IF(rmsfe_Pivot_T8!AD29=1,"*",""))</f>
        <v>0,97**</v>
      </c>
      <c r="N27" s="14" t="str">
        <f>ROUND(rmsfe_Pivot_T8!M29,2)&amp;IF(rmsfe_Pivot_T8!AY29=1,"**",IF(rmsfe_Pivot_T8!AE29=1,"*",""))</f>
        <v>1</v>
      </c>
      <c r="O27" s="14" t="str">
        <f>ROUND(rmsfe_Pivot_T8!N29,2)&amp;IF(rmsfe_Pivot_T8!AZ29=1,"**",IF(rmsfe_Pivot_T8!AF29=1,"*",""))</f>
        <v>0,93**</v>
      </c>
      <c r="P27" s="14" t="str">
        <f>ROUND(rmsfe_Pivot_T8!O29,2)&amp;IF(rmsfe_Pivot_T8!BA29=1,"**",IF(rmsfe_Pivot_T8!AG29=1,"*",""))</f>
        <v>0,85**</v>
      </c>
      <c r="Q27" s="14" t="str">
        <f>ROUND(rmsfe_Pivot_T8!P29,2)&amp;IF(rmsfe_Pivot_T8!BB29=1,"**",IF(rmsfe_Pivot_T8!AH29=1,"*",""))</f>
        <v>0,99</v>
      </c>
      <c r="R27" s="15" t="str">
        <f>rmsfe_Pivot_T8!AI29&amp;"/"&amp;rmsfe_Pivot_T8!BC29</f>
        <v>9/8</v>
      </c>
    </row>
    <row r="28" spans="2:20" x14ac:dyDescent="0.25">
      <c r="B28" t="str">
        <f>rmsfe_Pivot_T8!A30</f>
        <v>J</v>
      </c>
      <c r="C28" s="14" t="str">
        <f>ROUND(rmsfe_Pivot_T8!B30,2)&amp;IF(rmsfe_Pivot_T8!AN30=1,"**",IF(rmsfe_Pivot_T8!T30=1,"*",""))</f>
        <v>0,41**</v>
      </c>
      <c r="D28" s="14" t="str">
        <f>ROUND(rmsfe_Pivot_T8!C30,2)&amp;IF(rmsfe_Pivot_T8!AO30=1,"**",IF(rmsfe_Pivot_T8!U30=1,"*",""))</f>
        <v>0,75**</v>
      </c>
      <c r="E28" s="14" t="str">
        <f>ROUND(rmsfe_Pivot_T8!D30,2)&amp;IF(rmsfe_Pivot_T8!AP30=1,"**",IF(rmsfe_Pivot_T8!V30=1,"*",""))</f>
        <v>0,88**</v>
      </c>
      <c r="F28" s="14" t="str">
        <f>ROUND(rmsfe_Pivot_T8!E30,2)&amp;IF(rmsfe_Pivot_T8!AQ30=1,"**",IF(rmsfe_Pivot_T8!W30=1,"*",""))</f>
        <v>0,15**</v>
      </c>
      <c r="G28" s="14" t="str">
        <f>ROUND(rmsfe_Pivot_T8!F30,2)&amp;IF(rmsfe_Pivot_T8!AR30=1,"**",IF(rmsfe_Pivot_T8!X30=1,"*",""))</f>
        <v>0,83**</v>
      </c>
      <c r="H28" s="14" t="str">
        <f>ROUND(rmsfe_Pivot_T8!G30,2)&amp;IF(rmsfe_Pivot_T8!AS30=1,"**",IF(rmsfe_Pivot_T8!Y30=1,"*",""))</f>
        <v>0,97</v>
      </c>
      <c r="I28" s="14" t="str">
        <f>ROUND(rmsfe_Pivot_T8!H30,2)&amp;IF(rmsfe_Pivot_T8!AT30=1,"**",IF(rmsfe_Pivot_T8!Z30=1,"*",""))</f>
        <v>0,81*</v>
      </c>
      <c r="J28" s="14" t="str">
        <f>ROUND(rmsfe_Pivot_T8!I30,2)&amp;IF(rmsfe_Pivot_T8!AU30=1,"**",IF(rmsfe_Pivot_T8!AA30=1,"*",""))</f>
        <v>0,73**</v>
      </c>
      <c r="K28" s="14" t="str">
        <f>ROUND(rmsfe_Pivot_T8!J30,2)&amp;IF(rmsfe_Pivot_T8!AV30=1,"**",IF(rmsfe_Pivot_T8!AB30=1,"*",""))</f>
        <v>0,94**</v>
      </c>
      <c r="L28" s="14" t="str">
        <f>ROUND(rmsfe_Pivot_T8!K30,2)&amp;IF(rmsfe_Pivot_T8!AW30=1,"**",IF(rmsfe_Pivot_T8!AC30=1,"*",""))</f>
        <v>0,73**</v>
      </c>
      <c r="M28" s="14" t="str">
        <f>ROUND(rmsfe_Pivot_T8!L30,2)&amp;IF(rmsfe_Pivot_T8!AX30=1,"**",IF(rmsfe_Pivot_T8!AD30=1,"*",""))</f>
        <v>0,78</v>
      </c>
      <c r="N28" s="14" t="str">
        <f>ROUND(rmsfe_Pivot_T8!M30,2)&amp;IF(rmsfe_Pivot_T8!AY30=1,"**",IF(rmsfe_Pivot_T8!AE30=1,"*",""))</f>
        <v>0,82**</v>
      </c>
      <c r="O28" s="14" t="str">
        <f>ROUND(rmsfe_Pivot_T8!N30,2)&amp;IF(rmsfe_Pivot_T8!AZ30=1,"**",IF(rmsfe_Pivot_T8!AF30=1,"*",""))</f>
        <v>0,55**</v>
      </c>
      <c r="P28" s="14" t="str">
        <f>ROUND(rmsfe_Pivot_T8!O30,2)&amp;IF(rmsfe_Pivot_T8!BA30=1,"**",IF(rmsfe_Pivot_T8!AG30=1,"*",""))</f>
        <v>0,46**</v>
      </c>
      <c r="Q28" s="14" t="str">
        <f>ROUND(rmsfe_Pivot_T8!P30,2)&amp;IF(rmsfe_Pivot_T8!BB30=1,"**",IF(rmsfe_Pivot_T8!AH30=1,"*",""))</f>
        <v>0,79**</v>
      </c>
      <c r="R28" s="15" t="str">
        <f>rmsfe_Pivot_T8!AI30&amp;"/"&amp;rmsfe_Pivot_T8!BC30</f>
        <v>13/12</v>
      </c>
      <c r="T28" t="str">
        <f>B28&amp;"&amp;"&amp;C28&amp;"&amp;"&amp;D28&amp;"&amp;"&amp;E28&amp;"&amp;"&amp;F28&amp;"&amp;"&amp;G28&amp;"&amp;"&amp;H28&amp;"&amp;"&amp;I28&amp;"&amp;"&amp;J28&amp;"&amp;"&amp;K28&amp;"&amp;"&amp;L28&amp;"&amp;"&amp;M28&amp;"&amp;"&amp;N28&amp;"&amp;"&amp;O28&amp;"&amp;"&amp;P28&amp;"&amp;"&amp;Q28&amp;"&amp;"&amp;R28&amp;"\\"</f>
        <v>J&amp;0,41**&amp;0,75**&amp;0,88**&amp;0,15**&amp;0,83**&amp;0,97&amp;0,81*&amp;0,73**&amp;0,94**&amp;0,73**&amp;0,78&amp;0,82**&amp;0,55**&amp;0,46**&amp;0,79**&amp;13/12\\</v>
      </c>
    </row>
    <row r="29" spans="2:20" x14ac:dyDescent="0.25">
      <c r="B29" t="str">
        <f>rmsfe_Pivot_T8!A31</f>
        <v>BFCS</v>
      </c>
      <c r="C29" s="14" t="str">
        <f>ROUND(rmsfe_Pivot_T8!B31,2)&amp;IF(rmsfe_Pivot_T8!AN31=1,"**",IF(rmsfe_Pivot_T8!T31=1,"*",""))</f>
        <v>1,3</v>
      </c>
      <c r="D29" s="14" t="str">
        <f>ROUND(rmsfe_Pivot_T8!C31,2)&amp;IF(rmsfe_Pivot_T8!AO31=1,"**",IF(rmsfe_Pivot_T8!U31=1,"*",""))</f>
        <v>1,19</v>
      </c>
      <c r="E29" s="14" t="str">
        <f>ROUND(rmsfe_Pivot_T8!D31,2)&amp;IF(rmsfe_Pivot_T8!AP31=1,"**",IF(rmsfe_Pivot_T8!V31=1,"*",""))</f>
        <v>1,18</v>
      </c>
      <c r="F29" s="14" t="str">
        <f>ROUND(rmsfe_Pivot_T8!E31,2)&amp;IF(rmsfe_Pivot_T8!AQ31=1,"**",IF(rmsfe_Pivot_T8!W31=1,"*",""))</f>
        <v>1,56</v>
      </c>
      <c r="G29" s="14" t="str">
        <f>ROUND(rmsfe_Pivot_T8!F31,2)&amp;IF(rmsfe_Pivot_T8!AR31=1,"**",IF(rmsfe_Pivot_T8!X31=1,"*",""))</f>
        <v>1,7</v>
      </c>
      <c r="H29" s="14" t="str">
        <f>ROUND(rmsfe_Pivot_T8!G31,2)&amp;IF(rmsfe_Pivot_T8!AS31=1,"**",IF(rmsfe_Pivot_T8!Y31=1,"*",""))</f>
        <v>1,63</v>
      </c>
      <c r="I29" s="14" t="str">
        <f>ROUND(rmsfe_Pivot_T8!H31,2)&amp;IF(rmsfe_Pivot_T8!AT31=1,"**",IF(rmsfe_Pivot_T8!Z31=1,"*",""))</f>
        <v>1,7</v>
      </c>
      <c r="J29" s="14" t="str">
        <f>ROUND(rmsfe_Pivot_T8!I31,2)&amp;IF(rmsfe_Pivot_T8!AU31=1,"**",IF(rmsfe_Pivot_T8!AA31=1,"*",""))</f>
        <v>1,08</v>
      </c>
      <c r="K29" s="14" t="str">
        <f>ROUND(rmsfe_Pivot_T8!J31,2)&amp;IF(rmsfe_Pivot_T8!AV31=1,"**",IF(rmsfe_Pivot_T8!AB31=1,"*",""))</f>
        <v>2</v>
      </c>
      <c r="L29" s="14" t="str">
        <f>ROUND(rmsfe_Pivot_T8!K31,2)&amp;IF(rmsfe_Pivot_T8!AW31=1,"**",IF(rmsfe_Pivot_T8!AC31=1,"*",""))</f>
        <v>1,87</v>
      </c>
      <c r="M29" s="14" t="str">
        <f>ROUND(rmsfe_Pivot_T8!L31,2)&amp;IF(rmsfe_Pivot_T8!AX31=1,"**",IF(rmsfe_Pivot_T8!AD31=1,"*",""))</f>
        <v>0,98</v>
      </c>
      <c r="N29" s="14" t="str">
        <f>ROUND(rmsfe_Pivot_T8!M31,2)&amp;IF(rmsfe_Pivot_T8!AY31=1,"**",IF(rmsfe_Pivot_T8!AE31=1,"*",""))</f>
        <v>1,62</v>
      </c>
      <c r="O29" s="14" t="str">
        <f>ROUND(rmsfe_Pivot_T8!N31,2)&amp;IF(rmsfe_Pivot_T8!AZ31=1,"**",IF(rmsfe_Pivot_T8!AF31=1,"*",""))</f>
        <v>0,61**</v>
      </c>
      <c r="P29" s="14" t="str">
        <f>ROUND(rmsfe_Pivot_T8!O31,2)&amp;IF(rmsfe_Pivot_T8!BA31=1,"**",IF(rmsfe_Pivot_T8!AG31=1,"*",""))</f>
        <v>2,09</v>
      </c>
      <c r="Q29" s="14" t="str">
        <f>ROUND(rmsfe_Pivot_T8!P31,2)&amp;IF(rmsfe_Pivot_T8!BB31=1,"**",IF(rmsfe_Pivot_T8!AH31=1,"*",""))</f>
        <v>1,35</v>
      </c>
      <c r="R29" s="15" t="str">
        <f>rmsfe_Pivot_T8!AI31&amp;"/"&amp;rmsfe_Pivot_T8!BC31</f>
        <v>1/1</v>
      </c>
    </row>
    <row r="30" spans="2:20" x14ac:dyDescent="0.25">
      <c r="B30" t="str">
        <f>rmsfe_Pivot_T8!A32</f>
        <v>SSSS</v>
      </c>
      <c r="C30" s="14" t="str">
        <f>ROUND(rmsfe_Pivot_T8!B32,2)&amp;IF(rmsfe_Pivot_T8!AN32=1,"**",IF(rmsfe_Pivot_T8!T32=1,"*",""))</f>
        <v>0,9</v>
      </c>
      <c r="D30" s="14" t="str">
        <f>ROUND(rmsfe_Pivot_T8!C32,2)&amp;IF(rmsfe_Pivot_T8!AO32=1,"**",IF(rmsfe_Pivot_T8!U32=1,"*",""))</f>
        <v>0,81**</v>
      </c>
      <c r="E30" s="14" t="str">
        <f>ROUND(rmsfe_Pivot_T8!D32,2)&amp;IF(rmsfe_Pivot_T8!AP32=1,"**",IF(rmsfe_Pivot_T8!V32=1,"*",""))</f>
        <v>1,28</v>
      </c>
      <c r="F30" s="14" t="str">
        <f>ROUND(rmsfe_Pivot_T8!E32,2)&amp;IF(rmsfe_Pivot_T8!AQ32=1,"**",IF(rmsfe_Pivot_T8!W32=1,"*",""))</f>
        <v>1,34</v>
      </c>
      <c r="G30" s="14" t="str">
        <f>ROUND(rmsfe_Pivot_T8!F32,2)&amp;IF(rmsfe_Pivot_T8!AR32=1,"**",IF(rmsfe_Pivot_T8!X32=1,"*",""))</f>
        <v>0,87**</v>
      </c>
      <c r="H30" s="14" t="str">
        <f>ROUND(rmsfe_Pivot_T8!G32,2)&amp;IF(rmsfe_Pivot_T8!AS32=1,"**",IF(rmsfe_Pivot_T8!Y32=1,"*",""))</f>
        <v>0,98</v>
      </c>
      <c r="I30" s="14" t="str">
        <f>ROUND(rmsfe_Pivot_T8!H32,2)&amp;IF(rmsfe_Pivot_T8!AT32=1,"**",IF(rmsfe_Pivot_T8!Z32=1,"*",""))</f>
        <v>0,67**</v>
      </c>
      <c r="J30" s="14" t="str">
        <f>ROUND(rmsfe_Pivot_T8!I32,2)&amp;IF(rmsfe_Pivot_T8!AU32=1,"**",IF(rmsfe_Pivot_T8!AA32=1,"*",""))</f>
        <v>0,77**</v>
      </c>
      <c r="K30" s="14" t="str">
        <f>ROUND(rmsfe_Pivot_T8!J32,2)&amp;IF(rmsfe_Pivot_T8!AV32=1,"**",IF(rmsfe_Pivot_T8!AB32=1,"*",""))</f>
        <v>1,07</v>
      </c>
      <c r="L30" s="14" t="str">
        <f>ROUND(rmsfe_Pivot_T8!K32,2)&amp;IF(rmsfe_Pivot_T8!AW32=1,"**",IF(rmsfe_Pivot_T8!AC32=1,"*",""))</f>
        <v>0,82**</v>
      </c>
      <c r="M30" s="14" t="str">
        <f>ROUND(rmsfe_Pivot_T8!L32,2)&amp;IF(rmsfe_Pivot_T8!AX32=1,"**",IF(rmsfe_Pivot_T8!AD32=1,"*",""))</f>
        <v>0,98</v>
      </c>
      <c r="N30" s="14" t="str">
        <f>ROUND(rmsfe_Pivot_T8!M32,2)&amp;IF(rmsfe_Pivot_T8!AY32=1,"**",IF(rmsfe_Pivot_T8!AE32=1,"*",""))</f>
        <v>1,12</v>
      </c>
      <c r="O30" s="14" t="str">
        <f>ROUND(rmsfe_Pivot_T8!N32,2)&amp;IF(rmsfe_Pivot_T8!AZ32=1,"**",IF(rmsfe_Pivot_T8!AF32=1,"*",""))</f>
        <v>0,96</v>
      </c>
      <c r="P30" s="14" t="str">
        <f>ROUND(rmsfe_Pivot_T8!O32,2)&amp;IF(rmsfe_Pivot_T8!BA32=1,"**",IF(rmsfe_Pivot_T8!AG32=1,"*",""))</f>
        <v>0,54**</v>
      </c>
      <c r="Q30" s="14" t="str">
        <f>ROUND(rmsfe_Pivot_T8!P32,2)&amp;IF(rmsfe_Pivot_T8!BB32=1,"**",IF(rmsfe_Pivot_T8!AH32=1,"*",""))</f>
        <v>0,89**</v>
      </c>
      <c r="R30" s="15" t="str">
        <f>rmsfe_Pivot_T8!AI32&amp;"/"&amp;rmsfe_Pivot_T8!BC32</f>
        <v>7/7</v>
      </c>
    </row>
    <row r="31" spans="2:20" x14ac:dyDescent="0.25">
      <c r="B31" t="str">
        <f>rmsfe_Pivot_T8!A33</f>
        <v>BMS</v>
      </c>
      <c r="C31" s="14" t="str">
        <f>ROUND(rmsfe_Pivot_T8!B33,2)&amp;IF(rmsfe_Pivot_T8!AN33=1,"**",IF(rmsfe_Pivot_T8!T33=1,"*",""))</f>
        <v>1,01</v>
      </c>
      <c r="D31" s="14" t="str">
        <f>ROUND(rmsfe_Pivot_T8!C33,2)&amp;IF(rmsfe_Pivot_T8!AO33=1,"**",IF(rmsfe_Pivot_T8!U33=1,"*",""))</f>
        <v>0,88**</v>
      </c>
      <c r="E31" s="14" t="str">
        <f>ROUND(rmsfe_Pivot_T8!D33,2)&amp;IF(rmsfe_Pivot_T8!AP33=1,"**",IF(rmsfe_Pivot_T8!V33=1,"*",""))</f>
        <v>0,92</v>
      </c>
      <c r="F31" s="14" t="str">
        <f>ROUND(rmsfe_Pivot_T8!E33,2)&amp;IF(rmsfe_Pivot_T8!AQ33=1,"**",IF(rmsfe_Pivot_T8!W33=1,"*",""))</f>
        <v>1,4</v>
      </c>
      <c r="G31" s="14" t="str">
        <f>ROUND(rmsfe_Pivot_T8!F33,2)&amp;IF(rmsfe_Pivot_T8!AR33=1,"**",IF(rmsfe_Pivot_T8!X33=1,"*",""))</f>
        <v>1,02</v>
      </c>
      <c r="H31" s="14" t="str">
        <f>ROUND(rmsfe_Pivot_T8!G33,2)&amp;IF(rmsfe_Pivot_T8!AS33=1,"**",IF(rmsfe_Pivot_T8!Y33=1,"*",""))</f>
        <v>1,08</v>
      </c>
      <c r="I31" s="14" t="str">
        <f>ROUND(rmsfe_Pivot_T8!H33,2)&amp;IF(rmsfe_Pivot_T8!AT33=1,"**",IF(rmsfe_Pivot_T8!Z33=1,"*",""))</f>
        <v>1,02</v>
      </c>
      <c r="J31" s="14" t="str">
        <f>ROUND(rmsfe_Pivot_T8!I33,2)&amp;IF(rmsfe_Pivot_T8!AU33=1,"**",IF(rmsfe_Pivot_T8!AA33=1,"*",""))</f>
        <v>0,82**</v>
      </c>
      <c r="K31" s="14" t="str">
        <f>ROUND(rmsfe_Pivot_T8!J33,2)&amp;IF(rmsfe_Pivot_T8!AV33=1,"**",IF(rmsfe_Pivot_T8!AB33=1,"*",""))</f>
        <v>1,25</v>
      </c>
      <c r="L31" s="14" t="str">
        <f>ROUND(rmsfe_Pivot_T8!K33,2)&amp;IF(rmsfe_Pivot_T8!AW33=1,"**",IF(rmsfe_Pivot_T8!AC33=1,"*",""))</f>
        <v>1,11</v>
      </c>
      <c r="M31" s="14" t="str">
        <f>ROUND(rmsfe_Pivot_T8!L33,2)&amp;IF(rmsfe_Pivot_T8!AX33=1,"**",IF(rmsfe_Pivot_T8!AD33=1,"*",""))</f>
        <v>1</v>
      </c>
      <c r="N31" s="14" t="str">
        <f>ROUND(rmsfe_Pivot_T8!M33,2)&amp;IF(rmsfe_Pivot_T8!AY33=1,"**",IF(rmsfe_Pivot_T8!AE33=1,"*",""))</f>
        <v>1,11</v>
      </c>
      <c r="O31" s="14" t="str">
        <f>ROUND(rmsfe_Pivot_T8!N33,2)&amp;IF(rmsfe_Pivot_T8!AZ33=1,"**",IF(rmsfe_Pivot_T8!AF33=1,"*",""))</f>
        <v>0,69**</v>
      </c>
      <c r="P31" s="14" t="str">
        <f>ROUND(rmsfe_Pivot_T8!O33,2)&amp;IF(rmsfe_Pivot_T8!BA33=1,"**",IF(rmsfe_Pivot_T8!AG33=1,"*",""))</f>
        <v>1,09</v>
      </c>
      <c r="Q31" s="14" t="str">
        <f>ROUND(rmsfe_Pivot_T8!P33,2)&amp;IF(rmsfe_Pivot_T8!BB33=1,"**",IF(rmsfe_Pivot_T8!AH33=1,"*",""))</f>
        <v>0,9**</v>
      </c>
      <c r="R31" s="15" t="str">
        <f>rmsfe_Pivot_T8!AI33&amp;"/"&amp;rmsfe_Pivot_T8!BC33</f>
        <v>4/4</v>
      </c>
    </row>
    <row r="32" spans="2:20" x14ac:dyDescent="0.25">
      <c r="B32" t="str">
        <f>rmsfe_Pivot_T8!A34</f>
        <v>CC</v>
      </c>
      <c r="C32" s="14" t="str">
        <f>ROUND(rmsfe_Pivot_T8!B34,2)&amp;IF(rmsfe_Pivot_T8!AN34=1,"**",IF(rmsfe_Pivot_T8!T34=1,"*",""))</f>
        <v>1,38</v>
      </c>
      <c r="D32" s="14" t="str">
        <f>ROUND(rmsfe_Pivot_T8!C34,2)&amp;IF(rmsfe_Pivot_T8!AO34=1,"**",IF(rmsfe_Pivot_T8!U34=1,"*",""))</f>
        <v>1,33</v>
      </c>
      <c r="E32" s="14" t="str">
        <f>ROUND(rmsfe_Pivot_T8!D34,2)&amp;IF(rmsfe_Pivot_T8!AP34=1,"**",IF(rmsfe_Pivot_T8!V34=1,"*",""))</f>
        <v>1,36</v>
      </c>
      <c r="F32" s="14" t="str">
        <f>ROUND(rmsfe_Pivot_T8!E34,2)&amp;IF(rmsfe_Pivot_T8!AQ34=1,"**",IF(rmsfe_Pivot_T8!W34=1,"*",""))</f>
        <v>1,59</v>
      </c>
      <c r="G32" s="14" t="str">
        <f>ROUND(rmsfe_Pivot_T8!F34,2)&amp;IF(rmsfe_Pivot_T8!AR34=1,"**",IF(rmsfe_Pivot_T8!X34=1,"*",""))</f>
        <v>1,47</v>
      </c>
      <c r="H32" s="14" t="str">
        <f>ROUND(rmsfe_Pivot_T8!G34,2)&amp;IF(rmsfe_Pivot_T8!AS34=1,"**",IF(rmsfe_Pivot_T8!Y34=1,"*",""))</f>
        <v>1,23</v>
      </c>
      <c r="I32" s="14" t="str">
        <f>ROUND(rmsfe_Pivot_T8!H34,2)&amp;IF(rmsfe_Pivot_T8!AT34=1,"**",IF(rmsfe_Pivot_T8!Z34=1,"*",""))</f>
        <v>1,59</v>
      </c>
      <c r="J32" s="14" t="str">
        <f>ROUND(rmsfe_Pivot_T8!I34,2)&amp;IF(rmsfe_Pivot_T8!AU34=1,"**",IF(rmsfe_Pivot_T8!AA34=1,"*",""))</f>
        <v>1,22</v>
      </c>
      <c r="K32" s="14" t="str">
        <f>ROUND(rmsfe_Pivot_T8!J34,2)&amp;IF(rmsfe_Pivot_T8!AV34=1,"**",IF(rmsfe_Pivot_T8!AB34=1,"*",""))</f>
        <v>2,02</v>
      </c>
      <c r="L32" s="14" t="str">
        <f>ROUND(rmsfe_Pivot_T8!K34,2)&amp;IF(rmsfe_Pivot_T8!AW34=1,"**",IF(rmsfe_Pivot_T8!AC34=1,"*",""))</f>
        <v>1,45</v>
      </c>
      <c r="M32" s="14" t="str">
        <f>ROUND(rmsfe_Pivot_T8!L34,2)&amp;IF(rmsfe_Pivot_T8!AX34=1,"**",IF(rmsfe_Pivot_T8!AD34=1,"*",""))</f>
        <v>0,92*</v>
      </c>
      <c r="N32" s="14" t="str">
        <f>ROUND(rmsfe_Pivot_T8!M34,2)&amp;IF(rmsfe_Pivot_T8!AY34=1,"**",IF(rmsfe_Pivot_T8!AE34=1,"*",""))</f>
        <v>1,37</v>
      </c>
      <c r="O32" s="14" t="str">
        <f>ROUND(rmsfe_Pivot_T8!N34,2)&amp;IF(rmsfe_Pivot_T8!AZ34=1,"**",IF(rmsfe_Pivot_T8!AF34=1,"*",""))</f>
        <v>2,14</v>
      </c>
      <c r="P32" s="14" t="str">
        <f>ROUND(rmsfe_Pivot_T8!O34,2)&amp;IF(rmsfe_Pivot_T8!BA34=1,"**",IF(rmsfe_Pivot_T8!AG34=1,"*",""))</f>
        <v>1,53</v>
      </c>
      <c r="Q32" s="14" t="str">
        <f>ROUND(rmsfe_Pivot_T8!P34,2)&amp;IF(rmsfe_Pivot_T8!BB34=1,"**",IF(rmsfe_Pivot_T8!AH34=1,"*",""))</f>
        <v>1,2</v>
      </c>
      <c r="R32" s="15" t="str">
        <f>rmsfe_Pivot_T8!AI34&amp;"/"&amp;rmsfe_Pivot_T8!BC34</f>
        <v>1/0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5088-0F34-4AA8-8A4D-3006B19D05B5}">
  <dimension ref="B2:V32"/>
  <sheetViews>
    <sheetView workbookViewId="0">
      <selection activeCell="T19" sqref="T19"/>
    </sheetView>
  </sheetViews>
  <sheetFormatPr defaultRowHeight="15" x14ac:dyDescent="0.25"/>
  <cols>
    <col min="2" max="2" width="13.7109375" customWidth="1"/>
    <col min="3" max="10" width="6.42578125" bestFit="1" customWidth="1"/>
    <col min="11" max="11" width="5.42578125" bestFit="1" customWidth="1"/>
    <col min="12" max="17" width="6.42578125" bestFit="1" customWidth="1"/>
    <col min="18" max="18" width="6.7109375" customWidth="1"/>
  </cols>
  <sheetData>
    <row r="2" spans="2:20" x14ac:dyDescent="0.25">
      <c r="B2" s="11" t="s">
        <v>435</v>
      </c>
      <c r="C2" s="12" t="str">
        <f>rmsfe_Pivot_T1!B4</f>
        <v>AG</v>
      </c>
      <c r="D2" s="12" t="str">
        <f>rmsfe_Pivot_T1!C4</f>
        <v>AT</v>
      </c>
      <c r="E2" s="12" t="str">
        <f>rmsfe_Pivot_T1!D4</f>
        <v>AU</v>
      </c>
      <c r="F2" s="12" t="str">
        <f>rmsfe_Pivot_T1!E4</f>
        <v>BR</v>
      </c>
      <c r="G2" s="12" t="str">
        <f>rmsfe_Pivot_T1!F4</f>
        <v>CA</v>
      </c>
      <c r="H2" s="12" t="str">
        <f>rmsfe_Pivot_T1!G4</f>
        <v>CH</v>
      </c>
      <c r="I2" s="12" t="str">
        <f>rmsfe_Pivot_T1!H4</f>
        <v>CN</v>
      </c>
      <c r="J2" s="12" t="str">
        <f>rmsfe_Pivot_T1!I4</f>
        <v>DE</v>
      </c>
      <c r="K2" s="12" t="str">
        <f>rmsfe_Pivot_T1!J4</f>
        <v>FR</v>
      </c>
      <c r="L2" s="12" t="str">
        <f>rmsfe_Pivot_T1!K4</f>
        <v>GB</v>
      </c>
      <c r="M2" s="12" t="str">
        <f>rmsfe_Pivot_T1!L4</f>
        <v>IN</v>
      </c>
      <c r="N2" s="12" t="str">
        <f>rmsfe_Pivot_T1!M4</f>
        <v>IT</v>
      </c>
      <c r="O2" s="12" t="str">
        <f>rmsfe_Pivot_T1!N4</f>
        <v>JP</v>
      </c>
      <c r="P2" s="12" t="str">
        <f>rmsfe_Pivot_T1!O4</f>
        <v>MX</v>
      </c>
      <c r="Q2" s="12" t="str">
        <f>rmsfe_Pivot_T1!P4</f>
        <v>US</v>
      </c>
      <c r="R2" s="11"/>
    </row>
    <row r="3" spans="2:20" x14ac:dyDescent="0.25">
      <c r="B3" s="13" t="s">
        <v>443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2:20" x14ac:dyDescent="0.25">
      <c r="B4" t="str">
        <f>rmsfe_Pivot_T1!A6</f>
        <v>ZS</v>
      </c>
      <c r="C4" s="14" t="str">
        <f>ROUND(rmsfe_Pivot_T1!B6,2)&amp;IF(rmsfe_Pivot_T1!AN6=1,"**",IF(rmsfe_Pivot_T1!T6=1,"*",""))</f>
        <v>1</v>
      </c>
      <c r="D4" s="14" t="str">
        <f>ROUND(rmsfe_Pivot_T1!C6,2)&amp;IF(rmsfe_Pivot_T1!AO6=1,"**",IF(rmsfe_Pivot_T1!U6=1,"*",""))</f>
        <v>1</v>
      </c>
      <c r="E4" s="14" t="str">
        <f>ROUND(rmsfe_Pivot_T1!D6,2)&amp;IF(rmsfe_Pivot_T1!AP6=1,"**",IF(rmsfe_Pivot_T1!V6=1,"*",""))</f>
        <v>1</v>
      </c>
      <c r="F4" s="14" t="str">
        <f>ROUND(rmsfe_Pivot_T1!E6,2)&amp;IF(rmsfe_Pivot_T1!AQ6=1,"**",IF(rmsfe_Pivot_T1!W6=1,"*",""))</f>
        <v>1</v>
      </c>
      <c r="G4" s="14" t="str">
        <f>ROUND(rmsfe_Pivot_T1!F6,2)&amp;IF(rmsfe_Pivot_T1!AR6=1,"**",IF(rmsfe_Pivot_T1!X6=1,"*",""))</f>
        <v>1</v>
      </c>
      <c r="H4" s="14" t="str">
        <f>ROUND(rmsfe_Pivot_T1!G6,2)&amp;IF(rmsfe_Pivot_T1!AS6=1,"**",IF(rmsfe_Pivot_T1!Y6=1,"*",""))</f>
        <v>1</v>
      </c>
      <c r="I4" s="14" t="str">
        <f>ROUND(rmsfe_Pivot_T1!H6,2)&amp;IF(rmsfe_Pivot_T1!AT6=1,"**",IF(rmsfe_Pivot_T1!Z6=1,"*",""))</f>
        <v>1</v>
      </c>
      <c r="J4" s="14" t="str">
        <f>ROUND(rmsfe_Pivot_T1!I6,2)&amp;IF(rmsfe_Pivot_T1!AU6=1,"**",IF(rmsfe_Pivot_T1!AA6=1,"*",""))</f>
        <v>1</v>
      </c>
      <c r="K4" s="14" t="str">
        <f>ROUND(rmsfe_Pivot_T1!J6,2)&amp;IF(rmsfe_Pivot_T1!AV6=1,"**",IF(rmsfe_Pivot_T1!AB6=1,"*",""))</f>
        <v>1</v>
      </c>
      <c r="L4" s="14" t="str">
        <f>ROUND(rmsfe_Pivot_T1!K6,2)&amp;IF(rmsfe_Pivot_T1!AW6=1,"**",IF(rmsfe_Pivot_T1!AC6=1,"*",""))</f>
        <v>1</v>
      </c>
      <c r="M4" s="14" t="str">
        <f>ROUND(rmsfe_Pivot_T1!L6,2)&amp;IF(rmsfe_Pivot_T1!AX6=1,"**",IF(rmsfe_Pivot_T1!AD6=1,"*",""))</f>
        <v>1</v>
      </c>
      <c r="N4" s="14" t="str">
        <f>ROUND(rmsfe_Pivot_T1!M6,2)&amp;IF(rmsfe_Pivot_T1!AY6=1,"**",IF(rmsfe_Pivot_T1!AE6=1,"*",""))</f>
        <v>1</v>
      </c>
      <c r="O4" s="14" t="str">
        <f>ROUND(rmsfe_Pivot_T1!N6,2)&amp;IF(rmsfe_Pivot_T1!AZ6=1,"**",IF(rmsfe_Pivot_T1!AF6=1,"*",""))</f>
        <v>1</v>
      </c>
      <c r="P4" s="14" t="str">
        <f>ROUND(rmsfe_Pivot_T1!O6,2)&amp;IF(rmsfe_Pivot_T1!BA6=1,"**",IF(rmsfe_Pivot_T1!AG6=1,"*",""))</f>
        <v>1</v>
      </c>
      <c r="Q4" s="14" t="str">
        <f>ROUND(rmsfe_Pivot_T1!P6,2)&amp;IF(rmsfe_Pivot_T1!BB6=1,"**",IF(rmsfe_Pivot_T1!AH6=1,"*",""))</f>
        <v>1</v>
      </c>
    </row>
    <row r="5" spans="2:20" x14ac:dyDescent="0.25">
      <c r="B5" t="str">
        <f>rmsfe_Pivot_T1!A7</f>
        <v>ZS\&amp;POOL</v>
      </c>
      <c r="C5" s="14" t="str">
        <f>ROUND(rmsfe_Pivot_T1!B7,2)&amp;IF(rmsfe_Pivot_T1!AN7=1,"**",IF(rmsfe_Pivot_T1!T7=1,"*",""))</f>
        <v>0,99</v>
      </c>
      <c r="D5" s="14" t="str">
        <f>ROUND(rmsfe_Pivot_T1!C7,2)&amp;IF(rmsfe_Pivot_T1!AO7=1,"**",IF(rmsfe_Pivot_T1!U7=1,"*",""))</f>
        <v>0,98</v>
      </c>
      <c r="E5" s="14" t="str">
        <f>ROUND(rmsfe_Pivot_T1!D7,2)&amp;IF(rmsfe_Pivot_T1!AP7=1,"**",IF(rmsfe_Pivot_T1!V7=1,"*",""))</f>
        <v>0,97**</v>
      </c>
      <c r="F5" s="14" t="str">
        <f>ROUND(rmsfe_Pivot_T1!E7,2)&amp;IF(rmsfe_Pivot_T1!AQ7=1,"**",IF(rmsfe_Pivot_T1!W7=1,"*",""))</f>
        <v>0,99</v>
      </c>
      <c r="G5" s="14" t="str">
        <f>ROUND(rmsfe_Pivot_T1!F7,2)&amp;IF(rmsfe_Pivot_T1!AR7=1,"**",IF(rmsfe_Pivot_T1!X7=1,"*",""))</f>
        <v>0,97*</v>
      </c>
      <c r="H5" s="14" t="str">
        <f>ROUND(rmsfe_Pivot_T1!G7,2)&amp;IF(rmsfe_Pivot_T1!AS7=1,"**",IF(rmsfe_Pivot_T1!Y7=1,"*",""))</f>
        <v>1,03</v>
      </c>
      <c r="I5" s="14" t="str">
        <f>ROUND(rmsfe_Pivot_T1!H7,2)&amp;IF(rmsfe_Pivot_T1!AT7=1,"**",IF(rmsfe_Pivot_T1!Z7=1,"*",""))</f>
        <v>1</v>
      </c>
      <c r="J5" s="14" t="str">
        <f>ROUND(rmsfe_Pivot_T1!I7,2)&amp;IF(rmsfe_Pivot_T1!AU7=1,"**",IF(rmsfe_Pivot_T1!AA7=1,"*",""))</f>
        <v>0,97*</v>
      </c>
      <c r="K5" s="14" t="str">
        <f>ROUND(rmsfe_Pivot_T1!J7,2)&amp;IF(rmsfe_Pivot_T1!AV7=1,"**",IF(rmsfe_Pivot_T1!AB7=1,"*",""))</f>
        <v>1</v>
      </c>
      <c r="L5" s="14" t="str">
        <f>ROUND(rmsfe_Pivot_T1!K7,2)&amp;IF(rmsfe_Pivot_T1!AW7=1,"**",IF(rmsfe_Pivot_T1!AC7=1,"*",""))</f>
        <v>0,99</v>
      </c>
      <c r="M5" s="14" t="str">
        <f>ROUND(rmsfe_Pivot_T1!L7,2)&amp;IF(rmsfe_Pivot_T1!AX7=1,"**",IF(rmsfe_Pivot_T1!AD7=1,"*",""))</f>
        <v>0,98</v>
      </c>
      <c r="N5" s="14" t="str">
        <f>ROUND(rmsfe_Pivot_T1!M7,2)&amp;IF(rmsfe_Pivot_T1!AY7=1,"**",IF(rmsfe_Pivot_T1!AE7=1,"*",""))</f>
        <v>0,99</v>
      </c>
      <c r="O5" s="14" t="str">
        <f>ROUND(rmsfe_Pivot_T1!N7,2)&amp;IF(rmsfe_Pivot_T1!AZ7=1,"**",IF(rmsfe_Pivot_T1!AF7=1,"*",""))</f>
        <v>0,96**</v>
      </c>
      <c r="P5" s="14" t="str">
        <f>ROUND(rmsfe_Pivot_T1!O7,2)&amp;IF(rmsfe_Pivot_T1!BA7=1,"**",IF(rmsfe_Pivot_T1!AG7=1,"*",""))</f>
        <v>0,98</v>
      </c>
      <c r="Q5" s="14" t="str">
        <f>ROUND(rmsfe_Pivot_T1!P7,2)&amp;IF(rmsfe_Pivot_T1!BB7=1,"**",IF(rmsfe_Pivot_T1!AH7=1,"*",""))</f>
        <v>0,98**</v>
      </c>
      <c r="R5" s="15" t="str">
        <f>rmsfe_Pivot_T1!AI7&amp;"/"&amp;rmsfe_Pivot_T1!BC7</f>
        <v>5/3</v>
      </c>
    </row>
    <row r="6" spans="2:20" x14ac:dyDescent="0.25">
      <c r="B6" t="str">
        <f>rmsfe_Pivot_T1!A8</f>
        <v>POOL</v>
      </c>
      <c r="C6" s="14" t="str">
        <f>ROUND(rmsfe_Pivot_T1!B8,2)&amp;IF(rmsfe_Pivot_T1!AN8=1,"**",IF(rmsfe_Pivot_T1!T8=1,"*",""))</f>
        <v>0,99</v>
      </c>
      <c r="D6" s="14" t="str">
        <f>ROUND(rmsfe_Pivot_T1!C8,2)&amp;IF(rmsfe_Pivot_T1!AO8=1,"**",IF(rmsfe_Pivot_T1!U8=1,"*",""))</f>
        <v>0,99</v>
      </c>
      <c r="E6" s="14" t="str">
        <f>ROUND(rmsfe_Pivot_T1!D8,2)&amp;IF(rmsfe_Pivot_T1!AP8=1,"**",IF(rmsfe_Pivot_T1!V8=1,"*",""))</f>
        <v>1</v>
      </c>
      <c r="F6" s="14" t="str">
        <f>ROUND(rmsfe_Pivot_T1!E8,2)&amp;IF(rmsfe_Pivot_T1!AQ8=1,"**",IF(rmsfe_Pivot_T1!W8=1,"*",""))</f>
        <v>0,99</v>
      </c>
      <c r="G6" s="14" t="str">
        <f>ROUND(rmsfe_Pivot_T1!F8,2)&amp;IF(rmsfe_Pivot_T1!AR8=1,"**",IF(rmsfe_Pivot_T1!X8=1,"*",""))</f>
        <v>1,06</v>
      </c>
      <c r="H6" s="14" t="str">
        <f>ROUND(rmsfe_Pivot_T1!G8,2)&amp;IF(rmsfe_Pivot_T1!AS8=1,"**",IF(rmsfe_Pivot_T1!Y8=1,"*",""))</f>
        <v>1,02</v>
      </c>
      <c r="I6" s="14" t="str">
        <f>ROUND(rmsfe_Pivot_T1!H8,2)&amp;IF(rmsfe_Pivot_T1!AT8=1,"**",IF(rmsfe_Pivot_T1!Z8=1,"*",""))</f>
        <v>0,98</v>
      </c>
      <c r="J6" s="14" t="str">
        <f>ROUND(rmsfe_Pivot_T1!I8,2)&amp;IF(rmsfe_Pivot_T1!AU8=1,"**",IF(rmsfe_Pivot_T1!AA8=1,"*",""))</f>
        <v>0,98</v>
      </c>
      <c r="K6" s="14" t="str">
        <f>ROUND(rmsfe_Pivot_T1!J8,2)&amp;IF(rmsfe_Pivot_T1!AV8=1,"**",IF(rmsfe_Pivot_T1!AB8=1,"*",""))</f>
        <v>1,03</v>
      </c>
      <c r="L6" s="14" t="str">
        <f>ROUND(rmsfe_Pivot_T1!K8,2)&amp;IF(rmsfe_Pivot_T1!AW8=1,"**",IF(rmsfe_Pivot_T1!AC8=1,"*",""))</f>
        <v>0,99</v>
      </c>
      <c r="M6" s="14" t="str">
        <f>ROUND(rmsfe_Pivot_T1!L8,2)&amp;IF(rmsfe_Pivot_T1!AX8=1,"**",IF(rmsfe_Pivot_T1!AD8=1,"*",""))</f>
        <v>1,04</v>
      </c>
      <c r="N6" s="14" t="str">
        <f>ROUND(rmsfe_Pivot_T1!M8,2)&amp;IF(rmsfe_Pivot_T1!AY8=1,"**",IF(rmsfe_Pivot_T1!AE8=1,"*",""))</f>
        <v>0,96**</v>
      </c>
      <c r="O6" s="14" t="str">
        <f>ROUND(rmsfe_Pivot_T1!N8,2)&amp;IF(rmsfe_Pivot_T1!AZ8=1,"**",IF(rmsfe_Pivot_T1!AF8=1,"*",""))</f>
        <v>0,96*</v>
      </c>
      <c r="P6" s="14" t="str">
        <f>ROUND(rmsfe_Pivot_T1!O8,2)&amp;IF(rmsfe_Pivot_T1!BA8=1,"**",IF(rmsfe_Pivot_T1!AG8=1,"*",""))</f>
        <v>1</v>
      </c>
      <c r="Q6" s="14" t="str">
        <f>ROUND(rmsfe_Pivot_T1!P8,2)&amp;IF(rmsfe_Pivot_T1!BB8=1,"**",IF(rmsfe_Pivot_T1!AH8=1,"*",""))</f>
        <v>1</v>
      </c>
      <c r="R6" s="15" t="str">
        <f>rmsfe_Pivot_T1!AI8&amp;"/"&amp;rmsfe_Pivot_T1!BC8</f>
        <v>2/1</v>
      </c>
    </row>
    <row r="7" spans="2:20" x14ac:dyDescent="0.25">
      <c r="B7" t="str">
        <f>rmsfe_Pivot_T1!A9</f>
        <v>ZSGL</v>
      </c>
      <c r="C7" s="14" t="str">
        <f>ROUND(rmsfe_Pivot_T1!B9,2)&amp;IF(rmsfe_Pivot_T1!AN9=1,"**",IF(rmsfe_Pivot_T1!T9=1,"*",""))</f>
        <v>1</v>
      </c>
      <c r="D7" s="14" t="str">
        <f>ROUND(rmsfe_Pivot_T1!C9,2)&amp;IF(rmsfe_Pivot_T1!AO9=1,"**",IF(rmsfe_Pivot_T1!U9=1,"*",""))</f>
        <v>0,98*</v>
      </c>
      <c r="E7" s="14" t="str">
        <f>ROUND(rmsfe_Pivot_T1!D9,2)&amp;IF(rmsfe_Pivot_T1!AP9=1,"**",IF(rmsfe_Pivot_T1!V9=1,"*",""))</f>
        <v>1</v>
      </c>
      <c r="F7" s="14" t="str">
        <f>ROUND(rmsfe_Pivot_T1!E9,2)&amp;IF(rmsfe_Pivot_T1!AQ9=1,"**",IF(rmsfe_Pivot_T1!W9=1,"*",""))</f>
        <v>1</v>
      </c>
      <c r="G7" s="14" t="str">
        <f>ROUND(rmsfe_Pivot_T1!F9,2)&amp;IF(rmsfe_Pivot_T1!AR9=1,"**",IF(rmsfe_Pivot_T1!X9=1,"*",""))</f>
        <v>1,02</v>
      </c>
      <c r="H7" s="14" t="str">
        <f>ROUND(rmsfe_Pivot_T1!G9,2)&amp;IF(rmsfe_Pivot_T1!AS9=1,"**",IF(rmsfe_Pivot_T1!Y9=1,"*",""))</f>
        <v>1,01</v>
      </c>
      <c r="I7" s="14" t="str">
        <f>ROUND(rmsfe_Pivot_T1!H9,2)&amp;IF(rmsfe_Pivot_T1!AT9=1,"**",IF(rmsfe_Pivot_T1!Z9=1,"*",""))</f>
        <v>0,99</v>
      </c>
      <c r="J7" s="14" t="str">
        <f>ROUND(rmsfe_Pivot_T1!I9,2)&amp;IF(rmsfe_Pivot_T1!AU9=1,"**",IF(rmsfe_Pivot_T1!AA9=1,"*",""))</f>
        <v>0,99</v>
      </c>
      <c r="K7" s="14" t="str">
        <f>ROUND(rmsfe_Pivot_T1!J9,2)&amp;IF(rmsfe_Pivot_T1!AV9=1,"**",IF(rmsfe_Pivot_T1!AB9=1,"*",""))</f>
        <v>1,01</v>
      </c>
      <c r="L7" s="14" t="str">
        <f>ROUND(rmsfe_Pivot_T1!K9,2)&amp;IF(rmsfe_Pivot_T1!AW9=1,"**",IF(rmsfe_Pivot_T1!AC9=1,"*",""))</f>
        <v>1,01</v>
      </c>
      <c r="M7" s="14" t="str">
        <f>ROUND(rmsfe_Pivot_T1!L9,2)&amp;IF(rmsfe_Pivot_T1!AX9=1,"**",IF(rmsfe_Pivot_T1!AD9=1,"*",""))</f>
        <v>0,99</v>
      </c>
      <c r="N7" s="14" t="str">
        <f>ROUND(rmsfe_Pivot_T1!M9,2)&amp;IF(rmsfe_Pivot_T1!AY9=1,"**",IF(rmsfe_Pivot_T1!AE9=1,"*",""))</f>
        <v>1,01</v>
      </c>
      <c r="O7" s="14" t="str">
        <f>ROUND(rmsfe_Pivot_T1!N9,2)&amp;IF(rmsfe_Pivot_T1!AZ9=1,"**",IF(rmsfe_Pivot_T1!AF9=1,"*",""))</f>
        <v>0,99</v>
      </c>
      <c r="P7" s="14" t="str">
        <f>ROUND(rmsfe_Pivot_T1!O9,2)&amp;IF(rmsfe_Pivot_T1!BA9=1,"**",IF(rmsfe_Pivot_T1!AG9=1,"*",""))</f>
        <v>1,01</v>
      </c>
      <c r="Q7" s="14" t="str">
        <f>ROUND(rmsfe_Pivot_T1!P9,2)&amp;IF(rmsfe_Pivot_T1!BB9=1,"**",IF(rmsfe_Pivot_T1!AH9=1,"*",""))</f>
        <v>1,01</v>
      </c>
      <c r="R7" s="15" t="str">
        <f>rmsfe_Pivot_T1!AI9&amp;"/"&amp;rmsfe_Pivot_T1!BC9</f>
        <v>1/0</v>
      </c>
    </row>
    <row r="8" spans="2:20" x14ac:dyDescent="0.25">
      <c r="B8" t="str">
        <f>rmsfe_Pivot_T1!A10</f>
        <v>J</v>
      </c>
      <c r="C8" s="14" t="str">
        <f>ROUND(rmsfe_Pivot_T1!B10,2)&amp;IF(rmsfe_Pivot_T1!AN10=1,"**",IF(rmsfe_Pivot_T1!T10=1,"*",""))</f>
        <v>0,99</v>
      </c>
      <c r="D8" s="14" t="str">
        <f>ROUND(rmsfe_Pivot_T1!C10,2)&amp;IF(rmsfe_Pivot_T1!AO10=1,"**",IF(rmsfe_Pivot_T1!U10=1,"*",""))</f>
        <v>0,96</v>
      </c>
      <c r="E8" s="14" t="str">
        <f>ROUND(rmsfe_Pivot_T1!D10,2)&amp;IF(rmsfe_Pivot_T1!AP10=1,"**",IF(rmsfe_Pivot_T1!V10=1,"*",""))</f>
        <v>0,97</v>
      </c>
      <c r="F8" s="14" t="str">
        <f>ROUND(rmsfe_Pivot_T1!E10,2)&amp;IF(rmsfe_Pivot_T1!AQ10=1,"**",IF(rmsfe_Pivot_T1!W10=1,"*",""))</f>
        <v>1,02</v>
      </c>
      <c r="G8" s="14" t="str">
        <f>ROUND(rmsfe_Pivot_T1!F10,2)&amp;IF(rmsfe_Pivot_T1!AR10=1,"**",IF(rmsfe_Pivot_T1!X10=1,"*",""))</f>
        <v>1</v>
      </c>
      <c r="H8" s="14" t="str">
        <f>ROUND(rmsfe_Pivot_T1!G10,2)&amp;IF(rmsfe_Pivot_T1!AS10=1,"**",IF(rmsfe_Pivot_T1!Y10=1,"*",""))</f>
        <v>1,08</v>
      </c>
      <c r="I8" s="14" t="str">
        <f>ROUND(rmsfe_Pivot_T1!H10,2)&amp;IF(rmsfe_Pivot_T1!AT10=1,"**",IF(rmsfe_Pivot_T1!Z10=1,"*",""))</f>
        <v>1,03</v>
      </c>
      <c r="J8" s="14" t="str">
        <f>ROUND(rmsfe_Pivot_T1!I10,2)&amp;IF(rmsfe_Pivot_T1!AU10=1,"**",IF(rmsfe_Pivot_T1!AA10=1,"*",""))</f>
        <v>0,94</v>
      </c>
      <c r="K8" s="14" t="str">
        <f>ROUND(rmsfe_Pivot_T1!J10,2)&amp;IF(rmsfe_Pivot_T1!AV10=1,"**",IF(rmsfe_Pivot_T1!AB10=1,"*",""))</f>
        <v>1,01</v>
      </c>
      <c r="L8" s="14" t="str">
        <f>ROUND(rmsfe_Pivot_T1!K10,2)&amp;IF(rmsfe_Pivot_T1!AW10=1,"**",IF(rmsfe_Pivot_T1!AC10=1,"*",""))</f>
        <v>0,98</v>
      </c>
      <c r="M8" s="14" t="str">
        <f>ROUND(rmsfe_Pivot_T1!L10,2)&amp;IF(rmsfe_Pivot_T1!AX10=1,"**",IF(rmsfe_Pivot_T1!AD10=1,"*",""))</f>
        <v>1,03</v>
      </c>
      <c r="N8" s="14" t="str">
        <f>ROUND(rmsfe_Pivot_T1!M10,2)&amp;IF(rmsfe_Pivot_T1!AY10=1,"**",IF(rmsfe_Pivot_T1!AE10=1,"*",""))</f>
        <v>0,95**</v>
      </c>
      <c r="O8" s="14" t="str">
        <f>ROUND(rmsfe_Pivot_T1!N10,2)&amp;IF(rmsfe_Pivot_T1!AZ10=1,"**",IF(rmsfe_Pivot_T1!AF10=1,"*",""))</f>
        <v>0,97*</v>
      </c>
      <c r="P8" s="14" t="str">
        <f>ROUND(rmsfe_Pivot_T1!O10,2)&amp;IF(rmsfe_Pivot_T1!BA10=1,"**",IF(rmsfe_Pivot_T1!AG10=1,"*",""))</f>
        <v>0,98</v>
      </c>
      <c r="Q8" s="14" t="str">
        <f>ROUND(rmsfe_Pivot_T1!P10,2)&amp;IF(rmsfe_Pivot_T1!BB10=1,"**",IF(rmsfe_Pivot_T1!AH10=1,"*",""))</f>
        <v>1</v>
      </c>
      <c r="R8" s="15" t="str">
        <f>rmsfe_Pivot_T1!AI10&amp;"/"&amp;rmsfe_Pivot_T1!BC10</f>
        <v>2/1</v>
      </c>
      <c r="T8" t="str">
        <f t="shared" ref="T8" si="0">B8&amp;"&amp;"&amp;C8&amp;"&amp;"&amp;D8&amp;"&amp;"&amp;E8&amp;"&amp;"&amp;F8&amp;"&amp;"&amp;G8&amp;"&amp;"&amp;H8&amp;"&amp;"&amp;I8&amp;"&amp;"&amp;J8&amp;"&amp;"&amp;K8&amp;"&amp;"&amp;L8&amp;"&amp;"&amp;M8&amp;"&amp;"&amp;N8&amp;"&amp;"&amp;O8&amp;"&amp;"&amp;P8&amp;"&amp;"&amp;Q8&amp;"&amp;"&amp;R8&amp;"\\"</f>
        <v>J&amp;0,99&amp;0,96&amp;0,97&amp;1,02&amp;1&amp;1,08&amp;1,03&amp;0,94&amp;1,01&amp;0,98&amp;1,03&amp;0,95**&amp;0,97*&amp;0,98&amp;1&amp;2/1\\</v>
      </c>
    </row>
    <row r="9" spans="2:20" x14ac:dyDescent="0.25">
      <c r="B9" t="str">
        <f>rmsfe_Pivot_T1!A11</f>
        <v>BFCS</v>
      </c>
      <c r="C9" s="14" t="str">
        <f>ROUND(rmsfe_Pivot_T1!B11,2)&amp;IF(rmsfe_Pivot_T1!AN11=1,"**",IF(rmsfe_Pivot_T1!T11=1,"*",""))</f>
        <v>1,13</v>
      </c>
      <c r="D9" s="14" t="str">
        <f>ROUND(rmsfe_Pivot_T1!C11,2)&amp;IF(rmsfe_Pivot_T1!AO11=1,"**",IF(rmsfe_Pivot_T1!U11=1,"*",""))</f>
        <v>0,95</v>
      </c>
      <c r="E9" s="14" t="str">
        <f>ROUND(rmsfe_Pivot_T1!D11,2)&amp;IF(rmsfe_Pivot_T1!AP11=1,"**",IF(rmsfe_Pivot_T1!V11=1,"*",""))</f>
        <v>0,97</v>
      </c>
      <c r="F9" s="14" t="str">
        <f>ROUND(rmsfe_Pivot_T1!E11,2)&amp;IF(rmsfe_Pivot_T1!AQ11=1,"**",IF(rmsfe_Pivot_T1!W11=1,"*",""))</f>
        <v>1,06</v>
      </c>
      <c r="G9" s="14" t="str">
        <f>ROUND(rmsfe_Pivot_T1!F11,2)&amp;IF(rmsfe_Pivot_T1!AR11=1,"**",IF(rmsfe_Pivot_T1!X11=1,"*",""))</f>
        <v>1,06</v>
      </c>
      <c r="H9" s="14" t="str">
        <f>ROUND(rmsfe_Pivot_T1!G11,2)&amp;IF(rmsfe_Pivot_T1!AS11=1,"**",IF(rmsfe_Pivot_T1!Y11=1,"*",""))</f>
        <v>1,02</v>
      </c>
      <c r="I9" s="14" t="str">
        <f>ROUND(rmsfe_Pivot_T1!H11,2)&amp;IF(rmsfe_Pivot_T1!AT11=1,"**",IF(rmsfe_Pivot_T1!Z11=1,"*",""))</f>
        <v>1,09</v>
      </c>
      <c r="J9" s="14" t="str">
        <f>ROUND(rmsfe_Pivot_T1!I11,2)&amp;IF(rmsfe_Pivot_T1!AU11=1,"**",IF(rmsfe_Pivot_T1!AA11=1,"*",""))</f>
        <v>0,96*</v>
      </c>
      <c r="K9" s="14" t="str">
        <f>ROUND(rmsfe_Pivot_T1!J11,2)&amp;IF(rmsfe_Pivot_T1!AV11=1,"**",IF(rmsfe_Pivot_T1!AB11=1,"*",""))</f>
        <v>1,08</v>
      </c>
      <c r="L9" s="14" t="str">
        <f>ROUND(rmsfe_Pivot_T1!K11,2)&amp;IF(rmsfe_Pivot_T1!AW11=1,"**",IF(rmsfe_Pivot_T1!AC11=1,"*",""))</f>
        <v>1,05</v>
      </c>
      <c r="M9" s="14" t="str">
        <f>ROUND(rmsfe_Pivot_T1!L11,2)&amp;IF(rmsfe_Pivot_T1!AX11=1,"**",IF(rmsfe_Pivot_T1!AD11=1,"*",""))</f>
        <v>0,96</v>
      </c>
      <c r="N9" s="14" t="str">
        <f>ROUND(rmsfe_Pivot_T1!M11,2)&amp;IF(rmsfe_Pivot_T1!AY11=1,"**",IF(rmsfe_Pivot_T1!AE11=1,"*",""))</f>
        <v>1,02</v>
      </c>
      <c r="O9" s="14" t="str">
        <f>ROUND(rmsfe_Pivot_T1!N11,2)&amp;IF(rmsfe_Pivot_T1!AZ11=1,"**",IF(rmsfe_Pivot_T1!AF11=1,"*",""))</f>
        <v>0,96</v>
      </c>
      <c r="P9" s="14" t="str">
        <f>ROUND(rmsfe_Pivot_T1!O11,2)&amp;IF(rmsfe_Pivot_T1!BA11=1,"**",IF(rmsfe_Pivot_T1!AG11=1,"*",""))</f>
        <v>1</v>
      </c>
      <c r="Q9" s="14" t="str">
        <f>ROUND(rmsfe_Pivot_T1!P11,2)&amp;IF(rmsfe_Pivot_T1!BB11=1,"**",IF(rmsfe_Pivot_T1!AH11=1,"*",""))</f>
        <v>1,11</v>
      </c>
      <c r="R9" s="15" t="str">
        <f>rmsfe_Pivot_T1!AI11&amp;"/"&amp;rmsfe_Pivot_T1!BC11</f>
        <v>1/0</v>
      </c>
    </row>
    <row r="10" spans="2:20" x14ac:dyDescent="0.25">
      <c r="B10" t="str">
        <f>rmsfe_Pivot_T1!A12</f>
        <v>SSSS</v>
      </c>
      <c r="C10" s="14" t="str">
        <f>ROUND(rmsfe_Pivot_T1!B12,2)&amp;IF(rmsfe_Pivot_T1!AN12=1,"**",IF(rmsfe_Pivot_T1!T12=1,"*",""))</f>
        <v>1,18</v>
      </c>
      <c r="D10" s="14" t="str">
        <f>ROUND(rmsfe_Pivot_T1!C12,2)&amp;IF(rmsfe_Pivot_T1!AO12=1,"**",IF(rmsfe_Pivot_T1!U12=1,"*",""))</f>
        <v>0,98</v>
      </c>
      <c r="E10" s="14" t="str">
        <f>ROUND(rmsfe_Pivot_T1!D12,2)&amp;IF(rmsfe_Pivot_T1!AP12=1,"**",IF(rmsfe_Pivot_T1!V12=1,"*",""))</f>
        <v>1,39</v>
      </c>
      <c r="F10" s="14" t="str">
        <f>ROUND(rmsfe_Pivot_T1!E12,2)&amp;IF(rmsfe_Pivot_T1!AQ12=1,"**",IF(rmsfe_Pivot_T1!W12=1,"*",""))</f>
        <v>7,88</v>
      </c>
      <c r="G10" s="14" t="str">
        <f>ROUND(rmsfe_Pivot_T1!F12,2)&amp;IF(rmsfe_Pivot_T1!AR12=1,"**",IF(rmsfe_Pivot_T1!X12=1,"*",""))</f>
        <v>1,32</v>
      </c>
      <c r="H10" s="14" t="str">
        <f>ROUND(rmsfe_Pivot_T1!G12,2)&amp;IF(rmsfe_Pivot_T1!AS12=1,"**",IF(rmsfe_Pivot_T1!Y12=1,"*",""))</f>
        <v>1,07</v>
      </c>
      <c r="I10" s="14" t="str">
        <f>ROUND(rmsfe_Pivot_T1!H12,2)&amp;IF(rmsfe_Pivot_T1!AT12=1,"**",IF(rmsfe_Pivot_T1!Z12=1,"*",""))</f>
        <v>1,25</v>
      </c>
      <c r="J10" s="14" t="str">
        <f>ROUND(rmsfe_Pivot_T1!I12,2)&amp;IF(rmsfe_Pivot_T1!AU12=1,"**",IF(rmsfe_Pivot_T1!AA12=1,"*",""))</f>
        <v>0,98</v>
      </c>
      <c r="K10" s="14" t="str">
        <f>ROUND(rmsfe_Pivot_T1!J12,2)&amp;IF(rmsfe_Pivot_T1!AV12=1,"**",IF(rmsfe_Pivot_T1!AB12=1,"*",""))</f>
        <v>1,62</v>
      </c>
      <c r="L10" s="14" t="str">
        <f>ROUND(rmsfe_Pivot_T1!K12,2)&amp;IF(rmsfe_Pivot_T1!AW12=1,"**",IF(rmsfe_Pivot_T1!AC12=1,"*",""))</f>
        <v>1,28</v>
      </c>
      <c r="M10" s="14" t="str">
        <f>ROUND(rmsfe_Pivot_T1!L12,2)&amp;IF(rmsfe_Pivot_T1!AX12=1,"**",IF(rmsfe_Pivot_T1!AD12=1,"*",""))</f>
        <v>1,14</v>
      </c>
      <c r="N10" s="14" t="str">
        <f>ROUND(rmsfe_Pivot_T1!M12,2)&amp;IF(rmsfe_Pivot_T1!AY12=1,"**",IF(rmsfe_Pivot_T1!AE12=1,"*",""))</f>
        <v>1,58</v>
      </c>
      <c r="O10" s="14" t="str">
        <f>ROUND(rmsfe_Pivot_T1!N12,2)&amp;IF(rmsfe_Pivot_T1!AZ12=1,"**",IF(rmsfe_Pivot_T1!AF12=1,"*",""))</f>
        <v>0,99</v>
      </c>
      <c r="P10" s="14" t="str">
        <f>ROUND(rmsfe_Pivot_T1!O12,2)&amp;IF(rmsfe_Pivot_T1!BA12=1,"**",IF(rmsfe_Pivot_T1!AG12=1,"*",""))</f>
        <v>2,4</v>
      </c>
      <c r="Q10" s="14" t="str">
        <f>ROUND(rmsfe_Pivot_T1!P12,2)&amp;IF(rmsfe_Pivot_T1!BB12=1,"**",IF(rmsfe_Pivot_T1!AH12=1,"*",""))</f>
        <v>1,26</v>
      </c>
      <c r="R10" s="15" t="str">
        <f>rmsfe_Pivot_T1!AI12&amp;"/"&amp;rmsfe_Pivot_T1!BC12</f>
        <v>0/0</v>
      </c>
    </row>
    <row r="11" spans="2:20" x14ac:dyDescent="0.25">
      <c r="B11" t="str">
        <f>rmsfe_Pivot_T1!A13</f>
        <v>BMS</v>
      </c>
      <c r="C11" s="14" t="str">
        <f>ROUND(rmsfe_Pivot_T1!B13,2)&amp;IF(rmsfe_Pivot_T1!AN13=1,"**",IF(rmsfe_Pivot_T1!T13=1,"*",""))</f>
        <v>1,13</v>
      </c>
      <c r="D11" s="14" t="str">
        <f>ROUND(rmsfe_Pivot_T1!C13,2)&amp;IF(rmsfe_Pivot_T1!AO13=1,"**",IF(rmsfe_Pivot_T1!U13=1,"*",""))</f>
        <v>0,97</v>
      </c>
      <c r="E11" s="14" t="str">
        <f>ROUND(rmsfe_Pivot_T1!D13,2)&amp;IF(rmsfe_Pivot_T1!AP13=1,"**",IF(rmsfe_Pivot_T1!V13=1,"*",""))</f>
        <v>1,23</v>
      </c>
      <c r="F11" s="14" t="str">
        <f>ROUND(rmsfe_Pivot_T1!E13,2)&amp;IF(rmsfe_Pivot_T1!AQ13=1,"**",IF(rmsfe_Pivot_T1!W13=1,"*",""))</f>
        <v>1,47</v>
      </c>
      <c r="G11" s="14" t="str">
        <f>ROUND(rmsfe_Pivot_T1!F13,2)&amp;IF(rmsfe_Pivot_T1!AR13=1,"**",IF(rmsfe_Pivot_T1!X13=1,"*",""))</f>
        <v>0,99</v>
      </c>
      <c r="H11" s="14" t="str">
        <f>ROUND(rmsfe_Pivot_T1!G13,2)&amp;IF(rmsfe_Pivot_T1!AS13=1,"**",IF(rmsfe_Pivot_T1!Y13=1,"*",""))</f>
        <v>1,15</v>
      </c>
      <c r="I11" s="14" t="str">
        <f>ROUND(rmsfe_Pivot_T1!H13,2)&amp;IF(rmsfe_Pivot_T1!AT13=1,"**",IF(rmsfe_Pivot_T1!Z13=1,"*",""))</f>
        <v>1,1</v>
      </c>
      <c r="J11" s="14" t="str">
        <f>ROUND(rmsfe_Pivot_T1!I13,2)&amp;IF(rmsfe_Pivot_T1!AU13=1,"**",IF(rmsfe_Pivot_T1!AA13=1,"*",""))</f>
        <v>0,92**</v>
      </c>
      <c r="K11" s="14" t="str">
        <f>ROUND(rmsfe_Pivot_T1!J13,2)&amp;IF(rmsfe_Pivot_T1!AV13=1,"**",IF(rmsfe_Pivot_T1!AB13=1,"*",""))</f>
        <v>1,07</v>
      </c>
      <c r="L11" s="14" t="str">
        <f>ROUND(rmsfe_Pivot_T1!K13,2)&amp;IF(rmsfe_Pivot_T1!AW13=1,"**",IF(rmsfe_Pivot_T1!AC13=1,"*",""))</f>
        <v>1,06</v>
      </c>
      <c r="M11" s="14" t="str">
        <f>ROUND(rmsfe_Pivot_T1!L13,2)&amp;IF(rmsfe_Pivot_T1!AX13=1,"**",IF(rmsfe_Pivot_T1!AD13=1,"*",""))</f>
        <v>1</v>
      </c>
      <c r="N11" s="14" t="str">
        <f>ROUND(rmsfe_Pivot_T1!M13,2)&amp;IF(rmsfe_Pivot_T1!AY13=1,"**",IF(rmsfe_Pivot_T1!AE13=1,"*",""))</f>
        <v>1,09</v>
      </c>
      <c r="O11" s="14" t="str">
        <f>ROUND(rmsfe_Pivot_T1!N13,2)&amp;IF(rmsfe_Pivot_T1!AZ13=1,"**",IF(rmsfe_Pivot_T1!AF13=1,"*",""))</f>
        <v>1,03</v>
      </c>
      <c r="P11" s="14" t="str">
        <f>ROUND(rmsfe_Pivot_T1!O13,2)&amp;IF(rmsfe_Pivot_T1!BA13=1,"**",IF(rmsfe_Pivot_T1!AG13=1,"*",""))</f>
        <v>0,95</v>
      </c>
      <c r="Q11" s="14" t="str">
        <f>ROUND(rmsfe_Pivot_T1!P13,2)&amp;IF(rmsfe_Pivot_T1!BB13=1,"**",IF(rmsfe_Pivot_T1!AH13=1,"*",""))</f>
        <v>1,27</v>
      </c>
      <c r="R11" s="15" t="str">
        <f>rmsfe_Pivot_T1!AI13&amp;"/"&amp;rmsfe_Pivot_T1!BC13</f>
        <v>1/1</v>
      </c>
    </row>
    <row r="12" spans="2:20" x14ac:dyDescent="0.25">
      <c r="B12" s="11" t="str">
        <f>rmsfe_Pivot_T1!A14</f>
        <v>CC</v>
      </c>
      <c r="C12" s="16" t="str">
        <f>ROUND(rmsfe_Pivot_T1!B14,2)&amp;IF(rmsfe_Pivot_T1!AN14=1,"**",IF(rmsfe_Pivot_T1!T14=1,"*",""))</f>
        <v>1,33</v>
      </c>
      <c r="D12" s="16" t="str">
        <f>ROUND(rmsfe_Pivot_T1!C14,2)&amp;IF(rmsfe_Pivot_T1!AO14=1,"**",IF(rmsfe_Pivot_T1!U14=1,"*",""))</f>
        <v>1</v>
      </c>
      <c r="E12" s="16" t="str">
        <f>ROUND(rmsfe_Pivot_T1!D14,2)&amp;IF(rmsfe_Pivot_T1!AP14=1,"**",IF(rmsfe_Pivot_T1!V14=1,"*",""))</f>
        <v>1,43</v>
      </c>
      <c r="F12" s="16" t="str">
        <f>ROUND(rmsfe_Pivot_T1!E14,2)&amp;IF(rmsfe_Pivot_T1!AQ14=1,"**",IF(rmsfe_Pivot_T1!W14=1,"*",""))</f>
        <v>2,93</v>
      </c>
      <c r="G12" s="16" t="str">
        <f>ROUND(rmsfe_Pivot_T1!F14,2)&amp;IF(rmsfe_Pivot_T1!AR14=1,"**",IF(rmsfe_Pivot_T1!X14=1,"*",""))</f>
        <v>0,99</v>
      </c>
      <c r="H12" s="16" t="str">
        <f>ROUND(rmsfe_Pivot_T1!G14,2)&amp;IF(rmsfe_Pivot_T1!AS14=1,"**",IF(rmsfe_Pivot_T1!Y14=1,"*",""))</f>
        <v>1,12</v>
      </c>
      <c r="I12" s="16" t="str">
        <f>ROUND(rmsfe_Pivot_T1!H14,2)&amp;IF(rmsfe_Pivot_T1!AT14=1,"**",IF(rmsfe_Pivot_T1!Z14=1,"*",""))</f>
        <v>1,1</v>
      </c>
      <c r="J12" s="16" t="str">
        <f>ROUND(rmsfe_Pivot_T1!I14,2)&amp;IF(rmsfe_Pivot_T1!AU14=1,"**",IF(rmsfe_Pivot_T1!AA14=1,"*",""))</f>
        <v>0,97</v>
      </c>
      <c r="K12" s="16" t="str">
        <f>ROUND(rmsfe_Pivot_T1!J14,2)&amp;IF(rmsfe_Pivot_T1!AV14=1,"**",IF(rmsfe_Pivot_T1!AB14=1,"*",""))</f>
        <v>1,25</v>
      </c>
      <c r="L12" s="16" t="str">
        <f>ROUND(rmsfe_Pivot_T1!K14,2)&amp;IF(rmsfe_Pivot_T1!AW14=1,"**",IF(rmsfe_Pivot_T1!AC14=1,"*",""))</f>
        <v>1,16</v>
      </c>
      <c r="M12" s="16" t="str">
        <f>ROUND(rmsfe_Pivot_T1!L14,2)&amp;IF(rmsfe_Pivot_T1!AX14=1,"**",IF(rmsfe_Pivot_T1!AD14=1,"*",""))</f>
        <v>1,05</v>
      </c>
      <c r="N12" s="16" t="str">
        <f>ROUND(rmsfe_Pivot_T1!M14,2)&amp;IF(rmsfe_Pivot_T1!AY14=1,"**",IF(rmsfe_Pivot_T1!AE14=1,"*",""))</f>
        <v>1,13</v>
      </c>
      <c r="O12" s="16" t="str">
        <f>ROUND(rmsfe_Pivot_T1!N14,2)&amp;IF(rmsfe_Pivot_T1!AZ14=1,"**",IF(rmsfe_Pivot_T1!AF14=1,"*",""))</f>
        <v>1,02</v>
      </c>
      <c r="P12" s="16" t="str">
        <f>ROUND(rmsfe_Pivot_T1!O14,2)&amp;IF(rmsfe_Pivot_T1!BA14=1,"**",IF(rmsfe_Pivot_T1!AG14=1,"*",""))</f>
        <v>1,37</v>
      </c>
      <c r="Q12" s="16" t="str">
        <f>ROUND(rmsfe_Pivot_T1!P14,2)&amp;IF(rmsfe_Pivot_T1!BB14=1,"**",IF(rmsfe_Pivot_T1!AH14=1,"*",""))</f>
        <v>1,29</v>
      </c>
      <c r="R12" s="17" t="str">
        <f>rmsfe_Pivot_T1!AI14&amp;"/"&amp;rmsfe_Pivot_T1!BC14</f>
        <v>0/0</v>
      </c>
    </row>
    <row r="13" spans="2:20" x14ac:dyDescent="0.25">
      <c r="B13" s="18" t="s">
        <v>444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8"/>
    </row>
    <row r="14" spans="2:20" x14ac:dyDescent="0.25">
      <c r="B14" t="str">
        <f>rmsfe_Pivot_T1!A16</f>
        <v>ZS</v>
      </c>
      <c r="C14" s="14" t="str">
        <f>ROUND(rmsfe_Pivot_T1!B16,2)&amp;IF(rmsfe_Pivot_T1!AN16=1,"**",IF(rmsfe_Pivot_T1!T16=1,"*",""))</f>
        <v>1</v>
      </c>
      <c r="D14" s="14" t="str">
        <f>ROUND(rmsfe_Pivot_T1!C16,2)&amp;IF(rmsfe_Pivot_T1!AO16=1,"**",IF(rmsfe_Pivot_T1!U16=1,"*",""))</f>
        <v>1</v>
      </c>
      <c r="E14" s="14" t="str">
        <f>ROUND(rmsfe_Pivot_T1!D16,2)&amp;IF(rmsfe_Pivot_T1!AP16=1,"**",IF(rmsfe_Pivot_T1!V16=1,"*",""))</f>
        <v>1</v>
      </c>
      <c r="F14" s="14" t="str">
        <f>ROUND(rmsfe_Pivot_T1!E16,2)&amp;IF(rmsfe_Pivot_T1!AQ16=1,"**",IF(rmsfe_Pivot_T1!W16=1,"*",""))</f>
        <v>1</v>
      </c>
      <c r="G14" s="14" t="str">
        <f>ROUND(rmsfe_Pivot_T1!F16,2)&amp;IF(rmsfe_Pivot_T1!AR16=1,"**",IF(rmsfe_Pivot_T1!X16=1,"*",""))</f>
        <v>1</v>
      </c>
      <c r="H14" s="14" t="str">
        <f>ROUND(rmsfe_Pivot_T1!G16,2)&amp;IF(rmsfe_Pivot_T1!AS16=1,"**",IF(rmsfe_Pivot_T1!Y16=1,"*",""))</f>
        <v>1</v>
      </c>
      <c r="I14" s="14" t="str">
        <f>ROUND(rmsfe_Pivot_T1!H16,2)&amp;IF(rmsfe_Pivot_T1!AT16=1,"**",IF(rmsfe_Pivot_T1!Z16=1,"*",""))</f>
        <v>1</v>
      </c>
      <c r="J14" s="14" t="str">
        <f>ROUND(rmsfe_Pivot_T1!I16,2)&amp;IF(rmsfe_Pivot_T1!AU16=1,"**",IF(rmsfe_Pivot_T1!AA16=1,"*",""))</f>
        <v>1</v>
      </c>
      <c r="K14" s="14" t="str">
        <f>ROUND(rmsfe_Pivot_T1!J16,2)&amp;IF(rmsfe_Pivot_T1!AV16=1,"**",IF(rmsfe_Pivot_T1!AB16=1,"*",""))</f>
        <v>1</v>
      </c>
      <c r="L14" s="14" t="str">
        <f>ROUND(rmsfe_Pivot_T1!K16,2)&amp;IF(rmsfe_Pivot_T1!AW16=1,"**",IF(rmsfe_Pivot_T1!AC16=1,"*",""))</f>
        <v>1</v>
      </c>
      <c r="M14" s="14" t="str">
        <f>ROUND(rmsfe_Pivot_T1!L16,2)&amp;IF(rmsfe_Pivot_T1!AX16=1,"**",IF(rmsfe_Pivot_T1!AD16=1,"*",""))</f>
        <v>1</v>
      </c>
      <c r="N14" s="14" t="str">
        <f>ROUND(rmsfe_Pivot_T1!M16,2)&amp;IF(rmsfe_Pivot_T1!AY16=1,"**",IF(rmsfe_Pivot_T1!AE16=1,"*",""))</f>
        <v>1</v>
      </c>
      <c r="O14" s="14" t="str">
        <f>ROUND(rmsfe_Pivot_T1!N16,2)&amp;IF(rmsfe_Pivot_T1!AZ16=1,"**",IF(rmsfe_Pivot_T1!AF16=1,"*",""))</f>
        <v>1</v>
      </c>
      <c r="P14" s="14" t="str">
        <f>ROUND(rmsfe_Pivot_T1!O16,2)&amp;IF(rmsfe_Pivot_T1!BA16=1,"**",IF(rmsfe_Pivot_T1!AG16=1,"*",""))</f>
        <v>1</v>
      </c>
      <c r="Q14" s="14" t="str">
        <f>ROUND(rmsfe_Pivot_T1!P16,2)&amp;IF(rmsfe_Pivot_T1!BB16=1,"**",IF(rmsfe_Pivot_T1!AH16=1,"*",""))</f>
        <v>1</v>
      </c>
      <c r="R14" s="15" t="str">
        <f>rmsfe_Pivot_T1!AI16&amp;"/"&amp;rmsfe_Pivot_T1!BC16</f>
        <v>0/0</v>
      </c>
    </row>
    <row r="15" spans="2:20" x14ac:dyDescent="0.25">
      <c r="B15" t="str">
        <f>rmsfe_Pivot_T1!A17</f>
        <v>ZS\&amp;POOL</v>
      </c>
      <c r="C15" s="14" t="str">
        <f>ROUND(rmsfe_Pivot_T1!B17,2)&amp;IF(rmsfe_Pivot_T1!AN17=1,"**",IF(rmsfe_Pivot_T1!T17=1,"*",""))</f>
        <v>0,84*</v>
      </c>
      <c r="D15" s="14" t="str">
        <f>ROUND(rmsfe_Pivot_T1!C17,2)&amp;IF(rmsfe_Pivot_T1!AO17=1,"**",IF(rmsfe_Pivot_T1!U17=1,"*",""))</f>
        <v>0,98**</v>
      </c>
      <c r="E15" s="14" t="str">
        <f>ROUND(rmsfe_Pivot_T1!D17,2)&amp;IF(rmsfe_Pivot_T1!AP17=1,"**",IF(rmsfe_Pivot_T1!V17=1,"*",""))</f>
        <v>1,01</v>
      </c>
      <c r="F15" s="14" t="str">
        <f>ROUND(rmsfe_Pivot_T1!E17,2)&amp;IF(rmsfe_Pivot_T1!AQ17=1,"**",IF(rmsfe_Pivot_T1!W17=1,"*",""))</f>
        <v>0,92**</v>
      </c>
      <c r="G15" s="14" t="str">
        <f>ROUND(rmsfe_Pivot_T1!F17,2)&amp;IF(rmsfe_Pivot_T1!AR17=1,"**",IF(rmsfe_Pivot_T1!X17=1,"*",""))</f>
        <v>0,99</v>
      </c>
      <c r="H15" s="14" t="str">
        <f>ROUND(rmsfe_Pivot_T1!G17,2)&amp;IF(rmsfe_Pivot_T1!AS17=1,"**",IF(rmsfe_Pivot_T1!Y17=1,"*",""))</f>
        <v>1</v>
      </c>
      <c r="I15" s="14" t="str">
        <f>ROUND(rmsfe_Pivot_T1!H17,2)&amp;IF(rmsfe_Pivot_T1!AT17=1,"**",IF(rmsfe_Pivot_T1!Z17=1,"*",""))</f>
        <v>0,99</v>
      </c>
      <c r="J15" s="14" t="str">
        <f>ROUND(rmsfe_Pivot_T1!I17,2)&amp;IF(rmsfe_Pivot_T1!AU17=1,"**",IF(rmsfe_Pivot_T1!AA17=1,"*",""))</f>
        <v>1,01</v>
      </c>
      <c r="K15" s="14" t="str">
        <f>ROUND(rmsfe_Pivot_T1!J17,2)&amp;IF(rmsfe_Pivot_T1!AV17=1,"**",IF(rmsfe_Pivot_T1!AB17=1,"*",""))</f>
        <v>0,97*</v>
      </c>
      <c r="L15" s="14" t="str">
        <f>ROUND(rmsfe_Pivot_T1!K17,2)&amp;IF(rmsfe_Pivot_T1!AW17=1,"**",IF(rmsfe_Pivot_T1!AC17=1,"*",""))</f>
        <v>1</v>
      </c>
      <c r="M15" s="14" t="str">
        <f>ROUND(rmsfe_Pivot_T1!L17,2)&amp;IF(rmsfe_Pivot_T1!AX17=1,"**",IF(rmsfe_Pivot_T1!AD17=1,"*",""))</f>
        <v>0,93**</v>
      </c>
      <c r="N15" s="14" t="str">
        <f>ROUND(rmsfe_Pivot_T1!M17,2)&amp;IF(rmsfe_Pivot_T1!AY17=1,"**",IF(rmsfe_Pivot_T1!AE17=1,"*",""))</f>
        <v>0,91**</v>
      </c>
      <c r="O15" s="14" t="str">
        <f>ROUND(rmsfe_Pivot_T1!N17,2)&amp;IF(rmsfe_Pivot_T1!AZ17=1,"**",IF(rmsfe_Pivot_T1!AF17=1,"*",""))</f>
        <v>1</v>
      </c>
      <c r="P15" s="14" t="str">
        <f>ROUND(rmsfe_Pivot_T1!O17,2)&amp;IF(rmsfe_Pivot_T1!BA17=1,"**",IF(rmsfe_Pivot_T1!AG17=1,"*",""))</f>
        <v>0,95**</v>
      </c>
      <c r="Q15" s="14" t="str">
        <f>ROUND(rmsfe_Pivot_T1!P17,2)&amp;IF(rmsfe_Pivot_T1!BB17=1,"**",IF(rmsfe_Pivot_T1!AH17=1,"*",""))</f>
        <v>0,99</v>
      </c>
      <c r="R15" s="15" t="str">
        <f>rmsfe_Pivot_T1!AI17&amp;"/"&amp;rmsfe_Pivot_T1!BC17</f>
        <v>7/5</v>
      </c>
    </row>
    <row r="16" spans="2:20" x14ac:dyDescent="0.25">
      <c r="B16" t="str">
        <f>rmsfe_Pivot_T1!A18</f>
        <v>POOL</v>
      </c>
      <c r="C16" s="14" t="str">
        <f>ROUND(rmsfe_Pivot_T1!B18,2)&amp;IF(rmsfe_Pivot_T1!AN18=1,"**",IF(rmsfe_Pivot_T1!T18=1,"*",""))</f>
        <v>0,88</v>
      </c>
      <c r="D16" s="14" t="str">
        <f>ROUND(rmsfe_Pivot_T1!C18,2)&amp;IF(rmsfe_Pivot_T1!AO18=1,"**",IF(rmsfe_Pivot_T1!U18=1,"*",""))</f>
        <v>0,98</v>
      </c>
      <c r="E16" s="14" t="str">
        <f>ROUND(rmsfe_Pivot_T1!D18,2)&amp;IF(rmsfe_Pivot_T1!AP18=1,"**",IF(rmsfe_Pivot_T1!V18=1,"*",""))</f>
        <v>0,99</v>
      </c>
      <c r="F16" s="14" t="str">
        <f>ROUND(rmsfe_Pivot_T1!E18,2)&amp;IF(rmsfe_Pivot_T1!AQ18=1,"**",IF(rmsfe_Pivot_T1!W18=1,"*",""))</f>
        <v>0,85**</v>
      </c>
      <c r="G16" s="14" t="str">
        <f>ROUND(rmsfe_Pivot_T1!F18,2)&amp;IF(rmsfe_Pivot_T1!AR18=1,"**",IF(rmsfe_Pivot_T1!X18=1,"*",""))</f>
        <v>1,01</v>
      </c>
      <c r="H16" s="14" t="str">
        <f>ROUND(rmsfe_Pivot_T1!G18,2)&amp;IF(rmsfe_Pivot_T1!AS18=1,"**",IF(rmsfe_Pivot_T1!Y18=1,"*",""))</f>
        <v>1,02</v>
      </c>
      <c r="I16" s="14" t="str">
        <f>ROUND(rmsfe_Pivot_T1!H18,2)&amp;IF(rmsfe_Pivot_T1!AT18=1,"**",IF(rmsfe_Pivot_T1!Z18=1,"*",""))</f>
        <v>1,03</v>
      </c>
      <c r="J16" s="14" t="str">
        <f>ROUND(rmsfe_Pivot_T1!I18,2)&amp;IF(rmsfe_Pivot_T1!AU18=1,"**",IF(rmsfe_Pivot_T1!AA18=1,"*",""))</f>
        <v>1,02</v>
      </c>
      <c r="K16" s="14" t="str">
        <f>ROUND(rmsfe_Pivot_T1!J18,2)&amp;IF(rmsfe_Pivot_T1!AV18=1,"**",IF(rmsfe_Pivot_T1!AB18=1,"*",""))</f>
        <v>1,01</v>
      </c>
      <c r="L16" s="14" t="str">
        <f>ROUND(rmsfe_Pivot_T1!K18,2)&amp;IF(rmsfe_Pivot_T1!AW18=1,"**",IF(rmsfe_Pivot_T1!AC18=1,"*",""))</f>
        <v>1</v>
      </c>
      <c r="M16" s="14" t="str">
        <f>ROUND(rmsfe_Pivot_T1!L18,2)&amp;IF(rmsfe_Pivot_T1!AX18=1,"**",IF(rmsfe_Pivot_T1!AD18=1,"*",""))</f>
        <v>0,98</v>
      </c>
      <c r="N16" s="14" t="str">
        <f>ROUND(rmsfe_Pivot_T1!M18,2)&amp;IF(rmsfe_Pivot_T1!AY18=1,"**",IF(rmsfe_Pivot_T1!AE18=1,"*",""))</f>
        <v>0,98</v>
      </c>
      <c r="O16" s="14" t="str">
        <f>ROUND(rmsfe_Pivot_T1!N18,2)&amp;IF(rmsfe_Pivot_T1!AZ18=1,"**",IF(rmsfe_Pivot_T1!AF18=1,"*",""))</f>
        <v>0,98</v>
      </c>
      <c r="P16" s="14" t="str">
        <f>ROUND(rmsfe_Pivot_T1!O18,2)&amp;IF(rmsfe_Pivot_T1!BA18=1,"**",IF(rmsfe_Pivot_T1!AG18=1,"*",""))</f>
        <v>0,71**</v>
      </c>
      <c r="Q16" s="14" t="str">
        <f>ROUND(rmsfe_Pivot_T1!P18,2)&amp;IF(rmsfe_Pivot_T1!BB18=1,"**",IF(rmsfe_Pivot_T1!AH18=1,"*",""))</f>
        <v>1</v>
      </c>
      <c r="R16" s="15" t="str">
        <f>rmsfe_Pivot_T1!AI18&amp;"/"&amp;rmsfe_Pivot_T1!BC18</f>
        <v>2/2</v>
      </c>
    </row>
    <row r="17" spans="2:22" x14ac:dyDescent="0.25">
      <c r="B17" t="str">
        <f>rmsfe_Pivot_T1!A19</f>
        <v>ZSGL</v>
      </c>
      <c r="C17" s="14" t="str">
        <f>ROUND(rmsfe_Pivot_T1!B19,2)&amp;IF(rmsfe_Pivot_T1!AN19=1,"**",IF(rmsfe_Pivot_T1!T19=1,"*",""))</f>
        <v>0,86**</v>
      </c>
      <c r="D17" s="14" t="str">
        <f>ROUND(rmsfe_Pivot_T1!C19,2)&amp;IF(rmsfe_Pivot_T1!AO19=1,"**",IF(rmsfe_Pivot_T1!U19=1,"*",""))</f>
        <v>1</v>
      </c>
      <c r="E17" s="14" t="str">
        <f>ROUND(rmsfe_Pivot_T1!D19,2)&amp;IF(rmsfe_Pivot_T1!AP19=1,"**",IF(rmsfe_Pivot_T1!V19=1,"*",""))</f>
        <v>0,98*</v>
      </c>
      <c r="F17" s="14" t="str">
        <f>ROUND(rmsfe_Pivot_T1!E19,2)&amp;IF(rmsfe_Pivot_T1!AQ19=1,"**",IF(rmsfe_Pivot_T1!W19=1,"*",""))</f>
        <v>0,98</v>
      </c>
      <c r="G17" s="14" t="str">
        <f>ROUND(rmsfe_Pivot_T1!F19,2)&amp;IF(rmsfe_Pivot_T1!AR19=1,"**",IF(rmsfe_Pivot_T1!X19=1,"*",""))</f>
        <v>1</v>
      </c>
      <c r="H17" s="14" t="str">
        <f>ROUND(rmsfe_Pivot_T1!G19,2)&amp;IF(rmsfe_Pivot_T1!AS19=1,"**",IF(rmsfe_Pivot_T1!Y19=1,"*",""))</f>
        <v>1,01</v>
      </c>
      <c r="I17" s="14" t="str">
        <f>ROUND(rmsfe_Pivot_T1!H19,2)&amp;IF(rmsfe_Pivot_T1!AT19=1,"**",IF(rmsfe_Pivot_T1!Z19=1,"*",""))</f>
        <v>1,02</v>
      </c>
      <c r="J17" s="14" t="str">
        <f>ROUND(rmsfe_Pivot_T1!I19,2)&amp;IF(rmsfe_Pivot_T1!AU19=1,"**",IF(rmsfe_Pivot_T1!AA19=1,"*",""))</f>
        <v>1,02</v>
      </c>
      <c r="K17" s="14" t="str">
        <f>ROUND(rmsfe_Pivot_T1!J19,2)&amp;IF(rmsfe_Pivot_T1!AV19=1,"**",IF(rmsfe_Pivot_T1!AB19=1,"*",""))</f>
        <v>1,02</v>
      </c>
      <c r="L17" s="14" t="str">
        <f>ROUND(rmsfe_Pivot_T1!K19,2)&amp;IF(rmsfe_Pivot_T1!AW19=1,"**",IF(rmsfe_Pivot_T1!AC19=1,"*",""))</f>
        <v>0,99</v>
      </c>
      <c r="M17" s="14" t="str">
        <f>ROUND(rmsfe_Pivot_T1!L19,2)&amp;IF(rmsfe_Pivot_T1!AX19=1,"**",IF(rmsfe_Pivot_T1!AD19=1,"*",""))</f>
        <v>1,03</v>
      </c>
      <c r="N17" s="14" t="str">
        <f>ROUND(rmsfe_Pivot_T1!M19,2)&amp;IF(rmsfe_Pivot_T1!AY19=1,"**",IF(rmsfe_Pivot_T1!AE19=1,"*",""))</f>
        <v>1,02</v>
      </c>
      <c r="O17" s="14" t="str">
        <f>ROUND(rmsfe_Pivot_T1!N19,2)&amp;IF(rmsfe_Pivot_T1!AZ19=1,"**",IF(rmsfe_Pivot_T1!AF19=1,"*",""))</f>
        <v>0,98</v>
      </c>
      <c r="P17" s="14" t="str">
        <f>ROUND(rmsfe_Pivot_T1!O19,2)&amp;IF(rmsfe_Pivot_T1!BA19=1,"**",IF(rmsfe_Pivot_T1!AG19=1,"*",""))</f>
        <v>0,74**</v>
      </c>
      <c r="Q17" s="14" t="str">
        <f>ROUND(rmsfe_Pivot_T1!P19,2)&amp;IF(rmsfe_Pivot_T1!BB19=1,"**",IF(rmsfe_Pivot_T1!AH19=1,"*",""))</f>
        <v>1</v>
      </c>
      <c r="R17" s="15" t="str">
        <f>rmsfe_Pivot_T1!AI19&amp;"/"&amp;rmsfe_Pivot_T1!BC19</f>
        <v>3/2</v>
      </c>
    </row>
    <row r="18" spans="2:22" x14ac:dyDescent="0.25">
      <c r="B18" t="str">
        <f>rmsfe_Pivot_T1!A20</f>
        <v>J</v>
      </c>
      <c r="C18" s="14" t="str">
        <f>ROUND(rmsfe_Pivot_T1!B20,2)&amp;IF(rmsfe_Pivot_T1!AN20=1,"**",IF(rmsfe_Pivot_T1!T20=1,"*",""))</f>
        <v>0,78**</v>
      </c>
      <c r="D18" s="14" t="str">
        <f>ROUND(rmsfe_Pivot_T1!C20,2)&amp;IF(rmsfe_Pivot_T1!AO20=1,"**",IF(rmsfe_Pivot_T1!U20=1,"*",""))</f>
        <v>1,13</v>
      </c>
      <c r="E18" s="14" t="str">
        <f>ROUND(rmsfe_Pivot_T1!D20,2)&amp;IF(rmsfe_Pivot_T1!AP20=1,"**",IF(rmsfe_Pivot_T1!V20=1,"*",""))</f>
        <v>1,04</v>
      </c>
      <c r="F18" s="14" t="str">
        <f>ROUND(rmsfe_Pivot_T1!E20,2)&amp;IF(rmsfe_Pivot_T1!AQ20=1,"**",IF(rmsfe_Pivot_T1!W20=1,"*",""))</f>
        <v>0,45**</v>
      </c>
      <c r="G18" s="14" t="str">
        <f>ROUND(rmsfe_Pivot_T1!F20,2)&amp;IF(rmsfe_Pivot_T1!AR20=1,"**",IF(rmsfe_Pivot_T1!X20=1,"*",""))</f>
        <v>1,05</v>
      </c>
      <c r="H18" s="14" t="str">
        <f>ROUND(rmsfe_Pivot_T1!G20,2)&amp;IF(rmsfe_Pivot_T1!AS20=1,"**",IF(rmsfe_Pivot_T1!Y20=1,"*",""))</f>
        <v>0,95</v>
      </c>
      <c r="I18" s="14" t="str">
        <f>ROUND(rmsfe_Pivot_T1!H20,2)&amp;IF(rmsfe_Pivot_T1!AT20=1,"**",IF(rmsfe_Pivot_T1!Z20=1,"*",""))</f>
        <v>1,02</v>
      </c>
      <c r="J18" s="14" t="str">
        <f>ROUND(rmsfe_Pivot_T1!I20,2)&amp;IF(rmsfe_Pivot_T1!AU20=1,"**",IF(rmsfe_Pivot_T1!AA20=1,"*",""))</f>
        <v>1,12</v>
      </c>
      <c r="K18" s="14" t="str">
        <f>ROUND(rmsfe_Pivot_T1!J20,2)&amp;IF(rmsfe_Pivot_T1!AV20=1,"**",IF(rmsfe_Pivot_T1!AB20=1,"*",""))</f>
        <v>1,07</v>
      </c>
      <c r="L18" s="14" t="str">
        <f>ROUND(rmsfe_Pivot_T1!K20,2)&amp;IF(rmsfe_Pivot_T1!AW20=1,"**",IF(rmsfe_Pivot_T1!AC20=1,"*",""))</f>
        <v>1,09</v>
      </c>
      <c r="M18" s="14" t="str">
        <f>ROUND(rmsfe_Pivot_T1!L20,2)&amp;IF(rmsfe_Pivot_T1!AX20=1,"**",IF(rmsfe_Pivot_T1!AD20=1,"*",""))</f>
        <v>0,89**</v>
      </c>
      <c r="N18" s="14" t="str">
        <f>ROUND(rmsfe_Pivot_T1!M20,2)&amp;IF(rmsfe_Pivot_T1!AY20=1,"**",IF(rmsfe_Pivot_T1!AE20=1,"*",""))</f>
        <v>0,97</v>
      </c>
      <c r="O18" s="14" t="str">
        <f>ROUND(rmsfe_Pivot_T1!N20,2)&amp;IF(rmsfe_Pivot_T1!AZ20=1,"**",IF(rmsfe_Pivot_T1!AF20=1,"*",""))</f>
        <v>1,07</v>
      </c>
      <c r="P18" s="14" t="str">
        <f>ROUND(rmsfe_Pivot_T1!O20,2)&amp;IF(rmsfe_Pivot_T1!BA20=1,"**",IF(rmsfe_Pivot_T1!AG20=1,"*",""))</f>
        <v>0,83**</v>
      </c>
      <c r="Q18" s="14" t="str">
        <f>ROUND(rmsfe_Pivot_T1!P20,2)&amp;IF(rmsfe_Pivot_T1!BB20=1,"**",IF(rmsfe_Pivot_T1!AH20=1,"*",""))</f>
        <v>1,05</v>
      </c>
      <c r="R18" s="15" t="str">
        <f>rmsfe_Pivot_T1!AI20&amp;"/"&amp;rmsfe_Pivot_T1!BC20</f>
        <v>4/4</v>
      </c>
      <c r="T18" t="str">
        <f>B18&amp;"&amp;"&amp;C18&amp;"&amp;"&amp;D18&amp;"&amp;"&amp;E18&amp;"&amp;"&amp;F18&amp;"&amp;"&amp;G18&amp;"&amp;"&amp;H18&amp;"&amp;"&amp;I18&amp;"&amp;"&amp;J18&amp;"&amp;"&amp;K18&amp;"&amp;"&amp;L18&amp;"&amp;"&amp;M18&amp;"&amp;"&amp;N18&amp;"&amp;"&amp;O18&amp;"&amp;"&amp;P18&amp;"&amp;"&amp;Q18&amp;"&amp;"&amp;R18&amp;"\\"</f>
        <v>J&amp;0,78**&amp;1,13&amp;1,04&amp;0,45**&amp;1,05&amp;0,95&amp;1,02&amp;1,12&amp;1,07&amp;1,09&amp;0,89**&amp;0,97&amp;1,07&amp;0,83**&amp;1,05&amp;4/4\\</v>
      </c>
    </row>
    <row r="19" spans="2:22" x14ac:dyDescent="0.25">
      <c r="B19" t="str">
        <f>rmsfe_Pivot_T1!A21</f>
        <v>BFCS</v>
      </c>
      <c r="C19" s="14" t="str">
        <f>ROUND(rmsfe_Pivot_T1!B21,2)&amp;IF(rmsfe_Pivot_T1!AN21=1,"**",IF(rmsfe_Pivot_T1!T21=1,"*",""))</f>
        <v>3,85</v>
      </c>
      <c r="D19" s="14" t="str">
        <f>ROUND(rmsfe_Pivot_T1!C21,2)&amp;IF(rmsfe_Pivot_T1!AO21=1,"**",IF(rmsfe_Pivot_T1!U21=1,"*",""))</f>
        <v>1,21</v>
      </c>
      <c r="E19" s="14" t="str">
        <f>ROUND(rmsfe_Pivot_T1!D21,2)&amp;IF(rmsfe_Pivot_T1!AP21=1,"**",IF(rmsfe_Pivot_T1!V21=1,"*",""))</f>
        <v>1,21</v>
      </c>
      <c r="F19" s="14" t="str">
        <f>ROUND(rmsfe_Pivot_T1!E21,2)&amp;IF(rmsfe_Pivot_T1!AQ21=1,"**",IF(rmsfe_Pivot_T1!W21=1,"*",""))</f>
        <v>7,78</v>
      </c>
      <c r="G19" s="14" t="str">
        <f>ROUND(rmsfe_Pivot_T1!F21,2)&amp;IF(rmsfe_Pivot_T1!AR21=1,"**",IF(rmsfe_Pivot_T1!X21=1,"*",""))</f>
        <v>1,22</v>
      </c>
      <c r="H19" s="14" t="str">
        <f>ROUND(rmsfe_Pivot_T1!G21,2)&amp;IF(rmsfe_Pivot_T1!AS21=1,"**",IF(rmsfe_Pivot_T1!Y21=1,"*",""))</f>
        <v>1,67</v>
      </c>
      <c r="I19" s="14" t="str">
        <f>ROUND(rmsfe_Pivot_T1!H21,2)&amp;IF(rmsfe_Pivot_T1!AT21=1,"**",IF(rmsfe_Pivot_T1!Z21=1,"*",""))</f>
        <v>1,52</v>
      </c>
      <c r="J19" s="14" t="str">
        <f>ROUND(rmsfe_Pivot_T1!I21,2)&amp;IF(rmsfe_Pivot_T1!AU21=1,"**",IF(rmsfe_Pivot_T1!AA21=1,"*",""))</f>
        <v>1,21</v>
      </c>
      <c r="K19" s="14" t="str">
        <f>ROUND(rmsfe_Pivot_T1!J21,2)&amp;IF(rmsfe_Pivot_T1!AV21=1,"**",IF(rmsfe_Pivot_T1!AB21=1,"*",""))</f>
        <v>1,75</v>
      </c>
      <c r="L19" s="14" t="str">
        <f>ROUND(rmsfe_Pivot_T1!K21,2)&amp;IF(rmsfe_Pivot_T1!AW21=1,"**",IF(rmsfe_Pivot_T1!AC21=1,"*",""))</f>
        <v>2,2</v>
      </c>
      <c r="M19" s="14" t="str">
        <f>ROUND(rmsfe_Pivot_T1!L21,2)&amp;IF(rmsfe_Pivot_T1!AX21=1,"**",IF(rmsfe_Pivot_T1!AD21=1,"*",""))</f>
        <v>1,06</v>
      </c>
      <c r="N19" s="14" t="str">
        <f>ROUND(rmsfe_Pivot_T1!M21,2)&amp;IF(rmsfe_Pivot_T1!AY21=1,"**",IF(rmsfe_Pivot_T1!AE21=1,"*",""))</f>
        <v>2,86</v>
      </c>
      <c r="O19" s="14" t="str">
        <f>ROUND(rmsfe_Pivot_T1!N21,2)&amp;IF(rmsfe_Pivot_T1!AZ21=1,"**",IF(rmsfe_Pivot_T1!AF21=1,"*",""))</f>
        <v>1,13</v>
      </c>
      <c r="P19" s="14" t="str">
        <f>ROUND(rmsfe_Pivot_T1!O21,2)&amp;IF(rmsfe_Pivot_T1!BA21=1,"**",IF(rmsfe_Pivot_T1!AG21=1,"*",""))</f>
        <v>6,54</v>
      </c>
      <c r="Q19" s="14" t="str">
        <f>ROUND(rmsfe_Pivot_T1!P21,2)&amp;IF(rmsfe_Pivot_T1!BB21=1,"**",IF(rmsfe_Pivot_T1!AH21=1,"*",""))</f>
        <v>1,22</v>
      </c>
      <c r="R19" s="15" t="str">
        <f>rmsfe_Pivot_T1!AI21&amp;"/"&amp;rmsfe_Pivot_T1!BC21</f>
        <v>0/0</v>
      </c>
      <c r="T19" t="str">
        <f>B19&amp;"&amp;"&amp;C19&amp;"&amp;"&amp;D19&amp;"&amp;"&amp;E19&amp;"&amp;"&amp;F19&amp;"&amp;"&amp;G19&amp;"&amp;"&amp;H19&amp;"&amp;"&amp;I19&amp;"&amp;"&amp;J19&amp;"&amp;"&amp;K19&amp;"&amp;"&amp;L19&amp;"&amp;"&amp;M19&amp;"&amp;"&amp;N19&amp;"&amp;"&amp;O19&amp;"&amp;"&amp;P19&amp;"&amp;"&amp;Q19&amp;"&amp;"&amp;R19&amp;"\\"</f>
        <v>BFCS&amp;3,85&amp;1,21&amp;1,21&amp;7,78&amp;1,22&amp;1,67&amp;1,52&amp;1,21&amp;1,75&amp;2,2&amp;1,06&amp;2,86&amp;1,13&amp;6,54&amp;1,22&amp;0/0\\</v>
      </c>
    </row>
    <row r="20" spans="2:22" x14ac:dyDescent="0.25">
      <c r="B20" t="str">
        <f>rmsfe_Pivot_T1!A22</f>
        <v>SSSS</v>
      </c>
      <c r="C20" s="14" t="str">
        <f>ROUND(rmsfe_Pivot_T1!B22,2)&amp;IF(rmsfe_Pivot_T1!AN22=1,"**",IF(rmsfe_Pivot_T1!T22=1,"*",""))</f>
        <v>2,12</v>
      </c>
      <c r="D20" s="14" t="str">
        <f>ROUND(rmsfe_Pivot_T1!C22,2)&amp;IF(rmsfe_Pivot_T1!AO22=1,"**",IF(rmsfe_Pivot_T1!U22=1,"*",""))</f>
        <v>1,33</v>
      </c>
      <c r="E20" s="14" t="str">
        <f>ROUND(rmsfe_Pivot_T1!D22,2)&amp;IF(rmsfe_Pivot_T1!AP22=1,"**",IF(rmsfe_Pivot_T1!V22=1,"*",""))</f>
        <v>0,9**</v>
      </c>
      <c r="F20" s="14" t="str">
        <f>ROUND(rmsfe_Pivot_T1!E22,2)&amp;IF(rmsfe_Pivot_T1!AQ22=1,"**",IF(rmsfe_Pivot_T1!W22=1,"*",""))</f>
        <v>3,31</v>
      </c>
      <c r="G20" s="14" t="str">
        <f>ROUND(rmsfe_Pivot_T1!F22,2)&amp;IF(rmsfe_Pivot_T1!AR22=1,"**",IF(rmsfe_Pivot_T1!X22=1,"*",""))</f>
        <v>0,98</v>
      </c>
      <c r="H20" s="14" t="str">
        <f>ROUND(rmsfe_Pivot_T1!G22,2)&amp;IF(rmsfe_Pivot_T1!AS22=1,"**",IF(rmsfe_Pivot_T1!Y22=1,"*",""))</f>
        <v>1</v>
      </c>
      <c r="I20" s="14" t="str">
        <f>ROUND(rmsfe_Pivot_T1!H22,2)&amp;IF(rmsfe_Pivot_T1!AT22=1,"**",IF(rmsfe_Pivot_T1!Z22=1,"*",""))</f>
        <v>1,12</v>
      </c>
      <c r="J20" s="14" t="str">
        <f>ROUND(rmsfe_Pivot_T1!I22,2)&amp;IF(rmsfe_Pivot_T1!AU22=1,"**",IF(rmsfe_Pivot_T1!AA22=1,"*",""))</f>
        <v>1,15</v>
      </c>
      <c r="K20" s="14" t="str">
        <f>ROUND(rmsfe_Pivot_T1!J22,2)&amp;IF(rmsfe_Pivot_T1!AV22=1,"**",IF(rmsfe_Pivot_T1!AB22=1,"*",""))</f>
        <v>1,05</v>
      </c>
      <c r="L20" s="14" t="str">
        <f>ROUND(rmsfe_Pivot_T1!K22,2)&amp;IF(rmsfe_Pivot_T1!AW22=1,"**",IF(rmsfe_Pivot_T1!AC22=1,"*",""))</f>
        <v>1,34</v>
      </c>
      <c r="M20" s="14" t="str">
        <f>ROUND(rmsfe_Pivot_T1!L22,2)&amp;IF(rmsfe_Pivot_T1!AX22=1,"**",IF(rmsfe_Pivot_T1!AD22=1,"*",""))</f>
        <v>1,02</v>
      </c>
      <c r="N20" s="14" t="str">
        <f>ROUND(rmsfe_Pivot_T1!M22,2)&amp;IF(rmsfe_Pivot_T1!AY22=1,"**",IF(rmsfe_Pivot_T1!AE22=1,"*",""))</f>
        <v>1,33</v>
      </c>
      <c r="O20" s="14" t="str">
        <f>ROUND(rmsfe_Pivot_T1!N22,2)&amp;IF(rmsfe_Pivot_T1!AZ22=1,"**",IF(rmsfe_Pivot_T1!AF22=1,"*",""))</f>
        <v>1,02</v>
      </c>
      <c r="P20" s="14" t="str">
        <f>ROUND(rmsfe_Pivot_T1!O22,2)&amp;IF(rmsfe_Pivot_T1!BA22=1,"**",IF(rmsfe_Pivot_T1!AG22=1,"*",""))</f>
        <v>2,78</v>
      </c>
      <c r="Q20" s="14" t="str">
        <f>ROUND(rmsfe_Pivot_T1!P22,2)&amp;IF(rmsfe_Pivot_T1!BB22=1,"**",IF(rmsfe_Pivot_T1!AH22=1,"*",""))</f>
        <v>0,99</v>
      </c>
      <c r="R20" s="15" t="str">
        <f>rmsfe_Pivot_T1!AI22&amp;"/"&amp;rmsfe_Pivot_T1!BC22</f>
        <v>1/1</v>
      </c>
    </row>
    <row r="21" spans="2:22" x14ac:dyDescent="0.25">
      <c r="B21" t="str">
        <f>rmsfe_Pivot_T1!A23</f>
        <v>BMS</v>
      </c>
      <c r="C21" s="14" t="str">
        <f>ROUND(rmsfe_Pivot_T1!B23,2)&amp;IF(rmsfe_Pivot_T1!AN23=1,"**",IF(rmsfe_Pivot_T1!T23=1,"*",""))</f>
        <v>2,09</v>
      </c>
      <c r="D21" s="14" t="str">
        <f>ROUND(rmsfe_Pivot_T1!C23,2)&amp;IF(rmsfe_Pivot_T1!AO23=1,"**",IF(rmsfe_Pivot_T1!U23=1,"*",""))</f>
        <v>1,05</v>
      </c>
      <c r="E21" s="14" t="str">
        <f>ROUND(rmsfe_Pivot_T1!D23,2)&amp;IF(rmsfe_Pivot_T1!AP23=1,"**",IF(rmsfe_Pivot_T1!V23=1,"*",""))</f>
        <v>0,95</v>
      </c>
      <c r="F21" s="14" t="str">
        <f>ROUND(rmsfe_Pivot_T1!E23,2)&amp;IF(rmsfe_Pivot_T1!AQ23=1,"**",IF(rmsfe_Pivot_T1!W23=1,"*",""))</f>
        <v>4,92</v>
      </c>
      <c r="G21" s="14" t="str">
        <f>ROUND(rmsfe_Pivot_T1!F23,2)&amp;IF(rmsfe_Pivot_T1!AR23=1,"**",IF(rmsfe_Pivot_T1!X23=1,"*",""))</f>
        <v>1</v>
      </c>
      <c r="H21" s="14" t="str">
        <f>ROUND(rmsfe_Pivot_T1!G23,2)&amp;IF(rmsfe_Pivot_T1!AS23=1,"**",IF(rmsfe_Pivot_T1!Y23=1,"*",""))</f>
        <v>1,18</v>
      </c>
      <c r="I21" s="14" t="str">
        <f>ROUND(rmsfe_Pivot_T1!H23,2)&amp;IF(rmsfe_Pivot_T1!AT23=1,"**",IF(rmsfe_Pivot_T1!Z23=1,"*",""))</f>
        <v>1,42</v>
      </c>
      <c r="J21" s="14" t="str">
        <f>ROUND(rmsfe_Pivot_T1!I23,2)&amp;IF(rmsfe_Pivot_T1!AU23=1,"**",IF(rmsfe_Pivot_T1!AA23=1,"*",""))</f>
        <v>0,94**</v>
      </c>
      <c r="K21" s="14" t="str">
        <f>ROUND(rmsfe_Pivot_T1!J23,2)&amp;IF(rmsfe_Pivot_T1!AV23=1,"**",IF(rmsfe_Pivot_T1!AB23=1,"*",""))</f>
        <v>1,06</v>
      </c>
      <c r="L21" s="14" t="str">
        <f>ROUND(rmsfe_Pivot_T1!K23,2)&amp;IF(rmsfe_Pivot_T1!AW23=1,"**",IF(rmsfe_Pivot_T1!AC23=1,"*",""))</f>
        <v>1,42</v>
      </c>
      <c r="M21" s="14" t="str">
        <f>ROUND(rmsfe_Pivot_T1!L23,2)&amp;IF(rmsfe_Pivot_T1!AX23=1,"**",IF(rmsfe_Pivot_T1!AD23=1,"*",""))</f>
        <v>0,93</v>
      </c>
      <c r="N21" s="14" t="str">
        <f>ROUND(rmsfe_Pivot_T1!M23,2)&amp;IF(rmsfe_Pivot_T1!AY23=1,"**",IF(rmsfe_Pivot_T1!AE23=1,"*",""))</f>
        <v>1,31</v>
      </c>
      <c r="O21" s="14" t="str">
        <f>ROUND(rmsfe_Pivot_T1!N23,2)&amp;IF(rmsfe_Pivot_T1!AZ23=1,"**",IF(rmsfe_Pivot_T1!AF23=1,"*",""))</f>
        <v>1,01</v>
      </c>
      <c r="P21" s="14" t="str">
        <f>ROUND(rmsfe_Pivot_T1!O23,2)&amp;IF(rmsfe_Pivot_T1!BA23=1,"**",IF(rmsfe_Pivot_T1!AG23=1,"*",""))</f>
        <v>2,55</v>
      </c>
      <c r="Q21" s="14" t="str">
        <f>ROUND(rmsfe_Pivot_T1!P23,2)&amp;IF(rmsfe_Pivot_T1!BB23=1,"**",IF(rmsfe_Pivot_T1!AH23=1,"*",""))</f>
        <v>1,1</v>
      </c>
      <c r="R21" s="15" t="str">
        <f>rmsfe_Pivot_T1!AI23&amp;"/"&amp;rmsfe_Pivot_T1!BC23</f>
        <v>1/1</v>
      </c>
    </row>
    <row r="22" spans="2:22" x14ac:dyDescent="0.25">
      <c r="B22" t="str">
        <f>rmsfe_Pivot_T1!A24</f>
        <v>CC</v>
      </c>
      <c r="C22" s="14" t="str">
        <f>ROUND(rmsfe_Pivot_T1!B24,2)&amp;IF(rmsfe_Pivot_T1!AN24=1,"**",IF(rmsfe_Pivot_T1!T24=1,"*",""))</f>
        <v>3,55</v>
      </c>
      <c r="D22" s="14" t="str">
        <f>ROUND(rmsfe_Pivot_T1!C24,2)&amp;IF(rmsfe_Pivot_T1!AO24=1,"**",IF(rmsfe_Pivot_T1!U24=1,"*",""))</f>
        <v>1,11</v>
      </c>
      <c r="E22" s="14" t="str">
        <f>ROUND(rmsfe_Pivot_T1!D24,2)&amp;IF(rmsfe_Pivot_T1!AP24=1,"**",IF(rmsfe_Pivot_T1!V24=1,"*",""))</f>
        <v>0,96</v>
      </c>
      <c r="F22" s="14" t="str">
        <f>ROUND(rmsfe_Pivot_T1!E24,2)&amp;IF(rmsfe_Pivot_T1!AQ24=1,"**",IF(rmsfe_Pivot_T1!W24=1,"*",""))</f>
        <v>7,59</v>
      </c>
      <c r="G22" s="14" t="str">
        <f>ROUND(rmsfe_Pivot_T1!F24,2)&amp;IF(rmsfe_Pivot_T1!AR24=1,"**",IF(rmsfe_Pivot_T1!X24=1,"*",""))</f>
        <v>0,99</v>
      </c>
      <c r="H22" s="14" t="str">
        <f>ROUND(rmsfe_Pivot_T1!G24,2)&amp;IF(rmsfe_Pivot_T1!AS24=1,"**",IF(rmsfe_Pivot_T1!Y24=1,"*",""))</f>
        <v>1,42</v>
      </c>
      <c r="I22" s="14" t="str">
        <f>ROUND(rmsfe_Pivot_T1!H24,2)&amp;IF(rmsfe_Pivot_T1!AT24=1,"**",IF(rmsfe_Pivot_T1!Z24=1,"*",""))</f>
        <v>1,38</v>
      </c>
      <c r="J22" s="14" t="str">
        <f>ROUND(rmsfe_Pivot_T1!I24,2)&amp;IF(rmsfe_Pivot_T1!AU24=1,"**",IF(rmsfe_Pivot_T1!AA24=1,"*",""))</f>
        <v>1,2</v>
      </c>
      <c r="K22" s="14" t="str">
        <f>ROUND(rmsfe_Pivot_T1!J24,2)&amp;IF(rmsfe_Pivot_T1!AV24=1,"**",IF(rmsfe_Pivot_T1!AB24=1,"*",""))</f>
        <v>1,13</v>
      </c>
      <c r="L22" s="14" t="str">
        <f>ROUND(rmsfe_Pivot_T1!K24,2)&amp;IF(rmsfe_Pivot_T1!AW24=1,"**",IF(rmsfe_Pivot_T1!AC24=1,"*",""))</f>
        <v>1,37</v>
      </c>
      <c r="M22" s="14" t="str">
        <f>ROUND(rmsfe_Pivot_T1!L24,2)&amp;IF(rmsfe_Pivot_T1!AX24=1,"**",IF(rmsfe_Pivot_T1!AD24=1,"*",""))</f>
        <v>1,06</v>
      </c>
      <c r="N22" s="14" t="str">
        <f>ROUND(rmsfe_Pivot_T1!M24,2)&amp;IF(rmsfe_Pivot_T1!AY24=1,"**",IF(rmsfe_Pivot_T1!AE24=1,"*",""))</f>
        <v>1,3</v>
      </c>
      <c r="O22" s="14" t="str">
        <f>ROUND(rmsfe_Pivot_T1!N24,2)&amp;IF(rmsfe_Pivot_T1!AZ24=1,"**",IF(rmsfe_Pivot_T1!AF24=1,"*",""))</f>
        <v>1,31</v>
      </c>
      <c r="P22" s="14" t="str">
        <f>ROUND(rmsfe_Pivot_T1!O24,2)&amp;IF(rmsfe_Pivot_T1!BA24=1,"**",IF(rmsfe_Pivot_T1!AG24=1,"*",""))</f>
        <v>4,63</v>
      </c>
      <c r="Q22" s="14" t="str">
        <f>ROUND(rmsfe_Pivot_T1!P24,2)&amp;IF(rmsfe_Pivot_T1!BB24=1,"**",IF(rmsfe_Pivot_T1!AH24=1,"*",""))</f>
        <v>0,96</v>
      </c>
      <c r="R22" s="15" t="str">
        <f>rmsfe_Pivot_T1!AI24&amp;"/"&amp;rmsfe_Pivot_T1!BC24</f>
        <v>0/0</v>
      </c>
    </row>
    <row r="23" spans="2:22" x14ac:dyDescent="0.25">
      <c r="B23" s="18" t="s">
        <v>445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  <row r="24" spans="2:22" x14ac:dyDescent="0.25">
      <c r="B24" t="str">
        <f>rmsfe_Pivot_T1!A26</f>
        <v>ZS</v>
      </c>
      <c r="C24" s="14" t="str">
        <f>ROUND(rmsfe_Pivot_T1!B26,2)&amp;IF(rmsfe_Pivot_T1!AN26=1,"**",IF(rmsfe_Pivot_T1!T26=1,"*",""))</f>
        <v>1</v>
      </c>
      <c r="D24" s="14" t="str">
        <f>ROUND(rmsfe_Pivot_T1!C26,2)&amp;IF(rmsfe_Pivot_T1!AO26=1,"**",IF(rmsfe_Pivot_T1!U26=1,"*",""))</f>
        <v>1</v>
      </c>
      <c r="E24" s="14" t="str">
        <f>ROUND(rmsfe_Pivot_T1!D26,2)&amp;IF(rmsfe_Pivot_T1!AP26=1,"**",IF(rmsfe_Pivot_T1!V26=1,"*",""))</f>
        <v>1</v>
      </c>
      <c r="F24" s="14" t="str">
        <f>ROUND(rmsfe_Pivot_T1!E26,2)&amp;IF(rmsfe_Pivot_T1!AQ26=1,"**",IF(rmsfe_Pivot_T1!W26=1,"*",""))</f>
        <v>1</v>
      </c>
      <c r="G24" s="14" t="str">
        <f>ROUND(rmsfe_Pivot_T1!F26,2)&amp;IF(rmsfe_Pivot_T1!AR26=1,"**",IF(rmsfe_Pivot_T1!X26=1,"*",""))</f>
        <v>1</v>
      </c>
      <c r="H24" s="14" t="str">
        <f>ROUND(rmsfe_Pivot_T1!G26,2)&amp;IF(rmsfe_Pivot_T1!AS26=1,"**",IF(rmsfe_Pivot_T1!Y26=1,"*",""))</f>
        <v>1</v>
      </c>
      <c r="I24" s="14" t="str">
        <f>ROUND(rmsfe_Pivot_T1!H26,2)&amp;IF(rmsfe_Pivot_T1!AT26=1,"**",IF(rmsfe_Pivot_T1!Z26=1,"*",""))</f>
        <v>1</v>
      </c>
      <c r="J24" s="14" t="str">
        <f>ROUND(rmsfe_Pivot_T1!I26,2)&amp;IF(rmsfe_Pivot_T1!AU26=1,"**",IF(rmsfe_Pivot_T1!AA26=1,"*",""))</f>
        <v>1</v>
      </c>
      <c r="K24" s="14" t="str">
        <f>ROUND(rmsfe_Pivot_T1!J26,2)&amp;IF(rmsfe_Pivot_T1!AV26=1,"**",IF(rmsfe_Pivot_T1!AB26=1,"*",""))</f>
        <v>1</v>
      </c>
      <c r="L24" s="14" t="str">
        <f>ROUND(rmsfe_Pivot_T1!K26,2)&amp;IF(rmsfe_Pivot_T1!AW26=1,"**",IF(rmsfe_Pivot_T1!AC26=1,"*",""))</f>
        <v>1</v>
      </c>
      <c r="M24" s="14" t="str">
        <f>ROUND(rmsfe_Pivot_T1!L26,2)&amp;IF(rmsfe_Pivot_T1!AX26=1,"**",IF(rmsfe_Pivot_T1!AD26=1,"*",""))</f>
        <v>1</v>
      </c>
      <c r="N24" s="14" t="str">
        <f>ROUND(rmsfe_Pivot_T1!M26,2)&amp;IF(rmsfe_Pivot_T1!AY26=1,"**",IF(rmsfe_Pivot_T1!AE26=1,"*",""))</f>
        <v>1</v>
      </c>
      <c r="O24" s="14" t="str">
        <f>ROUND(rmsfe_Pivot_T1!N26,2)&amp;IF(rmsfe_Pivot_T1!AZ26=1,"**",IF(rmsfe_Pivot_T1!AF26=1,"*",""))</f>
        <v>1</v>
      </c>
      <c r="P24" s="14" t="str">
        <f>ROUND(rmsfe_Pivot_T1!O26,2)&amp;IF(rmsfe_Pivot_T1!BA26=1,"**",IF(rmsfe_Pivot_T1!AG26=1,"*",""))</f>
        <v>1</v>
      </c>
      <c r="Q24" s="14" t="str">
        <f>ROUND(rmsfe_Pivot_T1!P26,2)&amp;IF(rmsfe_Pivot_T1!BB26=1,"**",IF(rmsfe_Pivot_T1!AH26=1,"*",""))</f>
        <v>1</v>
      </c>
      <c r="R24" s="15" t="str">
        <f>rmsfe_Pivot_T1!AI26&amp;"/"&amp;rmsfe_Pivot_T1!BC26</f>
        <v>0/0</v>
      </c>
      <c r="U24">
        <f>7+4+2</f>
        <v>13</v>
      </c>
      <c r="V24">
        <f>6+4+1</f>
        <v>11</v>
      </c>
    </row>
    <row r="25" spans="2:22" x14ac:dyDescent="0.25">
      <c r="B25" t="str">
        <f>rmsfe_Pivot_T1!A27</f>
        <v>ZS\&amp;POOL</v>
      </c>
      <c r="C25" s="14" t="str">
        <f>ROUND(rmsfe_Pivot_T1!B27,2)&amp;IF(rmsfe_Pivot_T1!AN27=1,"**",IF(rmsfe_Pivot_T1!T27=1,"*",""))</f>
        <v>0,74*</v>
      </c>
      <c r="D25" s="14" t="str">
        <f>ROUND(rmsfe_Pivot_T1!C27,2)&amp;IF(rmsfe_Pivot_T1!AO27=1,"**",IF(rmsfe_Pivot_T1!U27=1,"*",""))</f>
        <v>1,03</v>
      </c>
      <c r="E25" s="14" t="str">
        <f>ROUND(rmsfe_Pivot_T1!D27,2)&amp;IF(rmsfe_Pivot_T1!AP27=1,"**",IF(rmsfe_Pivot_T1!V27=1,"*",""))</f>
        <v>0,96</v>
      </c>
      <c r="F25" s="14" t="str">
        <f>ROUND(rmsfe_Pivot_T1!E27,2)&amp;IF(rmsfe_Pivot_T1!AQ27=1,"**",IF(rmsfe_Pivot_T1!W27=1,"*",""))</f>
        <v>0,89**</v>
      </c>
      <c r="G25" s="14" t="str">
        <f>ROUND(rmsfe_Pivot_T1!F27,2)&amp;IF(rmsfe_Pivot_T1!AR27=1,"**",IF(rmsfe_Pivot_T1!X27=1,"*",""))</f>
        <v>0,92</v>
      </c>
      <c r="H25" s="14" t="str">
        <f>ROUND(rmsfe_Pivot_T1!G27,2)&amp;IF(rmsfe_Pivot_T1!AS27=1,"**",IF(rmsfe_Pivot_T1!Y27=1,"*",""))</f>
        <v>0,96**</v>
      </c>
      <c r="I25" s="14" t="str">
        <f>ROUND(rmsfe_Pivot_T1!H27,2)&amp;IF(rmsfe_Pivot_T1!AT27=1,"**",IF(rmsfe_Pivot_T1!Z27=1,"*",""))</f>
        <v>0,94**</v>
      </c>
      <c r="J25" s="14" t="str">
        <f>ROUND(rmsfe_Pivot_T1!I27,2)&amp;IF(rmsfe_Pivot_T1!AU27=1,"**",IF(rmsfe_Pivot_T1!AA27=1,"*",""))</f>
        <v>1,05</v>
      </c>
      <c r="K25" s="14" t="str">
        <f>ROUND(rmsfe_Pivot_T1!J27,2)&amp;IF(rmsfe_Pivot_T1!AV27=1,"**",IF(rmsfe_Pivot_T1!AB27=1,"*",""))</f>
        <v>1,03</v>
      </c>
      <c r="L25" s="14" t="str">
        <f>ROUND(rmsfe_Pivot_T1!K27,2)&amp;IF(rmsfe_Pivot_T1!AW27=1,"**",IF(rmsfe_Pivot_T1!AC27=1,"*",""))</f>
        <v>0,92**</v>
      </c>
      <c r="M25" s="14" t="str">
        <f>ROUND(rmsfe_Pivot_T1!L27,2)&amp;IF(rmsfe_Pivot_T1!AX27=1,"**",IF(rmsfe_Pivot_T1!AD27=1,"*",""))</f>
        <v>0,98**</v>
      </c>
      <c r="N25" s="14" t="str">
        <f>ROUND(rmsfe_Pivot_T1!M27,2)&amp;IF(rmsfe_Pivot_T1!AY27=1,"**",IF(rmsfe_Pivot_T1!AE27=1,"*",""))</f>
        <v>0,96</v>
      </c>
      <c r="O25" s="14" t="str">
        <f>ROUND(rmsfe_Pivot_T1!N27,2)&amp;IF(rmsfe_Pivot_T1!AZ27=1,"**",IF(rmsfe_Pivot_T1!AF27=1,"*",""))</f>
        <v>1,21</v>
      </c>
      <c r="P25" s="14" t="str">
        <f>ROUND(rmsfe_Pivot_T1!O27,2)&amp;IF(rmsfe_Pivot_T1!BA27=1,"**",IF(rmsfe_Pivot_T1!AG27=1,"*",""))</f>
        <v>0,85**</v>
      </c>
      <c r="Q25" s="14" t="str">
        <f>ROUND(rmsfe_Pivot_T1!P27,2)&amp;IF(rmsfe_Pivot_T1!BB27=1,"**",IF(rmsfe_Pivot_T1!AH27=1,"*",""))</f>
        <v>0,93**</v>
      </c>
      <c r="R25" s="15" t="str">
        <f>rmsfe_Pivot_T1!AI27&amp;"/"&amp;rmsfe_Pivot_T1!BC27</f>
        <v>8/7</v>
      </c>
    </row>
    <row r="26" spans="2:22" x14ac:dyDescent="0.25">
      <c r="B26" t="str">
        <f>rmsfe_Pivot_T1!A28</f>
        <v>POOL</v>
      </c>
      <c r="C26" s="14" t="str">
        <f>ROUND(rmsfe_Pivot_T1!B28,2)&amp;IF(rmsfe_Pivot_T1!AN28=1,"**",IF(rmsfe_Pivot_T1!T28=1,"*",""))</f>
        <v>0,61**</v>
      </c>
      <c r="D26" s="14" t="str">
        <f>ROUND(rmsfe_Pivot_T1!C28,2)&amp;IF(rmsfe_Pivot_T1!AO28=1,"**",IF(rmsfe_Pivot_T1!U28=1,"*",""))</f>
        <v>0,93**</v>
      </c>
      <c r="E26" s="14" t="str">
        <f>ROUND(rmsfe_Pivot_T1!D28,2)&amp;IF(rmsfe_Pivot_T1!AP28=1,"**",IF(rmsfe_Pivot_T1!V28=1,"*",""))</f>
        <v>0,98</v>
      </c>
      <c r="F26" s="14" t="str">
        <f>ROUND(rmsfe_Pivot_T1!E28,2)&amp;IF(rmsfe_Pivot_T1!AQ28=1,"**",IF(rmsfe_Pivot_T1!W28=1,"*",""))</f>
        <v>0,78**</v>
      </c>
      <c r="G26" s="14" t="str">
        <f>ROUND(rmsfe_Pivot_T1!F28,2)&amp;IF(rmsfe_Pivot_T1!AR28=1,"**",IF(rmsfe_Pivot_T1!X28=1,"*",""))</f>
        <v>0,97</v>
      </c>
      <c r="H26" s="14" t="str">
        <f>ROUND(rmsfe_Pivot_T1!G28,2)&amp;IF(rmsfe_Pivot_T1!AS28=1,"**",IF(rmsfe_Pivot_T1!Y28=1,"*",""))</f>
        <v>1</v>
      </c>
      <c r="I26" s="14" t="str">
        <f>ROUND(rmsfe_Pivot_T1!H28,2)&amp;IF(rmsfe_Pivot_T1!AT28=1,"**",IF(rmsfe_Pivot_T1!Z28=1,"*",""))</f>
        <v>1</v>
      </c>
      <c r="J26" s="14" t="str">
        <f>ROUND(rmsfe_Pivot_T1!I28,2)&amp;IF(rmsfe_Pivot_T1!AU28=1,"**",IF(rmsfe_Pivot_T1!AA28=1,"*",""))</f>
        <v>1</v>
      </c>
      <c r="K26" s="14" t="str">
        <f>ROUND(rmsfe_Pivot_T1!J28,2)&amp;IF(rmsfe_Pivot_T1!AV28=1,"**",IF(rmsfe_Pivot_T1!AB28=1,"*",""))</f>
        <v>0,98</v>
      </c>
      <c r="L26" s="14" t="str">
        <f>ROUND(rmsfe_Pivot_T1!K28,2)&amp;IF(rmsfe_Pivot_T1!AW28=1,"**",IF(rmsfe_Pivot_T1!AC28=1,"*",""))</f>
        <v>0,86**</v>
      </c>
      <c r="M26" s="14" t="str">
        <f>ROUND(rmsfe_Pivot_T1!L28,2)&amp;IF(rmsfe_Pivot_T1!AX28=1,"**",IF(rmsfe_Pivot_T1!AD28=1,"*",""))</f>
        <v>1</v>
      </c>
      <c r="N26" s="14" t="str">
        <f>ROUND(rmsfe_Pivot_T1!M28,2)&amp;IF(rmsfe_Pivot_T1!AY28=1,"**",IF(rmsfe_Pivot_T1!AE28=1,"*",""))</f>
        <v>1,01</v>
      </c>
      <c r="O26" s="14" t="str">
        <f>ROUND(rmsfe_Pivot_T1!N28,2)&amp;IF(rmsfe_Pivot_T1!AZ28=1,"**",IF(rmsfe_Pivot_T1!AF28=1,"*",""))</f>
        <v>1,15</v>
      </c>
      <c r="P26" s="14" t="str">
        <f>ROUND(rmsfe_Pivot_T1!O28,2)&amp;IF(rmsfe_Pivot_T1!BA28=1,"**",IF(rmsfe_Pivot_T1!AG28=1,"*",""))</f>
        <v>0,59**</v>
      </c>
      <c r="Q26" s="14" t="str">
        <f>ROUND(rmsfe_Pivot_T1!P28,2)&amp;IF(rmsfe_Pivot_T1!BB28=1,"**",IF(rmsfe_Pivot_T1!AH28=1,"*",""))</f>
        <v>0,94**</v>
      </c>
      <c r="R26" s="15" t="str">
        <f>rmsfe_Pivot_T1!AI28&amp;"/"&amp;rmsfe_Pivot_T1!BC28</f>
        <v>6/6</v>
      </c>
    </row>
    <row r="27" spans="2:22" x14ac:dyDescent="0.25">
      <c r="B27" t="str">
        <f>rmsfe_Pivot_T1!A29</f>
        <v>ZSGL</v>
      </c>
      <c r="C27" s="14" t="str">
        <f>ROUND(rmsfe_Pivot_T1!B29,2)&amp;IF(rmsfe_Pivot_T1!AN29=1,"**",IF(rmsfe_Pivot_T1!T29=1,"*",""))</f>
        <v>0,78**</v>
      </c>
      <c r="D27" s="14" t="str">
        <f>ROUND(rmsfe_Pivot_T1!C29,2)&amp;IF(rmsfe_Pivot_T1!AO29=1,"**",IF(rmsfe_Pivot_T1!U29=1,"*",""))</f>
        <v>0,97**</v>
      </c>
      <c r="E27" s="14" t="str">
        <f>ROUND(rmsfe_Pivot_T1!D29,2)&amp;IF(rmsfe_Pivot_T1!AP29=1,"**",IF(rmsfe_Pivot_T1!V29=1,"*",""))</f>
        <v>1,02</v>
      </c>
      <c r="F27" s="14" t="str">
        <f>ROUND(rmsfe_Pivot_T1!E29,2)&amp;IF(rmsfe_Pivot_T1!AQ29=1,"**",IF(rmsfe_Pivot_T1!W29=1,"*",""))</f>
        <v>0,95*</v>
      </c>
      <c r="G27" s="14" t="str">
        <f>ROUND(rmsfe_Pivot_T1!F29,2)&amp;IF(rmsfe_Pivot_T1!AR29=1,"**",IF(rmsfe_Pivot_T1!X29=1,"*",""))</f>
        <v>0,94**</v>
      </c>
      <c r="H27" s="14" t="str">
        <f>ROUND(rmsfe_Pivot_T1!G29,2)&amp;IF(rmsfe_Pivot_T1!AS29=1,"**",IF(rmsfe_Pivot_T1!Y29=1,"*",""))</f>
        <v>0,98</v>
      </c>
      <c r="I27" s="14" t="str">
        <f>ROUND(rmsfe_Pivot_T1!H29,2)&amp;IF(rmsfe_Pivot_T1!AT29=1,"**",IF(rmsfe_Pivot_T1!Z29=1,"*",""))</f>
        <v>0,99*</v>
      </c>
      <c r="J27" s="14" t="str">
        <f>ROUND(rmsfe_Pivot_T1!I29,2)&amp;IF(rmsfe_Pivot_T1!AU29=1,"**",IF(rmsfe_Pivot_T1!AA29=1,"*",""))</f>
        <v>0,93**</v>
      </c>
      <c r="K27" s="14" t="str">
        <f>ROUND(rmsfe_Pivot_T1!J29,2)&amp;IF(rmsfe_Pivot_T1!AV29=1,"**",IF(rmsfe_Pivot_T1!AB29=1,"*",""))</f>
        <v>1,03</v>
      </c>
      <c r="L27" s="14" t="str">
        <f>ROUND(rmsfe_Pivot_T1!K29,2)&amp;IF(rmsfe_Pivot_T1!AW29=1,"**",IF(rmsfe_Pivot_T1!AC29=1,"*",""))</f>
        <v>1</v>
      </c>
      <c r="M27" s="14" t="str">
        <f>ROUND(rmsfe_Pivot_T1!L29,2)&amp;IF(rmsfe_Pivot_T1!AX29=1,"**",IF(rmsfe_Pivot_T1!AD29=1,"*",""))</f>
        <v>0,99**</v>
      </c>
      <c r="N27" s="14" t="str">
        <f>ROUND(rmsfe_Pivot_T1!M29,2)&amp;IF(rmsfe_Pivot_T1!AY29=1,"**",IF(rmsfe_Pivot_T1!AE29=1,"*",""))</f>
        <v>1</v>
      </c>
      <c r="O27" s="14" t="str">
        <f>ROUND(rmsfe_Pivot_T1!N29,2)&amp;IF(rmsfe_Pivot_T1!AZ29=1,"**",IF(rmsfe_Pivot_T1!AF29=1,"*",""))</f>
        <v>0,9**</v>
      </c>
      <c r="P27" s="14" t="str">
        <f>ROUND(rmsfe_Pivot_T1!O29,2)&amp;IF(rmsfe_Pivot_T1!BA29=1,"**",IF(rmsfe_Pivot_T1!AG29=1,"*",""))</f>
        <v>0,81**</v>
      </c>
      <c r="Q27" s="14" t="str">
        <f>ROUND(rmsfe_Pivot_T1!P29,2)&amp;IF(rmsfe_Pivot_T1!BB29=1,"**",IF(rmsfe_Pivot_T1!AH29=1,"*",""))</f>
        <v>1,02</v>
      </c>
      <c r="R27" s="15" t="str">
        <f>rmsfe_Pivot_T1!AI29&amp;"/"&amp;rmsfe_Pivot_T1!BC29</f>
        <v>9/7</v>
      </c>
    </row>
    <row r="28" spans="2:22" x14ac:dyDescent="0.25">
      <c r="B28" t="str">
        <f>rmsfe_Pivot_T1!A30</f>
        <v>J</v>
      </c>
      <c r="C28" s="14" t="str">
        <f>ROUND(rmsfe_Pivot_T1!B30,2)&amp;IF(rmsfe_Pivot_T1!AN30=1,"**",IF(rmsfe_Pivot_T1!T30=1,"*",""))</f>
        <v>0,35**</v>
      </c>
      <c r="D28" s="14" t="str">
        <f>ROUND(rmsfe_Pivot_T1!C30,2)&amp;IF(rmsfe_Pivot_T1!AO30=1,"**",IF(rmsfe_Pivot_T1!U30=1,"*",""))</f>
        <v>0,89**</v>
      </c>
      <c r="E28" s="14" t="str">
        <f>ROUND(rmsfe_Pivot_T1!D30,2)&amp;IF(rmsfe_Pivot_T1!AP30=1,"**",IF(rmsfe_Pivot_T1!V30=1,"*",""))</f>
        <v>0,94</v>
      </c>
      <c r="F28" s="14" t="str">
        <f>ROUND(rmsfe_Pivot_T1!E30,2)&amp;IF(rmsfe_Pivot_T1!AQ30=1,"**",IF(rmsfe_Pivot_T1!W30=1,"*",""))</f>
        <v>0,2**</v>
      </c>
      <c r="G28" s="14" t="str">
        <f>ROUND(rmsfe_Pivot_T1!F30,2)&amp;IF(rmsfe_Pivot_T1!AR30=1,"**",IF(rmsfe_Pivot_T1!X30=1,"*",""))</f>
        <v>0,83*</v>
      </c>
      <c r="H28" s="14" t="str">
        <f>ROUND(rmsfe_Pivot_T1!G30,2)&amp;IF(rmsfe_Pivot_T1!AS30=1,"**",IF(rmsfe_Pivot_T1!Y30=1,"*",""))</f>
        <v>0,98</v>
      </c>
      <c r="I28" s="14" t="str">
        <f>ROUND(rmsfe_Pivot_T1!H30,2)&amp;IF(rmsfe_Pivot_T1!AT30=1,"**",IF(rmsfe_Pivot_T1!Z30=1,"*",""))</f>
        <v>1,06</v>
      </c>
      <c r="J28" s="14" t="str">
        <f>ROUND(rmsfe_Pivot_T1!I30,2)&amp;IF(rmsfe_Pivot_T1!AU30=1,"**",IF(rmsfe_Pivot_T1!AA30=1,"*",""))</f>
        <v>0,97</v>
      </c>
      <c r="K28" s="14" t="str">
        <f>ROUND(rmsfe_Pivot_T1!J30,2)&amp;IF(rmsfe_Pivot_T1!AV30=1,"**",IF(rmsfe_Pivot_T1!AB30=1,"*",""))</f>
        <v>1,02</v>
      </c>
      <c r="L28" s="14" t="str">
        <f>ROUND(rmsfe_Pivot_T1!K30,2)&amp;IF(rmsfe_Pivot_T1!AW30=1,"**",IF(rmsfe_Pivot_T1!AC30=1,"*",""))</f>
        <v>0,76**</v>
      </c>
      <c r="M28" s="14" t="str">
        <f>ROUND(rmsfe_Pivot_T1!L30,2)&amp;IF(rmsfe_Pivot_T1!AX30=1,"**",IF(rmsfe_Pivot_T1!AD30=1,"*",""))</f>
        <v>0,99</v>
      </c>
      <c r="N28" s="14" t="str">
        <f>ROUND(rmsfe_Pivot_T1!M30,2)&amp;IF(rmsfe_Pivot_T1!AY30=1,"**",IF(rmsfe_Pivot_T1!AE30=1,"*",""))</f>
        <v>0,98</v>
      </c>
      <c r="O28" s="14" t="str">
        <f>ROUND(rmsfe_Pivot_T1!N30,2)&amp;IF(rmsfe_Pivot_T1!AZ30=1,"**",IF(rmsfe_Pivot_T1!AF30=1,"*",""))</f>
        <v>0,97</v>
      </c>
      <c r="P28" s="14" t="str">
        <f>ROUND(rmsfe_Pivot_T1!O30,2)&amp;IF(rmsfe_Pivot_T1!BA30=1,"**",IF(rmsfe_Pivot_T1!AG30=1,"*",""))</f>
        <v>0,39**</v>
      </c>
      <c r="Q28" s="14" t="str">
        <f>ROUND(rmsfe_Pivot_T1!P30,2)&amp;IF(rmsfe_Pivot_T1!BB30=1,"**",IF(rmsfe_Pivot_T1!AH30=1,"*",""))</f>
        <v>0,81**</v>
      </c>
      <c r="R28" s="15" t="str">
        <f>rmsfe_Pivot_T1!AI30&amp;"/"&amp;rmsfe_Pivot_T1!BC30</f>
        <v>7/6</v>
      </c>
      <c r="T28" t="str">
        <f t="shared" ref="T28" si="1">B28&amp;"&amp;"&amp;C28&amp;"&amp;"&amp;D28&amp;"&amp;"&amp;E28&amp;"&amp;"&amp;F28&amp;"&amp;"&amp;G28&amp;"&amp;"&amp;H28&amp;"&amp;"&amp;I28&amp;"&amp;"&amp;J28&amp;"&amp;"&amp;K28&amp;"&amp;"&amp;L28&amp;"&amp;"&amp;M28&amp;"&amp;"&amp;N28&amp;"&amp;"&amp;O28&amp;"&amp;"&amp;P28&amp;"&amp;"&amp;Q28&amp;"&amp;"&amp;R28&amp;"\\"</f>
        <v>J&amp;0,35**&amp;0,89**&amp;0,94&amp;0,2**&amp;0,83*&amp;0,98&amp;1,06&amp;0,97&amp;1,02&amp;0,76**&amp;0,99&amp;0,98&amp;0,97&amp;0,39**&amp;0,81**&amp;7/6\\</v>
      </c>
    </row>
    <row r="29" spans="2:22" x14ac:dyDescent="0.25">
      <c r="B29" t="str">
        <f>rmsfe_Pivot_T1!A31</f>
        <v>BFCS</v>
      </c>
      <c r="C29" s="14" t="str">
        <f>ROUND(rmsfe_Pivot_T1!B31,2)&amp;IF(rmsfe_Pivot_T1!AN31=1,"**",IF(rmsfe_Pivot_T1!T31=1,"*",""))</f>
        <v>2,53</v>
      </c>
      <c r="D29" s="14" t="str">
        <f>ROUND(rmsfe_Pivot_T1!C31,2)&amp;IF(rmsfe_Pivot_T1!AO31=1,"**",IF(rmsfe_Pivot_T1!U31=1,"*",""))</f>
        <v>6,06</v>
      </c>
      <c r="E29" s="14" t="str">
        <f>ROUND(rmsfe_Pivot_T1!D31,2)&amp;IF(rmsfe_Pivot_T1!AP31=1,"**",IF(rmsfe_Pivot_T1!V31=1,"*",""))</f>
        <v>3,89</v>
      </c>
      <c r="F29" s="14" t="str">
        <f>ROUND(rmsfe_Pivot_T1!E31,2)&amp;IF(rmsfe_Pivot_T1!AQ31=1,"**",IF(rmsfe_Pivot_T1!W31=1,"*",""))</f>
        <v>5,97</v>
      </c>
      <c r="G29" s="14" t="str">
        <f>ROUND(rmsfe_Pivot_T1!F31,2)&amp;IF(rmsfe_Pivot_T1!AR31=1,"**",IF(rmsfe_Pivot_T1!X31=1,"*",""))</f>
        <v>8,21</v>
      </c>
      <c r="H29" s="14" t="str">
        <f>ROUND(rmsfe_Pivot_T1!G31,2)&amp;IF(rmsfe_Pivot_T1!AS31=1,"**",IF(rmsfe_Pivot_T1!Y31=1,"*",""))</f>
        <v>5,42</v>
      </c>
      <c r="I29" s="14" t="str">
        <f>ROUND(rmsfe_Pivot_T1!H31,2)&amp;IF(rmsfe_Pivot_T1!AT31=1,"**",IF(rmsfe_Pivot_T1!Z31=1,"*",""))</f>
        <v>8,28</v>
      </c>
      <c r="J29" s="14" t="str">
        <f>ROUND(rmsfe_Pivot_T1!I31,2)&amp;IF(rmsfe_Pivot_T1!AU31=1,"**",IF(rmsfe_Pivot_T1!AA31=1,"*",""))</f>
        <v>5,29</v>
      </c>
      <c r="K29" s="14" t="str">
        <f>ROUND(rmsfe_Pivot_T1!J31,2)&amp;IF(rmsfe_Pivot_T1!AV31=1,"**",IF(rmsfe_Pivot_T1!AB31=1,"*",""))</f>
        <v>9,54</v>
      </c>
      <c r="L29" s="14" t="str">
        <f>ROUND(rmsfe_Pivot_T1!K31,2)&amp;IF(rmsfe_Pivot_T1!AW31=1,"**",IF(rmsfe_Pivot_T1!AC31=1,"*",""))</f>
        <v>8,92</v>
      </c>
      <c r="M29" s="14" t="str">
        <f>ROUND(rmsfe_Pivot_T1!L31,2)&amp;IF(rmsfe_Pivot_T1!AX31=1,"**",IF(rmsfe_Pivot_T1!AD31=1,"*",""))</f>
        <v>1,9</v>
      </c>
      <c r="N29" s="14" t="str">
        <f>ROUND(rmsfe_Pivot_T1!M31,2)&amp;IF(rmsfe_Pivot_T1!AY31=1,"**",IF(rmsfe_Pivot_T1!AE31=1,"*",""))</f>
        <v>4,84</v>
      </c>
      <c r="O29" s="14" t="str">
        <f>ROUND(rmsfe_Pivot_T1!N31,2)&amp;IF(rmsfe_Pivot_T1!AZ31=1,"**",IF(rmsfe_Pivot_T1!AF31=1,"*",""))</f>
        <v>3,45</v>
      </c>
      <c r="P29" s="14" t="str">
        <f>ROUND(rmsfe_Pivot_T1!O31,2)&amp;IF(rmsfe_Pivot_T1!BA31=1,"**",IF(rmsfe_Pivot_T1!AG31=1,"*",""))</f>
        <v>8,27</v>
      </c>
      <c r="Q29" s="14" t="str">
        <f>ROUND(rmsfe_Pivot_T1!P31,2)&amp;IF(rmsfe_Pivot_T1!BB31=1,"**",IF(rmsfe_Pivot_T1!AH31=1,"*",""))</f>
        <v>5,9</v>
      </c>
      <c r="R29" s="15" t="str">
        <f>rmsfe_Pivot_T1!AI31&amp;"/"&amp;rmsfe_Pivot_T1!BC31</f>
        <v>0/0</v>
      </c>
    </row>
    <row r="30" spans="2:22" x14ac:dyDescent="0.25">
      <c r="B30" t="str">
        <f>rmsfe_Pivot_T1!A32</f>
        <v>SSSS</v>
      </c>
      <c r="C30" s="14" t="str">
        <f>ROUND(rmsfe_Pivot_T1!B32,2)&amp;IF(rmsfe_Pivot_T1!AN32=1,"**",IF(rmsfe_Pivot_T1!T32=1,"*",""))</f>
        <v>1,91</v>
      </c>
      <c r="D30" s="14" t="str">
        <f>ROUND(rmsfe_Pivot_T1!C32,2)&amp;IF(rmsfe_Pivot_T1!AO32=1,"**",IF(rmsfe_Pivot_T1!U32=1,"*",""))</f>
        <v>1,95</v>
      </c>
      <c r="E30" s="14" t="str">
        <f>ROUND(rmsfe_Pivot_T1!D32,2)&amp;IF(rmsfe_Pivot_T1!AP32=1,"**",IF(rmsfe_Pivot_T1!V32=1,"*",""))</f>
        <v>2,05</v>
      </c>
      <c r="F30" s="14" t="str">
        <f>ROUND(rmsfe_Pivot_T1!E32,2)&amp;IF(rmsfe_Pivot_T1!AQ32=1,"**",IF(rmsfe_Pivot_T1!W32=1,"*",""))</f>
        <v>2,29</v>
      </c>
      <c r="G30" s="14" t="str">
        <f>ROUND(rmsfe_Pivot_T1!F32,2)&amp;IF(rmsfe_Pivot_T1!AR32=1,"**",IF(rmsfe_Pivot_T1!X32=1,"*",""))</f>
        <v>2,04</v>
      </c>
      <c r="H30" s="14" t="str">
        <f>ROUND(rmsfe_Pivot_T1!G32,2)&amp;IF(rmsfe_Pivot_T1!AS32=1,"**",IF(rmsfe_Pivot_T1!Y32=1,"*",""))</f>
        <v>1,13</v>
      </c>
      <c r="I30" s="14" t="str">
        <f>ROUND(rmsfe_Pivot_T1!H32,2)&amp;IF(rmsfe_Pivot_T1!AT32=1,"**",IF(rmsfe_Pivot_T1!Z32=1,"*",""))</f>
        <v>1,98</v>
      </c>
      <c r="J30" s="14" t="str">
        <f>ROUND(rmsfe_Pivot_T1!I32,2)&amp;IF(rmsfe_Pivot_T1!AU32=1,"**",IF(rmsfe_Pivot_T1!AA32=1,"*",""))</f>
        <v>1,97</v>
      </c>
      <c r="K30" s="14" t="str">
        <f>ROUND(rmsfe_Pivot_T1!J32,2)&amp;IF(rmsfe_Pivot_T1!AV32=1,"**",IF(rmsfe_Pivot_T1!AB32=1,"*",""))</f>
        <v>2,35</v>
      </c>
      <c r="L30" s="14" t="str">
        <f>ROUND(rmsfe_Pivot_T1!K32,2)&amp;IF(rmsfe_Pivot_T1!AW32=1,"**",IF(rmsfe_Pivot_T1!AC32=1,"*",""))</f>
        <v>1,84</v>
      </c>
      <c r="M30" s="14" t="str">
        <f>ROUND(rmsfe_Pivot_T1!L32,2)&amp;IF(rmsfe_Pivot_T1!AX32=1,"**",IF(rmsfe_Pivot_T1!AD32=1,"*",""))</f>
        <v>1</v>
      </c>
      <c r="N30" s="14" t="str">
        <f>ROUND(rmsfe_Pivot_T1!M32,2)&amp;IF(rmsfe_Pivot_T1!AY32=1,"**",IF(rmsfe_Pivot_T1!AE32=1,"*",""))</f>
        <v>1,81</v>
      </c>
      <c r="O30" s="14" t="str">
        <f>ROUND(rmsfe_Pivot_T1!N32,2)&amp;IF(rmsfe_Pivot_T1!AZ32=1,"**",IF(rmsfe_Pivot_T1!AF32=1,"*",""))</f>
        <v>2,44</v>
      </c>
      <c r="P30" s="14" t="str">
        <f>ROUND(rmsfe_Pivot_T1!O32,2)&amp;IF(rmsfe_Pivot_T1!BA32=1,"**",IF(rmsfe_Pivot_T1!AG32=1,"*",""))</f>
        <v>1,91</v>
      </c>
      <c r="Q30" s="14" t="str">
        <f>ROUND(rmsfe_Pivot_T1!P32,2)&amp;IF(rmsfe_Pivot_T1!BB32=1,"**",IF(rmsfe_Pivot_T1!AH32=1,"*",""))</f>
        <v>1,78</v>
      </c>
      <c r="R30" s="15" t="str">
        <f>rmsfe_Pivot_T1!AI32&amp;"/"&amp;rmsfe_Pivot_T1!BC32</f>
        <v>0/0</v>
      </c>
    </row>
    <row r="31" spans="2:22" x14ac:dyDescent="0.25">
      <c r="B31" t="str">
        <f>rmsfe_Pivot_T1!A33</f>
        <v>BMS</v>
      </c>
      <c r="C31" s="14" t="str">
        <f>ROUND(rmsfe_Pivot_T1!B33,2)&amp;IF(rmsfe_Pivot_T1!AN33=1,"**",IF(rmsfe_Pivot_T1!T33=1,"*",""))</f>
        <v>1,29</v>
      </c>
      <c r="D31" s="14" t="str">
        <f>ROUND(rmsfe_Pivot_T1!C33,2)&amp;IF(rmsfe_Pivot_T1!AO33=1,"**",IF(rmsfe_Pivot_T1!U33=1,"*",""))</f>
        <v>3,79</v>
      </c>
      <c r="E31" s="14" t="str">
        <f>ROUND(rmsfe_Pivot_T1!D33,2)&amp;IF(rmsfe_Pivot_T1!AP33=1,"**",IF(rmsfe_Pivot_T1!V33=1,"*",""))</f>
        <v>2,72</v>
      </c>
      <c r="F31" s="14" t="str">
        <f>ROUND(rmsfe_Pivot_T1!E33,2)&amp;IF(rmsfe_Pivot_T1!AQ33=1,"**",IF(rmsfe_Pivot_T1!W33=1,"*",""))</f>
        <v>4,98</v>
      </c>
      <c r="G31" s="14" t="str">
        <f>ROUND(rmsfe_Pivot_T1!F33,2)&amp;IF(rmsfe_Pivot_T1!AR33=1,"**",IF(rmsfe_Pivot_T1!X33=1,"*",""))</f>
        <v>3,62</v>
      </c>
      <c r="H31" s="14" t="str">
        <f>ROUND(rmsfe_Pivot_T1!G33,2)&amp;IF(rmsfe_Pivot_T1!AS33=1,"**",IF(rmsfe_Pivot_T1!Y33=1,"*",""))</f>
        <v>2,26</v>
      </c>
      <c r="I31" s="14" t="str">
        <f>ROUND(rmsfe_Pivot_T1!H33,2)&amp;IF(rmsfe_Pivot_T1!AT33=1,"**",IF(rmsfe_Pivot_T1!Z33=1,"*",""))</f>
        <v>3,85</v>
      </c>
      <c r="J31" s="14" t="str">
        <f>ROUND(rmsfe_Pivot_T1!I33,2)&amp;IF(rmsfe_Pivot_T1!AU33=1,"**",IF(rmsfe_Pivot_T1!AA33=1,"*",""))</f>
        <v>3,48</v>
      </c>
      <c r="K31" s="14" t="str">
        <f>ROUND(rmsfe_Pivot_T1!J33,2)&amp;IF(rmsfe_Pivot_T1!AV33=1,"**",IF(rmsfe_Pivot_T1!AB33=1,"*",""))</f>
        <v>4,68</v>
      </c>
      <c r="L31" s="14" t="str">
        <f>ROUND(rmsfe_Pivot_T1!K33,2)&amp;IF(rmsfe_Pivot_T1!AW33=1,"**",IF(rmsfe_Pivot_T1!AC33=1,"*",""))</f>
        <v>3,93</v>
      </c>
      <c r="M31" s="14" t="str">
        <f>ROUND(rmsfe_Pivot_T1!L33,2)&amp;IF(rmsfe_Pivot_T1!AX33=1,"**",IF(rmsfe_Pivot_T1!AD33=1,"*",""))</f>
        <v>1,52</v>
      </c>
      <c r="N31" s="14" t="str">
        <f>ROUND(rmsfe_Pivot_T1!M33,2)&amp;IF(rmsfe_Pivot_T1!AY33=1,"**",IF(rmsfe_Pivot_T1!AE33=1,"*",""))</f>
        <v>2,79</v>
      </c>
      <c r="O31" s="14" t="str">
        <f>ROUND(rmsfe_Pivot_T1!N33,2)&amp;IF(rmsfe_Pivot_T1!AZ33=1,"**",IF(rmsfe_Pivot_T1!AF33=1,"*",""))</f>
        <v>3,88</v>
      </c>
      <c r="P31" s="14" t="str">
        <f>ROUND(rmsfe_Pivot_T1!O33,2)&amp;IF(rmsfe_Pivot_T1!BA33=1,"**",IF(rmsfe_Pivot_T1!AG33=1,"*",""))</f>
        <v>3,03</v>
      </c>
      <c r="Q31" s="14" t="str">
        <f>ROUND(rmsfe_Pivot_T1!P33,2)&amp;IF(rmsfe_Pivot_T1!BB33=1,"**",IF(rmsfe_Pivot_T1!AH33=1,"*",""))</f>
        <v>3,07</v>
      </c>
      <c r="R31" s="15" t="str">
        <f>rmsfe_Pivot_T1!AI33&amp;"/"&amp;rmsfe_Pivot_T1!BC33</f>
        <v>0/0</v>
      </c>
    </row>
    <row r="32" spans="2:22" x14ac:dyDescent="0.25">
      <c r="B32" s="11" t="str">
        <f>rmsfe_Pivot_T1!A34</f>
        <v>CC</v>
      </c>
      <c r="C32" s="16" t="str">
        <f>ROUND(rmsfe_Pivot_T1!B34,2)&amp;IF(rmsfe_Pivot_T1!AN34=1,"**",IF(rmsfe_Pivot_T1!T34=1,"*",""))</f>
        <v>2,22</v>
      </c>
      <c r="D32" s="16" t="str">
        <f>ROUND(rmsfe_Pivot_T1!C34,2)&amp;IF(rmsfe_Pivot_T1!AO34=1,"**",IF(rmsfe_Pivot_T1!U34=1,"*",""))</f>
        <v>5,35</v>
      </c>
      <c r="E32" s="16" t="str">
        <f>ROUND(rmsfe_Pivot_T1!D34,2)&amp;IF(rmsfe_Pivot_T1!AP34=1,"**",IF(rmsfe_Pivot_T1!V34=1,"*",""))</f>
        <v>3,6</v>
      </c>
      <c r="F32" s="16" t="str">
        <f>ROUND(rmsfe_Pivot_T1!E34,2)&amp;IF(rmsfe_Pivot_T1!AQ34=1,"**",IF(rmsfe_Pivot_T1!W34=1,"*",""))</f>
        <v>5,08</v>
      </c>
      <c r="G32" s="16" t="str">
        <f>ROUND(rmsfe_Pivot_T1!F34,2)&amp;IF(rmsfe_Pivot_T1!AR34=1,"**",IF(rmsfe_Pivot_T1!X34=1,"*",""))</f>
        <v>5,41</v>
      </c>
      <c r="H32" s="16" t="str">
        <f>ROUND(rmsfe_Pivot_T1!G34,2)&amp;IF(rmsfe_Pivot_T1!AS34=1,"**",IF(rmsfe_Pivot_T1!Y34=1,"*",""))</f>
        <v>2,18</v>
      </c>
      <c r="I32" s="16" t="str">
        <f>ROUND(rmsfe_Pivot_T1!H34,2)&amp;IF(rmsfe_Pivot_T1!AT34=1,"**",IF(rmsfe_Pivot_T1!Z34=1,"*",""))</f>
        <v>5,72</v>
      </c>
      <c r="J32" s="16" t="str">
        <f>ROUND(rmsfe_Pivot_T1!I34,2)&amp;IF(rmsfe_Pivot_T1!AU34=1,"**",IF(rmsfe_Pivot_T1!AA34=1,"*",""))</f>
        <v>5,03</v>
      </c>
      <c r="K32" s="16" t="str">
        <f>ROUND(rmsfe_Pivot_T1!J34,2)&amp;IF(rmsfe_Pivot_T1!AV34=1,"**",IF(rmsfe_Pivot_T1!AB34=1,"*",""))</f>
        <v>7,79</v>
      </c>
      <c r="L32" s="16" t="str">
        <f>ROUND(rmsfe_Pivot_T1!K34,2)&amp;IF(rmsfe_Pivot_T1!AW34=1,"**",IF(rmsfe_Pivot_T1!AC34=1,"*",""))</f>
        <v>5,5</v>
      </c>
      <c r="M32" s="16" t="str">
        <f>ROUND(rmsfe_Pivot_T1!L34,2)&amp;IF(rmsfe_Pivot_T1!AX34=1,"**",IF(rmsfe_Pivot_T1!AD34=1,"*",""))</f>
        <v>1,86</v>
      </c>
      <c r="N32" s="16" t="str">
        <f>ROUND(rmsfe_Pivot_T1!M34,2)&amp;IF(rmsfe_Pivot_T1!AY34=1,"**",IF(rmsfe_Pivot_T1!AE34=1,"*",""))</f>
        <v>3,74</v>
      </c>
      <c r="O32" s="16" t="str">
        <f>ROUND(rmsfe_Pivot_T1!N34,2)&amp;IF(rmsfe_Pivot_T1!AZ34=1,"**",IF(rmsfe_Pivot_T1!AF34=1,"*",""))</f>
        <v>9,17</v>
      </c>
      <c r="P32" s="16" t="str">
        <f>ROUND(rmsfe_Pivot_T1!O34,2)&amp;IF(rmsfe_Pivot_T1!BA34=1,"**",IF(rmsfe_Pivot_T1!AG34=1,"*",""))</f>
        <v>5,48</v>
      </c>
      <c r="Q32" s="16" t="str">
        <f>ROUND(rmsfe_Pivot_T1!P34,2)&amp;IF(rmsfe_Pivot_T1!BB34=1,"**",IF(rmsfe_Pivot_T1!AH34=1,"*",""))</f>
        <v>3,82</v>
      </c>
      <c r="R32" s="17" t="str">
        <f>rmsfe_Pivot_T1!AI34&amp;"/"&amp;rmsfe_Pivot_T1!BC34</f>
        <v>0/0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6"/>
  <sheetViews>
    <sheetView topLeftCell="A277" workbookViewId="0">
      <selection activeCell="I298" sqref="I298"/>
    </sheetView>
  </sheetViews>
  <sheetFormatPr defaultRowHeight="15" x14ac:dyDescent="0.25"/>
  <cols>
    <col min="1" max="1" width="24.28515625" bestFit="1" customWidth="1"/>
    <col min="2" max="9" width="12" bestFit="1" customWidth="1"/>
    <col min="10" max="10" width="9.140625" bestFit="1" customWidth="1"/>
    <col min="11" max="11" width="10.42578125" bestFit="1" customWidth="1"/>
    <col min="12" max="12" width="10.28515625" bestFit="1" customWidth="1"/>
    <col min="13" max="13" width="14.28515625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x14ac:dyDescent="0.25">
      <c r="A2" t="s">
        <v>1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0.34944554517433724</v>
      </c>
      <c r="C3">
        <v>0.69646050076297716</v>
      </c>
      <c r="D3">
        <v>0.2862575838807675</v>
      </c>
      <c r="E3">
        <v>0.1795103696546152</v>
      </c>
      <c r="F3">
        <v>0.52521877946450934</v>
      </c>
      <c r="G3">
        <v>0.34610489307806225</v>
      </c>
      <c r="H3">
        <v>0.24183013011901444</v>
      </c>
      <c r="I3">
        <v>0.17528815170494449</v>
      </c>
      <c r="J3" t="s">
        <v>198</v>
      </c>
      <c r="K3" t="s">
        <v>203</v>
      </c>
      <c r="L3" t="s">
        <v>209</v>
      </c>
      <c r="M3" t="s">
        <v>225</v>
      </c>
    </row>
    <row r="4" spans="1:13" x14ac:dyDescent="0.25">
      <c r="A4" t="s">
        <v>3</v>
      </c>
      <c r="B4">
        <v>0.26244486684324142</v>
      </c>
      <c r="C4">
        <v>0.90865096381382315</v>
      </c>
      <c r="D4">
        <v>0.49432843257918069</v>
      </c>
      <c r="E4">
        <v>0.16002123584878503</v>
      </c>
      <c r="F4">
        <v>0.57795875188045542</v>
      </c>
      <c r="G4">
        <v>0.3552965462730866</v>
      </c>
      <c r="H4">
        <v>0.13941367780752634</v>
      </c>
      <c r="I4">
        <v>0.84118327944137561</v>
      </c>
      <c r="J4" t="s">
        <v>198</v>
      </c>
      <c r="K4" t="s">
        <v>204</v>
      </c>
      <c r="L4" t="s">
        <v>209</v>
      </c>
      <c r="M4" t="s">
        <v>225</v>
      </c>
    </row>
    <row r="5" spans="1:13" x14ac:dyDescent="0.25">
      <c r="A5" t="s">
        <v>298</v>
      </c>
      <c r="B5">
        <v>0.83584222486751147</v>
      </c>
      <c r="C5">
        <v>0.8747975567360804</v>
      </c>
      <c r="D5">
        <v>0.83320355904990973</v>
      </c>
      <c r="E5">
        <v>0.94226278422729282</v>
      </c>
      <c r="F5">
        <v>0.91757383776579604</v>
      </c>
      <c r="G5">
        <v>0.92649851874680023</v>
      </c>
      <c r="H5">
        <v>0.96628741027342624</v>
      </c>
      <c r="I5">
        <v>0.94927222084300555</v>
      </c>
      <c r="J5" t="s">
        <v>198</v>
      </c>
      <c r="K5" t="s">
        <v>239</v>
      </c>
      <c r="L5" t="s">
        <v>209</v>
      </c>
      <c r="M5" t="s">
        <v>225</v>
      </c>
    </row>
    <row r="6" spans="1:13" x14ac:dyDescent="0.25">
      <c r="A6" t="s">
        <v>299</v>
      </c>
      <c r="B6">
        <v>0.24163806099265039</v>
      </c>
      <c r="C6">
        <v>0.85545927249797216</v>
      </c>
      <c r="D6">
        <v>0.60881643881853453</v>
      </c>
      <c r="E6">
        <v>9.8094874882002081E-2</v>
      </c>
      <c r="F6">
        <v>0.20798903295102944</v>
      </c>
      <c r="G6">
        <v>9.8116426903089193E-2</v>
      </c>
      <c r="H6">
        <v>0.11445302697831328</v>
      </c>
      <c r="I6">
        <v>0.62539829424087956</v>
      </c>
      <c r="J6" t="s">
        <v>198</v>
      </c>
      <c r="K6" t="s">
        <v>241</v>
      </c>
      <c r="L6" t="s">
        <v>209</v>
      </c>
      <c r="M6" t="s">
        <v>225</v>
      </c>
    </row>
    <row r="7" spans="1:13" x14ac:dyDescent="0.25">
      <c r="A7" t="s">
        <v>4</v>
      </c>
      <c r="B7">
        <v>4.7455206855513632E-2</v>
      </c>
      <c r="C7">
        <v>0.62068758592879336</v>
      </c>
      <c r="D7">
        <v>0.30408274420738324</v>
      </c>
      <c r="E7">
        <v>0.42777126959012768</v>
      </c>
      <c r="F7">
        <v>0.44156692701370304</v>
      </c>
      <c r="G7">
        <v>0.84020346087703923</v>
      </c>
      <c r="H7">
        <v>0.91397168820257058</v>
      </c>
      <c r="I7">
        <v>0.66262244625632283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0.38574195785343979</v>
      </c>
      <c r="C8">
        <v>0.89942126110385334</v>
      </c>
      <c r="D8">
        <v>0.88917890116492471</v>
      </c>
      <c r="E8">
        <v>0.90693278225246254</v>
      </c>
      <c r="F8">
        <v>0.8986287713185146</v>
      </c>
      <c r="G8">
        <v>0.89868885212760619</v>
      </c>
      <c r="H8">
        <v>0.92757697309526455</v>
      </c>
      <c r="I8">
        <v>0.91256099522897804</v>
      </c>
      <c r="J8" t="s">
        <v>198</v>
      </c>
      <c r="K8" t="s">
        <v>207</v>
      </c>
      <c r="L8" t="s">
        <v>209</v>
      </c>
      <c r="M8" t="s">
        <v>225</v>
      </c>
    </row>
    <row r="9" spans="1:13" x14ac:dyDescent="0.25">
      <c r="A9" t="s">
        <v>300</v>
      </c>
      <c r="B9">
        <v>0.70152050350742701</v>
      </c>
      <c r="C9">
        <v>0.96988889714733761</v>
      </c>
      <c r="D9">
        <v>0.81160201524080111</v>
      </c>
      <c r="E9">
        <v>0.381440731775889</v>
      </c>
      <c r="F9">
        <v>0.22359954948272365</v>
      </c>
      <c r="G9">
        <v>0.27631387433839572</v>
      </c>
      <c r="H9">
        <v>0.38194807640256045</v>
      </c>
      <c r="I9">
        <v>0.37245127606469108</v>
      </c>
      <c r="J9" t="s">
        <v>198</v>
      </c>
      <c r="K9" t="s">
        <v>233</v>
      </c>
      <c r="L9" t="s">
        <v>209</v>
      </c>
      <c r="M9" t="s">
        <v>225</v>
      </c>
    </row>
    <row r="10" spans="1:13" x14ac:dyDescent="0.25">
      <c r="A10" t="s">
        <v>5</v>
      </c>
      <c r="J10" t="s">
        <v>198</v>
      </c>
      <c r="K10" t="s">
        <v>202</v>
      </c>
      <c r="L10" t="s">
        <v>210</v>
      </c>
      <c r="M10" t="s">
        <v>225</v>
      </c>
    </row>
    <row r="11" spans="1:13" x14ac:dyDescent="0.25">
      <c r="A11" t="s">
        <v>6</v>
      </c>
      <c r="B11">
        <v>0.61017390817701145</v>
      </c>
      <c r="C11">
        <v>0.62610802849947489</v>
      </c>
      <c r="D11">
        <v>0.91873466471952125</v>
      </c>
      <c r="E11">
        <v>0.55582224856159024</v>
      </c>
      <c r="F11">
        <v>0.13245206398315068</v>
      </c>
      <c r="G11">
        <v>0.55962788431204558</v>
      </c>
      <c r="H11">
        <v>4.9001887630101493E-2</v>
      </c>
      <c r="I11">
        <v>0.24469025543975409</v>
      </c>
      <c r="J11" t="s">
        <v>198</v>
      </c>
      <c r="K11" t="s">
        <v>203</v>
      </c>
      <c r="L11" t="s">
        <v>210</v>
      </c>
      <c r="M11" t="s">
        <v>225</v>
      </c>
    </row>
    <row r="12" spans="1:13" x14ac:dyDescent="0.25">
      <c r="A12" t="s">
        <v>7</v>
      </c>
      <c r="B12">
        <v>0.31352760809258151</v>
      </c>
      <c r="C12">
        <v>0.91003608062201535</v>
      </c>
      <c r="D12">
        <v>0.99455700183788021</v>
      </c>
      <c r="E12">
        <v>0.5969378387231189</v>
      </c>
      <c r="F12">
        <v>0.13927043449785237</v>
      </c>
      <c r="G12">
        <v>0.83578387991836256</v>
      </c>
      <c r="H12">
        <v>0.67169953349630818</v>
      </c>
      <c r="I12">
        <v>0.74715797581197418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0.97040098064911262</v>
      </c>
      <c r="C13">
        <v>0.97188350653087008</v>
      </c>
      <c r="D13">
        <v>0.9781604539051123</v>
      </c>
      <c r="E13">
        <v>0.99173060206426356</v>
      </c>
      <c r="F13">
        <v>0.98893631120582237</v>
      </c>
      <c r="G13">
        <v>0.99130383017009616</v>
      </c>
      <c r="H13">
        <v>0.97537519641072978</v>
      </c>
      <c r="I13">
        <v>0.97451303094152886</v>
      </c>
      <c r="J13" t="s">
        <v>198</v>
      </c>
      <c r="K13" t="s">
        <v>239</v>
      </c>
      <c r="L13" t="s">
        <v>210</v>
      </c>
      <c r="M13" t="s">
        <v>225</v>
      </c>
    </row>
    <row r="14" spans="1:13" x14ac:dyDescent="0.25">
      <c r="A14" t="s">
        <v>302</v>
      </c>
      <c r="B14">
        <v>0.99995407213640175</v>
      </c>
      <c r="C14">
        <v>0.99817771759420792</v>
      </c>
      <c r="D14">
        <v>0.99984831618020342</v>
      </c>
      <c r="E14">
        <v>0.99948060950542161</v>
      </c>
      <c r="F14">
        <v>0.99266731985138423</v>
      </c>
      <c r="G14">
        <v>0.99578914801714347</v>
      </c>
      <c r="H14">
        <v>0.96280244085738254</v>
      </c>
      <c r="I14">
        <v>0.99391651352831434</v>
      </c>
      <c r="J14" t="s">
        <v>198</v>
      </c>
      <c r="K14" t="s">
        <v>241</v>
      </c>
      <c r="L14" t="s">
        <v>210</v>
      </c>
      <c r="M14" t="s">
        <v>225</v>
      </c>
    </row>
    <row r="15" spans="1:13" x14ac:dyDescent="0.25">
      <c r="A15" t="s">
        <v>8</v>
      </c>
      <c r="B15">
        <v>0.68961019792092926</v>
      </c>
      <c r="C15">
        <v>0.83874899514068657</v>
      </c>
      <c r="D15">
        <v>0.9695664128377085</v>
      </c>
      <c r="E15">
        <v>0.85314118747239598</v>
      </c>
      <c r="F15">
        <v>0.83763859563726484</v>
      </c>
      <c r="G15">
        <v>0.97763017913267714</v>
      </c>
      <c r="H15">
        <v>0.9585769665244992</v>
      </c>
      <c r="I15">
        <v>0.82349474732717642</v>
      </c>
      <c r="J15" t="s">
        <v>198</v>
      </c>
      <c r="K15" t="s">
        <v>206</v>
      </c>
      <c r="L15" t="s">
        <v>210</v>
      </c>
      <c r="M15" t="s">
        <v>225</v>
      </c>
    </row>
    <row r="16" spans="1:13" x14ac:dyDescent="0.25">
      <c r="A16" t="s">
        <v>262</v>
      </c>
      <c r="B16">
        <v>0.92256774501788341</v>
      </c>
      <c r="C16">
        <v>0.91884607478292735</v>
      </c>
      <c r="D16">
        <v>0.90808430913128757</v>
      </c>
      <c r="E16">
        <v>0.90520306527837913</v>
      </c>
      <c r="F16">
        <v>0.91197783159479129</v>
      </c>
      <c r="G16">
        <v>0.91517765779057481</v>
      </c>
      <c r="H16">
        <v>0.91029823089177819</v>
      </c>
      <c r="I16">
        <v>0.91599932984310195</v>
      </c>
      <c r="J16" t="s">
        <v>198</v>
      </c>
      <c r="K16" t="s">
        <v>207</v>
      </c>
      <c r="L16" t="s">
        <v>210</v>
      </c>
      <c r="M16" t="s">
        <v>225</v>
      </c>
    </row>
    <row r="17" spans="1:13" x14ac:dyDescent="0.25">
      <c r="A17" t="s">
        <v>303</v>
      </c>
      <c r="B17">
        <v>0.72183234990887746</v>
      </c>
      <c r="C17">
        <v>0.94690049754206973</v>
      </c>
      <c r="D17">
        <v>0.93274866312344418</v>
      </c>
      <c r="E17">
        <v>0.92122470967719983</v>
      </c>
      <c r="F17">
        <v>0.61589621233728753</v>
      </c>
      <c r="G17">
        <v>0.82296632458486552</v>
      </c>
      <c r="H17">
        <v>0.70943492826297838</v>
      </c>
      <c r="I17">
        <v>0.67122973665486685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J18" t="s">
        <v>198</v>
      </c>
      <c r="K18" t="s">
        <v>202</v>
      </c>
      <c r="L18" t="s">
        <v>211</v>
      </c>
      <c r="M18" t="s">
        <v>225</v>
      </c>
    </row>
    <row r="19" spans="1:13" x14ac:dyDescent="0.25">
      <c r="A19" t="s">
        <v>10</v>
      </c>
      <c r="B19">
        <v>0.40455445894393838</v>
      </c>
      <c r="C19">
        <v>0.60827887183249385</v>
      </c>
      <c r="D19">
        <v>0.85946066532326171</v>
      </c>
      <c r="E19">
        <v>0.16470757306308292</v>
      </c>
      <c r="F19">
        <v>0.77060972058831501</v>
      </c>
      <c r="G19">
        <v>0.70753675423611551</v>
      </c>
      <c r="H19">
        <v>0.85255725704849816</v>
      </c>
      <c r="I19">
        <v>0.36444900174298367</v>
      </c>
      <c r="J19" t="s">
        <v>198</v>
      </c>
      <c r="K19" t="s">
        <v>203</v>
      </c>
      <c r="L19" t="s">
        <v>211</v>
      </c>
      <c r="M19" t="s">
        <v>225</v>
      </c>
    </row>
    <row r="20" spans="1:13" x14ac:dyDescent="0.25">
      <c r="A20" t="s">
        <v>11</v>
      </c>
      <c r="B20">
        <v>0.8604676346646748</v>
      </c>
      <c r="C20">
        <v>0.25969596869975864</v>
      </c>
      <c r="D20">
        <v>0.30176253371622441</v>
      </c>
      <c r="E20">
        <v>3.7476815183586476E-2</v>
      </c>
      <c r="F20">
        <v>0.59364540175850866</v>
      </c>
      <c r="G20">
        <v>0.21518100071079682</v>
      </c>
      <c r="H20">
        <v>0.85521080647872727</v>
      </c>
      <c r="I20">
        <v>0.13383285601525774</v>
      </c>
      <c r="J20" t="s">
        <v>198</v>
      </c>
      <c r="K20" t="s">
        <v>204</v>
      </c>
      <c r="L20" t="s">
        <v>211</v>
      </c>
      <c r="M20" t="s">
        <v>225</v>
      </c>
    </row>
    <row r="21" spans="1:13" x14ac:dyDescent="0.25">
      <c r="A21" t="s">
        <v>304</v>
      </c>
      <c r="B21">
        <v>0.94489732569987295</v>
      </c>
      <c r="C21">
        <v>0.97574098528689313</v>
      </c>
      <c r="D21">
        <v>0.96321805760454804</v>
      </c>
      <c r="E21">
        <v>0.97721841023338185</v>
      </c>
      <c r="F21">
        <v>0.9880677856788106</v>
      </c>
      <c r="G21">
        <v>0.98390747255862232</v>
      </c>
      <c r="H21">
        <v>0.98522513197256623</v>
      </c>
      <c r="I21">
        <v>0.97605272160053824</v>
      </c>
      <c r="J21" t="s">
        <v>198</v>
      </c>
      <c r="K21" t="s">
        <v>239</v>
      </c>
      <c r="L21" t="s">
        <v>211</v>
      </c>
      <c r="M21" t="s">
        <v>225</v>
      </c>
    </row>
    <row r="22" spans="1:13" x14ac:dyDescent="0.25">
      <c r="A22" t="s">
        <v>305</v>
      </c>
      <c r="B22">
        <v>0.9999959103170406</v>
      </c>
      <c r="C22">
        <v>0.99999676801479365</v>
      </c>
      <c r="D22">
        <v>0.99999965732133056</v>
      </c>
      <c r="E22">
        <v>0.99999952369651357</v>
      </c>
      <c r="F22">
        <v>0.99999991982959102</v>
      </c>
      <c r="G22">
        <v>0.99999677662430519</v>
      </c>
      <c r="H22">
        <v>0.99999928430768015</v>
      </c>
      <c r="I22">
        <v>0.99999969816323242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0.93138120631179377</v>
      </c>
      <c r="C23">
        <v>0.20446964655550404</v>
      </c>
      <c r="D23">
        <v>0.83195090275895556</v>
      </c>
      <c r="E23">
        <v>0.28224428567560511</v>
      </c>
      <c r="F23">
        <v>0.98936671874783311</v>
      </c>
      <c r="G23">
        <v>0.63173032553477648</v>
      </c>
      <c r="H23">
        <v>0.94429907161531557</v>
      </c>
      <c r="I23">
        <v>0.72421541037989867</v>
      </c>
      <c r="J23" t="s">
        <v>198</v>
      </c>
      <c r="K23" t="s">
        <v>206</v>
      </c>
      <c r="L23" t="s">
        <v>211</v>
      </c>
      <c r="M23" t="s">
        <v>225</v>
      </c>
    </row>
    <row r="24" spans="1:13" x14ac:dyDescent="0.25">
      <c r="A24" t="s">
        <v>263</v>
      </c>
      <c r="B24">
        <v>0.74945113718308409</v>
      </c>
      <c r="C24">
        <v>0.93564291542783218</v>
      </c>
      <c r="D24">
        <v>0.92422410091851737</v>
      </c>
      <c r="E24">
        <v>0.91876544570703378</v>
      </c>
      <c r="F24">
        <v>0.917496510785207</v>
      </c>
      <c r="G24">
        <v>0.91722538250713614</v>
      </c>
      <c r="H24">
        <v>0.92273888067319398</v>
      </c>
      <c r="I24">
        <v>0.92869383128629601</v>
      </c>
      <c r="J24" t="s">
        <v>198</v>
      </c>
      <c r="K24" t="s">
        <v>207</v>
      </c>
      <c r="L24" t="s">
        <v>211</v>
      </c>
      <c r="M24" t="s">
        <v>225</v>
      </c>
    </row>
    <row r="25" spans="1:13" x14ac:dyDescent="0.25">
      <c r="A25" t="s">
        <v>306</v>
      </c>
      <c r="B25">
        <v>3.4055135590032148E-2</v>
      </c>
      <c r="C25">
        <v>7.0063991180018936E-2</v>
      </c>
      <c r="D25">
        <v>0.30600850957976666</v>
      </c>
      <c r="E25">
        <v>4.5616384812094735E-2</v>
      </c>
      <c r="F25">
        <v>0.11291125088714304</v>
      </c>
      <c r="G25">
        <v>6.1639353088922988E-2</v>
      </c>
      <c r="H25">
        <v>7.2631824228061248E-2</v>
      </c>
      <c r="I25">
        <v>1.8890231177297045E-2</v>
      </c>
      <c r="J25" t="s">
        <v>198</v>
      </c>
      <c r="K25" t="s">
        <v>233</v>
      </c>
      <c r="L25" t="s">
        <v>211</v>
      </c>
      <c r="M25" t="s">
        <v>225</v>
      </c>
    </row>
    <row r="26" spans="1:13" x14ac:dyDescent="0.25">
      <c r="A26" t="s">
        <v>13</v>
      </c>
      <c r="J26" t="s">
        <v>198</v>
      </c>
      <c r="K26" t="s">
        <v>202</v>
      </c>
      <c r="L26" t="s">
        <v>212</v>
      </c>
      <c r="M26" t="s">
        <v>225</v>
      </c>
    </row>
    <row r="27" spans="1:13" x14ac:dyDescent="0.25">
      <c r="A27" t="s">
        <v>14</v>
      </c>
      <c r="B27">
        <v>6.3698680876755454E-2</v>
      </c>
      <c r="C27">
        <v>6.9637989398136146E-2</v>
      </c>
      <c r="D27">
        <v>1.9611777924940732E-2</v>
      </c>
      <c r="E27">
        <v>0.28137801810478968</v>
      </c>
      <c r="F27">
        <v>0.53282686891633668</v>
      </c>
      <c r="G27">
        <v>0.49341028210620652</v>
      </c>
      <c r="H27">
        <v>0.95643508812117695</v>
      </c>
      <c r="I27">
        <v>0.33918963572381011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0.38284600186410278</v>
      </c>
      <c r="C28">
        <v>0.81568846104457626</v>
      </c>
      <c r="D28">
        <v>0.14462961592971757</v>
      </c>
      <c r="E28">
        <v>0.72917289991559908</v>
      </c>
      <c r="F28">
        <v>0.56544681839298194</v>
      </c>
      <c r="G28">
        <v>0.86475943886291129</v>
      </c>
      <c r="H28">
        <v>0.48412430775429038</v>
      </c>
      <c r="I28">
        <v>0.51833504429337784</v>
      </c>
      <c r="J28" t="s">
        <v>198</v>
      </c>
      <c r="K28" t="s">
        <v>204</v>
      </c>
      <c r="L28" t="s">
        <v>212</v>
      </c>
      <c r="M28" t="s">
        <v>225</v>
      </c>
    </row>
    <row r="29" spans="1:13" x14ac:dyDescent="0.25">
      <c r="A29" t="s">
        <v>307</v>
      </c>
      <c r="B29">
        <v>0.95523500588740196</v>
      </c>
      <c r="C29">
        <v>0.89968002046338558</v>
      </c>
      <c r="D29">
        <v>0.93459391929132918</v>
      </c>
      <c r="E29">
        <v>0.98250309759693788</v>
      </c>
      <c r="F29">
        <v>0.99383050119000549</v>
      </c>
      <c r="G29">
        <v>0.98960198947274469</v>
      </c>
      <c r="H29">
        <v>0.9996060926329724</v>
      </c>
      <c r="I29">
        <v>0.97760341142650831</v>
      </c>
      <c r="J29" t="s">
        <v>198</v>
      </c>
      <c r="K29" t="s">
        <v>239</v>
      </c>
      <c r="L29" t="s">
        <v>212</v>
      </c>
      <c r="M29" t="s">
        <v>225</v>
      </c>
    </row>
    <row r="30" spans="1:13" x14ac:dyDescent="0.25">
      <c r="A30" t="s">
        <v>308</v>
      </c>
      <c r="B30">
        <v>0.93217093347946867</v>
      </c>
      <c r="C30">
        <v>0.97044862729384929</v>
      </c>
      <c r="D30">
        <v>0.79099473441965729</v>
      </c>
      <c r="E30">
        <v>0.98433321400747831</v>
      </c>
      <c r="F30">
        <v>0.99644244111880331</v>
      </c>
      <c r="G30">
        <v>0.84034558050359454</v>
      </c>
      <c r="H30">
        <v>0.92318725448016559</v>
      </c>
      <c r="I30">
        <v>0.88641134171826508</v>
      </c>
      <c r="J30" t="s">
        <v>198</v>
      </c>
      <c r="K30" t="s">
        <v>241</v>
      </c>
      <c r="L30" t="s">
        <v>212</v>
      </c>
      <c r="M30" t="s">
        <v>225</v>
      </c>
    </row>
    <row r="31" spans="1:13" x14ac:dyDescent="0.25">
      <c r="A31" t="s">
        <v>16</v>
      </c>
      <c r="B31">
        <v>0.64480703555250996</v>
      </c>
      <c r="C31">
        <v>0.81103324341408056</v>
      </c>
      <c r="D31">
        <v>0.12198934167741293</v>
      </c>
      <c r="E31">
        <v>0.79857332252276947</v>
      </c>
      <c r="F31">
        <v>0.90102683617700174</v>
      </c>
      <c r="G31">
        <v>0.9932173444122232</v>
      </c>
      <c r="H31">
        <v>0.99200375637736593</v>
      </c>
      <c r="I31">
        <v>0.62598870545579244</v>
      </c>
      <c r="J31" t="s">
        <v>198</v>
      </c>
      <c r="K31" t="s">
        <v>206</v>
      </c>
      <c r="L31" t="s">
        <v>212</v>
      </c>
      <c r="M31" t="s">
        <v>225</v>
      </c>
    </row>
    <row r="32" spans="1:13" x14ac:dyDescent="0.25">
      <c r="A32" t="s">
        <v>264</v>
      </c>
      <c r="B32">
        <v>0.95777616725298376</v>
      </c>
      <c r="C32">
        <v>0.92764271282528898</v>
      </c>
      <c r="D32">
        <v>0.92470021203515596</v>
      </c>
      <c r="E32">
        <v>0.92459207868922266</v>
      </c>
      <c r="F32">
        <v>0.93979840505588574</v>
      </c>
      <c r="G32">
        <v>0.92867423154908546</v>
      </c>
      <c r="H32">
        <v>0.9572175923192715</v>
      </c>
      <c r="I32">
        <v>0.94348273208553834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0.31195286704491365</v>
      </c>
      <c r="C33">
        <v>0.70295639915435082</v>
      </c>
      <c r="D33">
        <v>0.13510875053730631</v>
      </c>
      <c r="E33">
        <v>0.73507376549252657</v>
      </c>
      <c r="F33">
        <v>0.53287613672205314</v>
      </c>
      <c r="G33">
        <v>0.26029736397040804</v>
      </c>
      <c r="H33">
        <v>0.91455434722016893</v>
      </c>
      <c r="I33">
        <v>0.27812048448332338</v>
      </c>
      <c r="J33" t="s">
        <v>198</v>
      </c>
      <c r="K33" t="s">
        <v>233</v>
      </c>
      <c r="L33" t="s">
        <v>212</v>
      </c>
      <c r="M33" t="s">
        <v>225</v>
      </c>
    </row>
    <row r="34" spans="1:13" x14ac:dyDescent="0.25">
      <c r="A34" t="s">
        <v>17</v>
      </c>
      <c r="J34" t="s">
        <v>198</v>
      </c>
      <c r="K34" t="s">
        <v>202</v>
      </c>
      <c r="L34" t="s">
        <v>213</v>
      </c>
      <c r="M34" t="s">
        <v>225</v>
      </c>
    </row>
    <row r="35" spans="1:13" x14ac:dyDescent="0.25">
      <c r="A35" t="s">
        <v>18</v>
      </c>
      <c r="B35">
        <v>0.22186865430139124</v>
      </c>
      <c r="C35">
        <v>0.49255687961287997</v>
      </c>
      <c r="D35">
        <v>0.5787402891044342</v>
      </c>
      <c r="E35">
        <v>0.66337328212104363</v>
      </c>
      <c r="F35">
        <v>6.5943118945856471E-2</v>
      </c>
      <c r="G35">
        <v>0.13246352872273659</v>
      </c>
      <c r="H35">
        <v>0.21739219505019114</v>
      </c>
      <c r="I35">
        <v>0.8903668627505732</v>
      </c>
      <c r="J35" t="s">
        <v>198</v>
      </c>
      <c r="K35" t="s">
        <v>203</v>
      </c>
      <c r="L35" t="s">
        <v>213</v>
      </c>
      <c r="M35" t="s">
        <v>225</v>
      </c>
    </row>
    <row r="36" spans="1:13" x14ac:dyDescent="0.25">
      <c r="A36" t="s">
        <v>19</v>
      </c>
      <c r="B36">
        <v>0.93191553478286104</v>
      </c>
      <c r="C36">
        <v>0.8040536241198013</v>
      </c>
      <c r="D36">
        <v>0.7708796694486606</v>
      </c>
      <c r="E36">
        <v>0.92068362051352948</v>
      </c>
      <c r="F36">
        <v>7.5651249330695336E-2</v>
      </c>
      <c r="G36">
        <v>0.40794193824262348</v>
      </c>
      <c r="H36">
        <v>0.60374351541757199</v>
      </c>
      <c r="I36">
        <v>0.63606325703429478</v>
      </c>
      <c r="J36" t="s">
        <v>198</v>
      </c>
      <c r="K36" t="s">
        <v>204</v>
      </c>
      <c r="L36" t="s">
        <v>213</v>
      </c>
      <c r="M36" t="s">
        <v>225</v>
      </c>
    </row>
    <row r="37" spans="1:13" x14ac:dyDescent="0.25">
      <c r="A37" t="s">
        <v>310</v>
      </c>
      <c r="B37">
        <v>0.93676397679958157</v>
      </c>
      <c r="C37">
        <v>0.91051308432138889</v>
      </c>
      <c r="D37">
        <v>0.98966273963957352</v>
      </c>
      <c r="E37">
        <v>0.9884353158767234</v>
      </c>
      <c r="F37">
        <v>0.97468886448638792</v>
      </c>
      <c r="G37">
        <v>0.9864112964848073</v>
      </c>
      <c r="H37">
        <v>0.99117407380795686</v>
      </c>
      <c r="I37">
        <v>0.99194353698421622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0.98842970211311354</v>
      </c>
      <c r="C38">
        <v>0.99076042888539262</v>
      </c>
      <c r="D38">
        <v>0.96746254193723324</v>
      </c>
      <c r="E38">
        <v>0.92541727150046615</v>
      </c>
      <c r="F38">
        <v>0.64934932359297881</v>
      </c>
      <c r="G38">
        <v>0.48371822322640723</v>
      </c>
      <c r="H38">
        <v>0.43658868431070996</v>
      </c>
      <c r="I38">
        <v>0.89037599674276602</v>
      </c>
      <c r="J38" t="s">
        <v>198</v>
      </c>
      <c r="K38" t="s">
        <v>241</v>
      </c>
      <c r="L38" t="s">
        <v>213</v>
      </c>
      <c r="M38" t="s">
        <v>225</v>
      </c>
    </row>
    <row r="39" spans="1:13" x14ac:dyDescent="0.25">
      <c r="A39" t="s">
        <v>20</v>
      </c>
      <c r="B39">
        <v>0.9993073239066036</v>
      </c>
      <c r="C39">
        <v>0.85680246120985926</v>
      </c>
      <c r="D39">
        <v>0.9906451889030139</v>
      </c>
      <c r="E39">
        <v>0.88889282054376739</v>
      </c>
      <c r="F39">
        <v>0.82881030867077787</v>
      </c>
      <c r="G39">
        <v>0.98058300117761266</v>
      </c>
      <c r="H39">
        <v>0.83658956457095779</v>
      </c>
      <c r="I39">
        <v>0.93440044859192317</v>
      </c>
      <c r="J39" t="s">
        <v>198</v>
      </c>
      <c r="K39" t="s">
        <v>206</v>
      </c>
      <c r="L39" t="s">
        <v>213</v>
      </c>
      <c r="M39" t="s">
        <v>225</v>
      </c>
    </row>
    <row r="40" spans="1:13" x14ac:dyDescent="0.25">
      <c r="A40" t="s">
        <v>265</v>
      </c>
      <c r="B40">
        <v>0.98850813203243115</v>
      </c>
      <c r="C40">
        <v>0.92047385527802161</v>
      </c>
      <c r="D40">
        <v>0.91717630773493575</v>
      </c>
      <c r="E40">
        <v>0.90359769986050309</v>
      </c>
      <c r="F40">
        <v>0.91100601772567014</v>
      </c>
      <c r="G40">
        <v>0.90336693511234656</v>
      </c>
      <c r="H40">
        <v>0.91331899363151881</v>
      </c>
      <c r="I40">
        <v>0.92471157230755519</v>
      </c>
      <c r="J40" t="s">
        <v>198</v>
      </c>
      <c r="K40" t="s">
        <v>207</v>
      </c>
      <c r="L40" t="s">
        <v>213</v>
      </c>
      <c r="M40" t="s">
        <v>225</v>
      </c>
    </row>
    <row r="41" spans="1:13" x14ac:dyDescent="0.25">
      <c r="A41" t="s">
        <v>312</v>
      </c>
      <c r="B41">
        <v>0.92607637487420846</v>
      </c>
      <c r="C41">
        <v>0.92972541186013391</v>
      </c>
      <c r="D41">
        <v>0.91720520268092676</v>
      </c>
      <c r="E41">
        <v>0.80375187287169547</v>
      </c>
      <c r="F41">
        <v>0.65544022038825611</v>
      </c>
      <c r="G41">
        <v>0.72552839059678131</v>
      </c>
      <c r="H41">
        <v>0.81946376167302915</v>
      </c>
      <c r="I41">
        <v>0.56109401573072959</v>
      </c>
      <c r="J41" t="s">
        <v>198</v>
      </c>
      <c r="K41" t="s">
        <v>233</v>
      </c>
      <c r="L41" t="s">
        <v>213</v>
      </c>
      <c r="M41" t="s">
        <v>225</v>
      </c>
    </row>
    <row r="42" spans="1:13" x14ac:dyDescent="0.25">
      <c r="A42" t="s">
        <v>21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6.3924532629406006E-2</v>
      </c>
      <c r="C43">
        <v>0.22299606338102607</v>
      </c>
      <c r="D43">
        <v>3.4348118949384165E-2</v>
      </c>
      <c r="E43">
        <v>2.9620116752235526E-2</v>
      </c>
      <c r="F43">
        <v>0.13253291023235836</v>
      </c>
      <c r="G43">
        <v>1.5415703400776248E-2</v>
      </c>
      <c r="H43">
        <v>0.23561083379139536</v>
      </c>
      <c r="I43">
        <v>2.1868755700695908E-2</v>
      </c>
      <c r="J43" t="s">
        <v>198</v>
      </c>
      <c r="K43" t="s">
        <v>203</v>
      </c>
      <c r="L43" t="s">
        <v>214</v>
      </c>
      <c r="M43" t="s">
        <v>225</v>
      </c>
    </row>
    <row r="44" spans="1:13" x14ac:dyDescent="0.25">
      <c r="A44" t="s">
        <v>23</v>
      </c>
      <c r="B44">
        <v>2.9582209204856325E-2</v>
      </c>
      <c r="C44">
        <v>0.55094910255933993</v>
      </c>
      <c r="D44">
        <v>0.57862865366190863</v>
      </c>
      <c r="E44">
        <v>0.34727551561695102</v>
      </c>
      <c r="F44">
        <v>0.96703180360493757</v>
      </c>
      <c r="G44">
        <v>0.96171937109680361</v>
      </c>
      <c r="H44">
        <v>0.77260633831275749</v>
      </c>
      <c r="I44">
        <v>0.60461734262625444</v>
      </c>
      <c r="J44" t="s">
        <v>198</v>
      </c>
      <c r="K44" t="s">
        <v>204</v>
      </c>
      <c r="L44" t="s">
        <v>214</v>
      </c>
      <c r="M44" t="s">
        <v>225</v>
      </c>
    </row>
    <row r="45" spans="1:13" x14ac:dyDescent="0.25">
      <c r="A45" t="s">
        <v>313</v>
      </c>
      <c r="B45">
        <v>0.42348692074744365</v>
      </c>
      <c r="C45">
        <v>0.8699870387756139</v>
      </c>
      <c r="D45">
        <v>0.84857405469201186</v>
      </c>
      <c r="E45">
        <v>0.85934999242235766</v>
      </c>
      <c r="F45">
        <v>0.93323476898310043</v>
      </c>
      <c r="G45">
        <v>0.95760203340345618</v>
      </c>
      <c r="H45">
        <v>0.96178290798221877</v>
      </c>
      <c r="I45">
        <v>0.9836355084881836</v>
      </c>
      <c r="J45" t="s">
        <v>198</v>
      </c>
      <c r="K45" t="s">
        <v>239</v>
      </c>
      <c r="L45" t="s">
        <v>214</v>
      </c>
      <c r="M45" t="s">
        <v>225</v>
      </c>
    </row>
    <row r="46" spans="1:13" x14ac:dyDescent="0.25">
      <c r="A46" t="s">
        <v>314</v>
      </c>
      <c r="B46">
        <v>0.98249881981997833</v>
      </c>
      <c r="C46">
        <v>0.99359792482237919</v>
      </c>
      <c r="D46">
        <v>0.89450911462864735</v>
      </c>
      <c r="E46">
        <v>0.93111283362781871</v>
      </c>
      <c r="F46">
        <v>0.99867141282719729</v>
      </c>
      <c r="G46">
        <v>0.95106307799987155</v>
      </c>
      <c r="H46">
        <v>0.99935699312477089</v>
      </c>
      <c r="I46">
        <v>0.96870609202729718</v>
      </c>
      <c r="J46" t="s">
        <v>198</v>
      </c>
      <c r="K46" t="s">
        <v>241</v>
      </c>
      <c r="L46" t="s">
        <v>214</v>
      </c>
      <c r="M46" t="s">
        <v>225</v>
      </c>
    </row>
    <row r="47" spans="1:13" x14ac:dyDescent="0.25">
      <c r="A47" t="s">
        <v>24</v>
      </c>
      <c r="B47">
        <v>6.3653289570124061E-2</v>
      </c>
      <c r="C47">
        <v>0.97606421311485536</v>
      </c>
      <c r="D47">
        <v>0.82667542463728549</v>
      </c>
      <c r="E47">
        <v>0.42601489880503463</v>
      </c>
      <c r="F47">
        <v>0.89979831978546887</v>
      </c>
      <c r="G47">
        <v>0.99820600231529388</v>
      </c>
      <c r="H47">
        <v>0.99998827927731848</v>
      </c>
      <c r="I47">
        <v>0.95103514286905511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0.39316497869259603</v>
      </c>
      <c r="C48">
        <v>0.91254649119740328</v>
      </c>
      <c r="D48">
        <v>0.89794456756185093</v>
      </c>
      <c r="E48">
        <v>0.88602604611259483</v>
      </c>
      <c r="F48">
        <v>0.88983258420232836</v>
      </c>
      <c r="G48">
        <v>0.88673439916075847</v>
      </c>
      <c r="H48">
        <v>0.8905366567302847</v>
      </c>
      <c r="I48">
        <v>0.89882847330220983</v>
      </c>
      <c r="J48" t="s">
        <v>198</v>
      </c>
      <c r="K48" t="s">
        <v>207</v>
      </c>
      <c r="L48" t="s">
        <v>214</v>
      </c>
      <c r="M48" t="s">
        <v>225</v>
      </c>
    </row>
    <row r="49" spans="1:13" x14ac:dyDescent="0.25">
      <c r="A49" t="s">
        <v>315</v>
      </c>
      <c r="B49">
        <v>0.18061896990239656</v>
      </c>
      <c r="C49">
        <v>0.92302919248785653</v>
      </c>
      <c r="D49">
        <v>0.66637084322068674</v>
      </c>
      <c r="E49">
        <v>0.52012044603074803</v>
      </c>
      <c r="F49">
        <v>0.81777340951836475</v>
      </c>
      <c r="G49">
        <v>0.27765008348749975</v>
      </c>
      <c r="H49">
        <v>0.73414812893858072</v>
      </c>
      <c r="I49">
        <v>0.68317945295056626</v>
      </c>
      <c r="J49" t="s">
        <v>198</v>
      </c>
      <c r="K49" t="s">
        <v>233</v>
      </c>
      <c r="L49" t="s">
        <v>214</v>
      </c>
      <c r="M49" t="s">
        <v>225</v>
      </c>
    </row>
    <row r="50" spans="1:13" x14ac:dyDescent="0.25">
      <c r="A50" t="s">
        <v>25</v>
      </c>
      <c r="J50" t="s">
        <v>198</v>
      </c>
      <c r="K50" t="s">
        <v>202</v>
      </c>
      <c r="L50" t="s">
        <v>215</v>
      </c>
      <c r="M50" t="s">
        <v>225</v>
      </c>
    </row>
    <row r="51" spans="1:13" x14ac:dyDescent="0.25">
      <c r="A51" t="s">
        <v>26</v>
      </c>
      <c r="B51">
        <v>0.13981684690255836</v>
      </c>
      <c r="C51">
        <v>0.17545795485293114</v>
      </c>
      <c r="D51">
        <v>6.9250367668262869E-2</v>
      </c>
      <c r="E51">
        <v>0.41941582125519816</v>
      </c>
      <c r="F51">
        <v>0.88286225979309385</v>
      </c>
      <c r="G51">
        <v>0.70279413036705451</v>
      </c>
      <c r="H51">
        <v>9.9881771951885634E-2</v>
      </c>
      <c r="I51">
        <v>0.34007355327239974</v>
      </c>
      <c r="J51" t="s">
        <v>198</v>
      </c>
      <c r="K51" t="s">
        <v>203</v>
      </c>
      <c r="L51" t="s">
        <v>215</v>
      </c>
      <c r="M51" t="s">
        <v>225</v>
      </c>
    </row>
    <row r="52" spans="1:13" x14ac:dyDescent="0.25">
      <c r="A52" t="s">
        <v>27</v>
      </c>
      <c r="B52">
        <v>0.30044214110155854</v>
      </c>
      <c r="C52">
        <v>0.30835094035489252</v>
      </c>
      <c r="D52">
        <v>0.11998870984094401</v>
      </c>
      <c r="E52">
        <v>0.25166238270853403</v>
      </c>
      <c r="F52">
        <v>0.58836303053367389</v>
      </c>
      <c r="G52">
        <v>0.41366847651037586</v>
      </c>
      <c r="H52">
        <v>0.1658587485839168</v>
      </c>
      <c r="I52">
        <v>0.46529668397289681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0.98911756183398969</v>
      </c>
      <c r="C53">
        <v>0.99278016491462506</v>
      </c>
      <c r="D53">
        <v>0.97606669685655278</v>
      </c>
      <c r="E53">
        <v>0.99382938342258309</v>
      </c>
      <c r="F53">
        <v>0.99746900282727691</v>
      </c>
      <c r="G53">
        <v>0.99370140076107427</v>
      </c>
      <c r="H53">
        <v>0.96556702817730278</v>
      </c>
      <c r="I53">
        <v>0.97029230516265563</v>
      </c>
      <c r="J53" t="s">
        <v>198</v>
      </c>
      <c r="K53" t="s">
        <v>239</v>
      </c>
      <c r="L53" t="s">
        <v>215</v>
      </c>
      <c r="M53" t="s">
        <v>225</v>
      </c>
    </row>
    <row r="54" spans="1:13" x14ac:dyDescent="0.25">
      <c r="A54" t="s">
        <v>317</v>
      </c>
      <c r="B54">
        <v>0.83107579902918394</v>
      </c>
      <c r="C54">
        <v>0.94329929383079303</v>
      </c>
      <c r="D54">
        <v>0.94021210437678537</v>
      </c>
      <c r="E54">
        <v>0.94666856880757</v>
      </c>
      <c r="F54">
        <v>0.92879128216612805</v>
      </c>
      <c r="G54">
        <v>0.91435437407815756</v>
      </c>
      <c r="H54">
        <v>0.85290216859129431</v>
      </c>
      <c r="I54">
        <v>0.95721327747922036</v>
      </c>
      <c r="J54" t="s">
        <v>198</v>
      </c>
      <c r="K54" t="s">
        <v>241</v>
      </c>
      <c r="L54" t="s">
        <v>215</v>
      </c>
      <c r="M54" t="s">
        <v>225</v>
      </c>
    </row>
    <row r="55" spans="1:13" x14ac:dyDescent="0.25">
      <c r="A55" t="s">
        <v>28</v>
      </c>
      <c r="B55">
        <v>0.9739257195848362</v>
      </c>
      <c r="C55">
        <v>0.82271967237329902</v>
      </c>
      <c r="D55">
        <v>0.74989941547735706</v>
      </c>
      <c r="E55">
        <v>0.93021176385834448</v>
      </c>
      <c r="F55">
        <v>0.85854148118645868</v>
      </c>
      <c r="G55">
        <v>0.85101093821963092</v>
      </c>
      <c r="H55">
        <v>0.7475028182698058</v>
      </c>
      <c r="I55">
        <v>0.91114204747407823</v>
      </c>
      <c r="J55" t="s">
        <v>198</v>
      </c>
      <c r="K55" t="s">
        <v>206</v>
      </c>
      <c r="L55" t="s">
        <v>215</v>
      </c>
      <c r="M55" t="s">
        <v>225</v>
      </c>
    </row>
    <row r="56" spans="1:13" x14ac:dyDescent="0.25">
      <c r="A56" t="s">
        <v>267</v>
      </c>
      <c r="B56">
        <v>0.99960858079849291</v>
      </c>
      <c r="C56">
        <v>0.99463640052576097</v>
      </c>
      <c r="D56">
        <v>0.98959724421461648</v>
      </c>
      <c r="E56">
        <v>0.98935711353022482</v>
      </c>
      <c r="F56">
        <v>0.99210369527526709</v>
      </c>
      <c r="G56">
        <v>0.98768980784128435</v>
      </c>
      <c r="H56">
        <v>0.96347611331880145</v>
      </c>
      <c r="I56">
        <v>0.97620154176800888</v>
      </c>
      <c r="J56" t="s">
        <v>198</v>
      </c>
      <c r="K56" t="s">
        <v>207</v>
      </c>
      <c r="L56" t="s">
        <v>215</v>
      </c>
      <c r="M56" t="s">
        <v>225</v>
      </c>
    </row>
    <row r="57" spans="1:13" x14ac:dyDescent="0.25">
      <c r="A57" t="s">
        <v>318</v>
      </c>
      <c r="B57">
        <v>0.79013302734169621</v>
      </c>
      <c r="C57">
        <v>0.52440892933393624</v>
      </c>
      <c r="D57">
        <v>0.30376034831274423</v>
      </c>
      <c r="E57">
        <v>0.9762018754353855</v>
      </c>
      <c r="F57">
        <v>0.85704654500727273</v>
      </c>
      <c r="G57">
        <v>0.63455034014653577</v>
      </c>
      <c r="H57">
        <v>0.17149594449844896</v>
      </c>
      <c r="I57">
        <v>0.37831802962979011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J58" t="s">
        <v>198</v>
      </c>
      <c r="K58" t="s">
        <v>202</v>
      </c>
      <c r="L58" t="s">
        <v>216</v>
      </c>
      <c r="M58" t="s">
        <v>225</v>
      </c>
    </row>
    <row r="59" spans="1:13" x14ac:dyDescent="0.25">
      <c r="A59" t="s">
        <v>30</v>
      </c>
      <c r="B59">
        <v>0.756431317820353</v>
      </c>
      <c r="C59">
        <v>0.91612644751852002</v>
      </c>
      <c r="D59">
        <v>0.15015469876981802</v>
      </c>
      <c r="E59">
        <v>0.22030451019437214</v>
      </c>
      <c r="F59">
        <v>0.68824572009577034</v>
      </c>
      <c r="G59">
        <v>0.84393753809874961</v>
      </c>
      <c r="H59">
        <v>0.80535371960733648</v>
      </c>
      <c r="I59">
        <v>0.49796160446535664</v>
      </c>
      <c r="J59" t="s">
        <v>198</v>
      </c>
      <c r="K59" t="s">
        <v>203</v>
      </c>
      <c r="L59" t="s">
        <v>216</v>
      </c>
      <c r="M59" t="s">
        <v>225</v>
      </c>
    </row>
    <row r="60" spans="1:13" x14ac:dyDescent="0.25">
      <c r="A60" t="s">
        <v>31</v>
      </c>
      <c r="B60">
        <v>0.97357171044275159</v>
      </c>
      <c r="C60">
        <v>0.78690921411112602</v>
      </c>
      <c r="D60">
        <v>0.28797535437437882</v>
      </c>
      <c r="E60">
        <v>0.66754934239035046</v>
      </c>
      <c r="F60">
        <v>0.50274641890268124</v>
      </c>
      <c r="G60">
        <v>0.93204706273400362</v>
      </c>
      <c r="H60">
        <v>0.50762465462695483</v>
      </c>
      <c r="I60">
        <v>0.47532267986146115</v>
      </c>
      <c r="J60" t="s">
        <v>198</v>
      </c>
      <c r="K60" t="s">
        <v>204</v>
      </c>
      <c r="L60" t="s">
        <v>216</v>
      </c>
      <c r="M60" t="s">
        <v>225</v>
      </c>
    </row>
    <row r="61" spans="1:13" x14ac:dyDescent="0.25">
      <c r="A61" t="s">
        <v>319</v>
      </c>
      <c r="B61">
        <v>0.99998440836120128</v>
      </c>
      <c r="C61">
        <v>0.99990034132745109</v>
      </c>
      <c r="D61">
        <v>0.99769630741474358</v>
      </c>
      <c r="E61">
        <v>0.99847653020860749</v>
      </c>
      <c r="F61">
        <v>0.99861479275651177</v>
      </c>
      <c r="G61">
        <v>0.99566215648284373</v>
      </c>
      <c r="H61">
        <v>0.9929629357723927</v>
      </c>
      <c r="I61">
        <v>0.97334521661126439</v>
      </c>
      <c r="J61" t="s">
        <v>198</v>
      </c>
      <c r="K61" t="s">
        <v>239</v>
      </c>
      <c r="L61" t="s">
        <v>216</v>
      </c>
      <c r="M61" t="s">
        <v>225</v>
      </c>
    </row>
    <row r="62" spans="1:13" x14ac:dyDescent="0.25">
      <c r="A62" t="s">
        <v>320</v>
      </c>
      <c r="B62">
        <v>1</v>
      </c>
      <c r="C62">
        <v>0.99999999999950706</v>
      </c>
      <c r="D62">
        <v>0.99999999996897149</v>
      </c>
      <c r="E62">
        <v>0.99999999759240177</v>
      </c>
      <c r="F62">
        <v>0.99999999232661541</v>
      </c>
      <c r="G62">
        <v>0.99999997269703877</v>
      </c>
      <c r="H62">
        <v>0.99999980794972831</v>
      </c>
      <c r="I62">
        <v>0.9999999459331782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0.99643862680937301</v>
      </c>
      <c r="C63">
        <v>0.92344109564481514</v>
      </c>
      <c r="D63">
        <v>0.68529462441804334</v>
      </c>
      <c r="E63">
        <v>0.95514091263122614</v>
      </c>
      <c r="F63">
        <v>0.762754563684932</v>
      </c>
      <c r="G63">
        <v>0.99965012789700258</v>
      </c>
      <c r="H63">
        <v>0.82715593497334239</v>
      </c>
      <c r="I63">
        <v>0.95455003482111134</v>
      </c>
      <c r="J63" t="s">
        <v>198</v>
      </c>
      <c r="K63" t="s">
        <v>206</v>
      </c>
      <c r="L63" t="s">
        <v>216</v>
      </c>
      <c r="M63" t="s">
        <v>225</v>
      </c>
    </row>
    <row r="64" spans="1:13" x14ac:dyDescent="0.25">
      <c r="A64" t="s">
        <v>268</v>
      </c>
      <c r="B64">
        <v>0.99996466092041003</v>
      </c>
      <c r="C64">
        <v>0.9969330803050015</v>
      </c>
      <c r="D64">
        <v>0.98643385620967983</v>
      </c>
      <c r="E64">
        <v>0.99018042280102603</v>
      </c>
      <c r="F64">
        <v>0.98722608007717472</v>
      </c>
      <c r="G64">
        <v>0.98530602321075222</v>
      </c>
      <c r="H64">
        <v>0.99144997151225134</v>
      </c>
      <c r="I64">
        <v>0.98894007144026386</v>
      </c>
      <c r="J64" t="s">
        <v>198</v>
      </c>
      <c r="K64" t="s">
        <v>207</v>
      </c>
      <c r="L64" t="s">
        <v>216</v>
      </c>
      <c r="M64" t="s">
        <v>225</v>
      </c>
    </row>
    <row r="65" spans="1:13" x14ac:dyDescent="0.25">
      <c r="A65" t="s">
        <v>321</v>
      </c>
      <c r="B65">
        <v>0.76423350259263789</v>
      </c>
      <c r="C65">
        <v>0.9668207516405698</v>
      </c>
      <c r="D65">
        <v>0.14766924836960449</v>
      </c>
      <c r="E65">
        <v>0.53657924741085861</v>
      </c>
      <c r="F65">
        <v>0.62949735894147274</v>
      </c>
      <c r="G65">
        <v>0.90195188296403683</v>
      </c>
      <c r="H65">
        <v>0.29676205433237324</v>
      </c>
      <c r="I65">
        <v>0.49184558249205801</v>
      </c>
      <c r="J65" t="s">
        <v>198</v>
      </c>
      <c r="K65" t="s">
        <v>233</v>
      </c>
      <c r="L65" t="s">
        <v>216</v>
      </c>
      <c r="M65" t="s">
        <v>225</v>
      </c>
    </row>
    <row r="66" spans="1:13" x14ac:dyDescent="0.25">
      <c r="A66" t="s">
        <v>33</v>
      </c>
      <c r="J66" t="s">
        <v>198</v>
      </c>
      <c r="K66" t="s">
        <v>202</v>
      </c>
      <c r="L66" t="s">
        <v>217</v>
      </c>
      <c r="M66" t="s">
        <v>225</v>
      </c>
    </row>
    <row r="67" spans="1:13" x14ac:dyDescent="0.25">
      <c r="A67" t="s">
        <v>34</v>
      </c>
      <c r="B67">
        <v>0.57015690985272993</v>
      </c>
      <c r="C67">
        <v>0.64926105636006182</v>
      </c>
      <c r="D67">
        <v>0.7734185616538608</v>
      </c>
      <c r="E67">
        <v>0.54554625091995801</v>
      </c>
      <c r="F67">
        <v>0.89313154463148026</v>
      </c>
      <c r="G67">
        <v>0.3722466815971438</v>
      </c>
      <c r="H67">
        <v>0.53466240434453183</v>
      </c>
      <c r="I67">
        <v>0.28165392610766449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0.89821274025924425</v>
      </c>
      <c r="C68">
        <v>0.94605335789909617</v>
      </c>
      <c r="D68">
        <v>0.92208129472591815</v>
      </c>
      <c r="E68">
        <v>0.40414744111768397</v>
      </c>
      <c r="F68">
        <v>0.96425291148068615</v>
      </c>
      <c r="G68">
        <v>0.92396924698114391</v>
      </c>
      <c r="H68">
        <v>0.82454564751368764</v>
      </c>
      <c r="I68">
        <v>0.56495259237235262</v>
      </c>
      <c r="J68" t="s">
        <v>198</v>
      </c>
      <c r="K68" t="s">
        <v>204</v>
      </c>
      <c r="L68" t="s">
        <v>217</v>
      </c>
      <c r="M68" t="s">
        <v>225</v>
      </c>
    </row>
    <row r="69" spans="1:13" x14ac:dyDescent="0.25">
      <c r="A69" t="s">
        <v>322</v>
      </c>
      <c r="B69">
        <v>0.99483515182097992</v>
      </c>
      <c r="C69">
        <v>0.99805963777318618</v>
      </c>
      <c r="D69">
        <v>0.99257933332235637</v>
      </c>
      <c r="E69">
        <v>0.99888516604079203</v>
      </c>
      <c r="F69">
        <v>0.99879174878506327</v>
      </c>
      <c r="G69">
        <v>0.99814369312144358</v>
      </c>
      <c r="H69">
        <v>0.99882595126526397</v>
      </c>
      <c r="I69">
        <v>0.99311905359980279</v>
      </c>
      <c r="J69" t="s">
        <v>198</v>
      </c>
      <c r="K69" t="s">
        <v>239</v>
      </c>
      <c r="L69" t="s">
        <v>217</v>
      </c>
      <c r="M69" t="s">
        <v>225</v>
      </c>
    </row>
    <row r="70" spans="1:13" x14ac:dyDescent="0.25">
      <c r="A70" t="s">
        <v>323</v>
      </c>
      <c r="B70">
        <v>0.99999999997447153</v>
      </c>
      <c r="C70">
        <v>0.99999997095392545</v>
      </c>
      <c r="D70">
        <v>0.99999999011410501</v>
      </c>
      <c r="E70">
        <v>0.99999999185766286</v>
      </c>
      <c r="F70">
        <v>0.99999999984309285</v>
      </c>
      <c r="G70">
        <v>0.99999995891423177</v>
      </c>
      <c r="H70">
        <v>0.9999999647531439</v>
      </c>
      <c r="I70">
        <v>0.99999795741083475</v>
      </c>
      <c r="J70" t="s">
        <v>198</v>
      </c>
      <c r="K70" t="s">
        <v>241</v>
      </c>
      <c r="L70" t="s">
        <v>217</v>
      </c>
      <c r="M70" t="s">
        <v>225</v>
      </c>
    </row>
    <row r="71" spans="1:13" x14ac:dyDescent="0.25">
      <c r="A71" t="s">
        <v>36</v>
      </c>
      <c r="B71">
        <v>0.44124714107342367</v>
      </c>
      <c r="C71">
        <v>0.69732963135122294</v>
      </c>
      <c r="D71">
        <v>0.72266742820921248</v>
      </c>
      <c r="E71">
        <v>0.30668011684553598</v>
      </c>
      <c r="F71">
        <v>0.86119152917967468</v>
      </c>
      <c r="G71">
        <v>0.991819403473581</v>
      </c>
      <c r="H71">
        <v>0.97099822903143618</v>
      </c>
      <c r="I71">
        <v>0.79936274899276749</v>
      </c>
      <c r="J71" t="s">
        <v>198</v>
      </c>
      <c r="K71" t="s">
        <v>206</v>
      </c>
      <c r="L71" t="s">
        <v>217</v>
      </c>
      <c r="M71" t="s">
        <v>225</v>
      </c>
    </row>
    <row r="72" spans="1:13" x14ac:dyDescent="0.25">
      <c r="A72" t="s">
        <v>269</v>
      </c>
      <c r="B72">
        <v>0.98293776954499978</v>
      </c>
      <c r="C72">
        <v>0.99211582059036341</v>
      </c>
      <c r="D72">
        <v>0.98214003909970538</v>
      </c>
      <c r="E72">
        <v>0.97082077063116801</v>
      </c>
      <c r="F72">
        <v>0.98315349899841453</v>
      </c>
      <c r="G72">
        <v>0.97659823265063972</v>
      </c>
      <c r="H72">
        <v>0.98779463446895333</v>
      </c>
      <c r="I72">
        <v>0.97967234378787427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0.99415356347783712</v>
      </c>
      <c r="C73">
        <v>0.91684023020559313</v>
      </c>
      <c r="D73">
        <v>0.89068479932519162</v>
      </c>
      <c r="E73">
        <v>0.86704952697601989</v>
      </c>
      <c r="F73">
        <v>0.97419466953047473</v>
      </c>
      <c r="G73">
        <v>0.87295586222292365</v>
      </c>
      <c r="H73">
        <v>0.77972695712592965</v>
      </c>
      <c r="I73">
        <v>0.66400207305822567</v>
      </c>
      <c r="J73" t="s">
        <v>198</v>
      </c>
      <c r="K73" t="s">
        <v>233</v>
      </c>
      <c r="L73" t="s">
        <v>217</v>
      </c>
      <c r="M73" t="s">
        <v>225</v>
      </c>
    </row>
    <row r="74" spans="1:13" x14ac:dyDescent="0.25">
      <c r="A74" t="s">
        <v>37</v>
      </c>
      <c r="J74" t="s">
        <v>198</v>
      </c>
      <c r="K74" t="s">
        <v>202</v>
      </c>
      <c r="L74" t="s">
        <v>218</v>
      </c>
      <c r="M74" t="s">
        <v>225</v>
      </c>
    </row>
    <row r="75" spans="1:13" x14ac:dyDescent="0.25">
      <c r="A75" t="s">
        <v>38</v>
      </c>
      <c r="B75">
        <v>0.67410238034936731</v>
      </c>
      <c r="C75">
        <v>0.31021307621761907</v>
      </c>
      <c r="D75">
        <v>5.6049140404793585E-2</v>
      </c>
      <c r="E75">
        <v>0.73615506500416372</v>
      </c>
      <c r="F75">
        <v>0.63631854231216667</v>
      </c>
      <c r="G75">
        <v>0.88045715844974382</v>
      </c>
      <c r="H75">
        <v>0.79567402322023961</v>
      </c>
      <c r="I75">
        <v>0.59567076256395568</v>
      </c>
      <c r="J75" t="s">
        <v>198</v>
      </c>
      <c r="K75" t="s">
        <v>203</v>
      </c>
      <c r="L75" t="s">
        <v>218</v>
      </c>
      <c r="M75" t="s">
        <v>225</v>
      </c>
    </row>
    <row r="76" spans="1:13" x14ac:dyDescent="0.25">
      <c r="A76" t="s">
        <v>39</v>
      </c>
      <c r="B76">
        <v>0.11110690968559633</v>
      </c>
      <c r="C76">
        <v>0.50237582798475033</v>
      </c>
      <c r="D76">
        <v>1.6364771508450282E-2</v>
      </c>
      <c r="E76">
        <v>0.74575319915944682</v>
      </c>
      <c r="F76">
        <v>0.71443098116181092</v>
      </c>
      <c r="G76">
        <v>0.82759387790471139</v>
      </c>
      <c r="H76">
        <v>0.9355727063425785</v>
      </c>
      <c r="I76">
        <v>0.616480727354769</v>
      </c>
      <c r="J76" t="s">
        <v>198</v>
      </c>
      <c r="K76" t="s">
        <v>204</v>
      </c>
      <c r="L76" t="s">
        <v>218</v>
      </c>
      <c r="M76" t="s">
        <v>225</v>
      </c>
    </row>
    <row r="77" spans="1:13" x14ac:dyDescent="0.25">
      <c r="A77" t="s">
        <v>325</v>
      </c>
      <c r="B77">
        <v>0.76304008712746141</v>
      </c>
      <c r="C77">
        <v>0.86375013106033394</v>
      </c>
      <c r="D77">
        <v>0.75737132378614003</v>
      </c>
      <c r="E77">
        <v>0.94921179043270987</v>
      </c>
      <c r="F77">
        <v>0.85751540171199037</v>
      </c>
      <c r="G77">
        <v>0.92416070612769796</v>
      </c>
      <c r="H77">
        <v>0.88314958443871561</v>
      </c>
      <c r="I77">
        <v>0.91408999438853222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0.99864534091193768</v>
      </c>
      <c r="C78">
        <v>0.98071648306344539</v>
      </c>
      <c r="D78">
        <v>0.57122111606805959</v>
      </c>
      <c r="E78">
        <v>0.88102790644851037</v>
      </c>
      <c r="F78">
        <v>0.61735680161918371</v>
      </c>
      <c r="G78">
        <v>0.84346647203248692</v>
      </c>
      <c r="H78">
        <v>0.57029713929437287</v>
      </c>
      <c r="I78">
        <v>0.84753144487030097</v>
      </c>
      <c r="J78" t="s">
        <v>198</v>
      </c>
      <c r="K78" t="s">
        <v>241</v>
      </c>
      <c r="L78" t="s">
        <v>218</v>
      </c>
      <c r="M78" t="s">
        <v>225</v>
      </c>
    </row>
    <row r="79" spans="1:13" x14ac:dyDescent="0.25">
      <c r="A79" t="s">
        <v>40</v>
      </c>
      <c r="B79">
        <v>0.98419918174752452</v>
      </c>
      <c r="C79">
        <v>0.97082393089866803</v>
      </c>
      <c r="D79">
        <v>0.65437180143674745</v>
      </c>
      <c r="E79">
        <v>0.994776509542875</v>
      </c>
      <c r="F79">
        <v>0.95479193517314331</v>
      </c>
      <c r="G79">
        <v>0.95336666740249021</v>
      </c>
      <c r="H79">
        <v>0.79935390184669142</v>
      </c>
      <c r="I79">
        <v>0.9010023019144715</v>
      </c>
      <c r="J79" t="s">
        <v>198</v>
      </c>
      <c r="K79" t="s">
        <v>206</v>
      </c>
      <c r="L79" t="s">
        <v>218</v>
      </c>
      <c r="M79" t="s">
        <v>225</v>
      </c>
    </row>
    <row r="80" spans="1:13" x14ac:dyDescent="0.25">
      <c r="A80" t="s">
        <v>270</v>
      </c>
      <c r="B80">
        <v>0.76287604538312792</v>
      </c>
      <c r="C80">
        <v>0.88655370807680323</v>
      </c>
      <c r="D80">
        <v>0.87639858770427126</v>
      </c>
      <c r="E80">
        <v>0.90374914097483228</v>
      </c>
      <c r="F80">
        <v>0.87789221298375797</v>
      </c>
      <c r="G80">
        <v>0.88705567909401395</v>
      </c>
      <c r="H80">
        <v>0.87551154784951646</v>
      </c>
      <c r="I80">
        <v>0.91703263991985517</v>
      </c>
      <c r="J80" t="s">
        <v>198</v>
      </c>
      <c r="K80" t="s">
        <v>207</v>
      </c>
      <c r="L80" t="s">
        <v>218</v>
      </c>
      <c r="M80" t="s">
        <v>225</v>
      </c>
    </row>
    <row r="81" spans="1:13" x14ac:dyDescent="0.25">
      <c r="A81" t="s">
        <v>327</v>
      </c>
      <c r="B81">
        <v>0.15189315310670537</v>
      </c>
      <c r="C81">
        <v>5.5458938496148469E-2</v>
      </c>
      <c r="D81">
        <v>1.7326847727001771E-2</v>
      </c>
      <c r="E81">
        <v>0.81596435149289404</v>
      </c>
      <c r="F81">
        <v>0.78815036155971674</v>
      </c>
      <c r="G81">
        <v>0.82933934264256703</v>
      </c>
      <c r="H81">
        <v>0.89031053218304324</v>
      </c>
      <c r="I81">
        <v>0.48857915754851955</v>
      </c>
      <c r="J81" t="s">
        <v>198</v>
      </c>
      <c r="K81" t="s">
        <v>233</v>
      </c>
      <c r="L81" t="s">
        <v>218</v>
      </c>
      <c r="M81" t="s">
        <v>225</v>
      </c>
    </row>
    <row r="82" spans="1:13" x14ac:dyDescent="0.25">
      <c r="A82" t="s">
        <v>41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8.4765324425131849E-2</v>
      </c>
      <c r="C83">
        <v>0.42844652896056035</v>
      </c>
      <c r="D83">
        <v>0.2190688122085358</v>
      </c>
      <c r="E83">
        <v>0.24724605895081608</v>
      </c>
      <c r="F83">
        <v>0.11425670474680993</v>
      </c>
      <c r="G83">
        <v>0.32281376090280767</v>
      </c>
      <c r="H83">
        <v>0.16255666604361252</v>
      </c>
      <c r="I83">
        <v>0.79812158381064413</v>
      </c>
      <c r="J83" t="s">
        <v>198</v>
      </c>
      <c r="K83" t="s">
        <v>203</v>
      </c>
      <c r="L83" t="s">
        <v>219</v>
      </c>
      <c r="M83" t="s">
        <v>225</v>
      </c>
    </row>
    <row r="84" spans="1:13" x14ac:dyDescent="0.25">
      <c r="A84" t="s">
        <v>43</v>
      </c>
      <c r="B84">
        <v>0.11501794990483494</v>
      </c>
      <c r="C84">
        <v>0.19875782021058419</v>
      </c>
      <c r="D84">
        <v>2.2782933570701269E-2</v>
      </c>
      <c r="E84">
        <v>0.4912118288078946</v>
      </c>
      <c r="F84">
        <v>0.27196978988163212</v>
      </c>
      <c r="G84">
        <v>0.27337375852170998</v>
      </c>
      <c r="H84">
        <v>0.58527100831577428</v>
      </c>
      <c r="I84">
        <v>0.7650345312472705</v>
      </c>
      <c r="J84" t="s">
        <v>198</v>
      </c>
      <c r="K84" t="s">
        <v>204</v>
      </c>
      <c r="L84" t="s">
        <v>219</v>
      </c>
      <c r="M84" t="s">
        <v>225</v>
      </c>
    </row>
    <row r="85" spans="1:13" x14ac:dyDescent="0.25">
      <c r="A85" t="s">
        <v>328</v>
      </c>
      <c r="B85">
        <v>0.34531041040412247</v>
      </c>
      <c r="C85">
        <v>0.74848054226778704</v>
      </c>
      <c r="D85">
        <v>0.90288367651384605</v>
      </c>
      <c r="E85">
        <v>0.99512772065192745</v>
      </c>
      <c r="F85">
        <v>0.98181507455712447</v>
      </c>
      <c r="G85">
        <v>0.92153582753641761</v>
      </c>
      <c r="H85">
        <v>0.98340481398829405</v>
      </c>
      <c r="I85">
        <v>0.99673059008985232</v>
      </c>
      <c r="J85" t="s">
        <v>198</v>
      </c>
      <c r="K85" t="s">
        <v>239</v>
      </c>
      <c r="L85" t="s">
        <v>219</v>
      </c>
      <c r="M85" t="s">
        <v>225</v>
      </c>
    </row>
    <row r="86" spans="1:13" x14ac:dyDescent="0.25">
      <c r="A86" t="s">
        <v>329</v>
      </c>
      <c r="B86">
        <v>0.4873871977322537</v>
      </c>
      <c r="C86">
        <v>0.31043005663677992</v>
      </c>
      <c r="D86">
        <v>0.11378064754619088</v>
      </c>
      <c r="E86">
        <v>0.26455057021000894</v>
      </c>
      <c r="F86">
        <v>0.17190103628526865</v>
      </c>
      <c r="G86">
        <v>8.815229193912133E-2</v>
      </c>
      <c r="H86">
        <v>0.434924071623772</v>
      </c>
      <c r="I86">
        <v>0.75824968888774413</v>
      </c>
      <c r="J86" t="s">
        <v>198</v>
      </c>
      <c r="K86" t="s">
        <v>241</v>
      </c>
      <c r="L86" t="s">
        <v>219</v>
      </c>
      <c r="M86" t="s">
        <v>225</v>
      </c>
    </row>
    <row r="87" spans="1:13" x14ac:dyDescent="0.25">
      <c r="A87" t="s">
        <v>44</v>
      </c>
      <c r="B87">
        <v>0.64326342242914203</v>
      </c>
      <c r="C87">
        <v>0.27511764688372642</v>
      </c>
      <c r="D87">
        <v>0.15359976665305575</v>
      </c>
      <c r="E87">
        <v>6.3935295735292774E-2</v>
      </c>
      <c r="F87">
        <v>0.21107020833268941</v>
      </c>
      <c r="G87">
        <v>8.2926717787401349E-2</v>
      </c>
      <c r="H87">
        <v>0.5101398823808414</v>
      </c>
      <c r="I87">
        <v>0.91605163873927253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0.66665231175897754</v>
      </c>
      <c r="C88">
        <v>0.91520267665342869</v>
      </c>
      <c r="D88">
        <v>0.91226123130819747</v>
      </c>
      <c r="E88">
        <v>0.91190297593978686</v>
      </c>
      <c r="F88">
        <v>0.90189356157778333</v>
      </c>
      <c r="G88">
        <v>0.88809374883304726</v>
      </c>
      <c r="H88">
        <v>0.90063863981356829</v>
      </c>
      <c r="I88">
        <v>0.93754410952056033</v>
      </c>
      <c r="J88" t="s">
        <v>198</v>
      </c>
      <c r="K88" t="s">
        <v>207</v>
      </c>
      <c r="L88" t="s">
        <v>219</v>
      </c>
      <c r="M88" t="s">
        <v>225</v>
      </c>
    </row>
    <row r="89" spans="1:13" x14ac:dyDescent="0.25">
      <c r="A89" t="s">
        <v>330</v>
      </c>
      <c r="B89">
        <v>9.2740485495237501E-2</v>
      </c>
      <c r="C89">
        <v>0.28869822181780125</v>
      </c>
      <c r="D89">
        <v>3.9398615704386852E-2</v>
      </c>
      <c r="E89">
        <v>0.1963007039961765</v>
      </c>
      <c r="F89">
        <v>2.0862292269541838E-2</v>
      </c>
      <c r="G89">
        <v>0.25043657128967223</v>
      </c>
      <c r="H89">
        <v>0.37354084039663604</v>
      </c>
      <c r="I89">
        <v>0.22643372811052576</v>
      </c>
      <c r="J89" t="s">
        <v>198</v>
      </c>
      <c r="K89" t="s">
        <v>233</v>
      </c>
      <c r="L89" t="s">
        <v>219</v>
      </c>
      <c r="M89" t="s">
        <v>225</v>
      </c>
    </row>
    <row r="90" spans="1:13" x14ac:dyDescent="0.25">
      <c r="A90" t="s">
        <v>45</v>
      </c>
      <c r="J90" t="s">
        <v>198</v>
      </c>
      <c r="K90" t="s">
        <v>202</v>
      </c>
      <c r="L90" t="s">
        <v>220</v>
      </c>
      <c r="M90" t="s">
        <v>225</v>
      </c>
    </row>
    <row r="91" spans="1:13" x14ac:dyDescent="0.25">
      <c r="A91" t="s">
        <v>46</v>
      </c>
      <c r="B91">
        <v>0.17265422691358712</v>
      </c>
      <c r="C91">
        <v>0.25090615403774275</v>
      </c>
      <c r="D91">
        <v>0.58230116356236694</v>
      </c>
      <c r="E91">
        <v>8.4913179045724707E-3</v>
      </c>
      <c r="F91">
        <v>0.74347900506686448</v>
      </c>
      <c r="G91">
        <v>0.66235673024860597</v>
      </c>
      <c r="H91">
        <v>0.37350615652996078</v>
      </c>
      <c r="I91">
        <v>0.552883934634542</v>
      </c>
      <c r="J91" t="s">
        <v>198</v>
      </c>
      <c r="K91" t="s">
        <v>203</v>
      </c>
      <c r="L91" t="s">
        <v>220</v>
      </c>
      <c r="M91" t="s">
        <v>225</v>
      </c>
    </row>
    <row r="92" spans="1:13" x14ac:dyDescent="0.25">
      <c r="A92" t="s">
        <v>47</v>
      </c>
      <c r="B92">
        <v>0.30477395546417108</v>
      </c>
      <c r="C92">
        <v>0.16013433007964883</v>
      </c>
      <c r="D92">
        <v>0.91212084281750094</v>
      </c>
      <c r="E92">
        <v>0.24112796995795149</v>
      </c>
      <c r="F92">
        <v>0.84071225648550152</v>
      </c>
      <c r="G92">
        <v>0.88576470321812484</v>
      </c>
      <c r="H92">
        <v>0.84273726547306693</v>
      </c>
      <c r="I92">
        <v>0.9308911317541082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0.93637399858630277</v>
      </c>
      <c r="C93">
        <v>0.98289260255782485</v>
      </c>
      <c r="D93">
        <v>0.99564432618225507</v>
      </c>
      <c r="E93">
        <v>0.99831029099280177</v>
      </c>
      <c r="F93">
        <v>0.99498439942606309</v>
      </c>
      <c r="G93">
        <v>0.9897114936579805</v>
      </c>
      <c r="H93">
        <v>0.99995103956436571</v>
      </c>
      <c r="I93">
        <v>0.99973762587546577</v>
      </c>
      <c r="J93" t="s">
        <v>198</v>
      </c>
      <c r="K93" t="s">
        <v>239</v>
      </c>
      <c r="L93" t="s">
        <v>220</v>
      </c>
      <c r="M93" t="s">
        <v>225</v>
      </c>
    </row>
    <row r="94" spans="1:13" x14ac:dyDescent="0.25">
      <c r="A94" t="s">
        <v>332</v>
      </c>
      <c r="B94">
        <v>0.99999646546516363</v>
      </c>
      <c r="C94">
        <v>0.99791723765715845</v>
      </c>
      <c r="D94">
        <v>0.96908059167860483</v>
      </c>
      <c r="E94">
        <v>0.45924829481140739</v>
      </c>
      <c r="F94">
        <v>0.98850854382770903</v>
      </c>
      <c r="G94">
        <v>0.9987558275525189</v>
      </c>
      <c r="H94">
        <v>0.9929073722025491</v>
      </c>
      <c r="I94">
        <v>0.99357606559500466</v>
      </c>
      <c r="J94" t="s">
        <v>198</v>
      </c>
      <c r="K94" t="s">
        <v>241</v>
      </c>
      <c r="L94" t="s">
        <v>220</v>
      </c>
      <c r="M94" t="s">
        <v>225</v>
      </c>
    </row>
    <row r="95" spans="1:13" x14ac:dyDescent="0.25">
      <c r="A95" t="s">
        <v>48</v>
      </c>
      <c r="B95">
        <v>0.99894612631988189</v>
      </c>
      <c r="C95">
        <v>0.99528520998175185</v>
      </c>
      <c r="D95">
        <v>0.99987905055525694</v>
      </c>
      <c r="E95">
        <v>0.99095029057443373</v>
      </c>
      <c r="F95">
        <v>0.99987246021296938</v>
      </c>
      <c r="G95">
        <v>0.99979538878140539</v>
      </c>
      <c r="H95">
        <v>0.9999982608937944</v>
      </c>
      <c r="I95">
        <v>0.99999877097469558</v>
      </c>
      <c r="J95" t="s">
        <v>198</v>
      </c>
      <c r="K95" t="s">
        <v>206</v>
      </c>
      <c r="L95" t="s">
        <v>220</v>
      </c>
      <c r="M95" t="s">
        <v>225</v>
      </c>
    </row>
    <row r="96" spans="1:13" x14ac:dyDescent="0.25">
      <c r="A96" t="s">
        <v>272</v>
      </c>
      <c r="B96">
        <v>0.92507160527960253</v>
      </c>
      <c r="C96">
        <v>0.92146709604007448</v>
      </c>
      <c r="D96">
        <v>0.92170041561084459</v>
      </c>
      <c r="E96">
        <v>0.90529959746779243</v>
      </c>
      <c r="F96">
        <v>0.89820494110485205</v>
      </c>
      <c r="G96">
        <v>0.90077008828349625</v>
      </c>
      <c r="H96">
        <v>0.91153332400912201</v>
      </c>
      <c r="I96">
        <v>0.91069442617335206</v>
      </c>
      <c r="J96" t="s">
        <v>198</v>
      </c>
      <c r="K96" t="s">
        <v>207</v>
      </c>
      <c r="L96" t="s">
        <v>220</v>
      </c>
      <c r="M96" t="s">
        <v>225</v>
      </c>
    </row>
    <row r="97" spans="1:13" x14ac:dyDescent="0.25">
      <c r="A97" t="s">
        <v>333</v>
      </c>
      <c r="B97">
        <v>0.5455128370804263</v>
      </c>
      <c r="C97">
        <v>0.7052630783027829</v>
      </c>
      <c r="D97">
        <v>0.99600559783343445</v>
      </c>
      <c r="E97">
        <v>0.41358181358258084</v>
      </c>
      <c r="F97">
        <v>0.82941283652297049</v>
      </c>
      <c r="G97">
        <v>0.99553948036485107</v>
      </c>
      <c r="H97">
        <v>0.98865052227533057</v>
      </c>
      <c r="I97">
        <v>0.77375904614367763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J98" t="s">
        <v>198</v>
      </c>
      <c r="K98" t="s">
        <v>202</v>
      </c>
      <c r="L98" t="s">
        <v>221</v>
      </c>
      <c r="M98" t="s">
        <v>225</v>
      </c>
    </row>
    <row r="99" spans="1:13" x14ac:dyDescent="0.25">
      <c r="A99" t="s">
        <v>50</v>
      </c>
      <c r="B99">
        <v>0.53081275218930224</v>
      </c>
      <c r="C99">
        <v>0.20166057356390277</v>
      </c>
      <c r="D99">
        <v>0.77151449335263123</v>
      </c>
      <c r="E99">
        <v>0.39077355337087583</v>
      </c>
      <c r="F99">
        <v>0.9526216188056047</v>
      </c>
      <c r="G99">
        <v>0.34556379354758837</v>
      </c>
      <c r="H99">
        <v>0.11359459783491022</v>
      </c>
      <c r="I99">
        <v>0.98532464529564101</v>
      </c>
      <c r="J99" t="s">
        <v>198</v>
      </c>
      <c r="K99" t="s">
        <v>203</v>
      </c>
      <c r="L99" t="s">
        <v>221</v>
      </c>
      <c r="M99" t="s">
        <v>225</v>
      </c>
    </row>
    <row r="100" spans="1:13" x14ac:dyDescent="0.25">
      <c r="A100" t="s">
        <v>51</v>
      </c>
      <c r="B100">
        <v>0.64467427248175779</v>
      </c>
      <c r="C100">
        <v>4.3828043100033742E-2</v>
      </c>
      <c r="D100">
        <v>0.90246076454165136</v>
      </c>
      <c r="E100">
        <v>0.40374860351682484</v>
      </c>
      <c r="F100">
        <v>0.21413201207025523</v>
      </c>
      <c r="G100">
        <v>0.44399849785832468</v>
      </c>
      <c r="H100">
        <v>7.8886139718752579E-2</v>
      </c>
      <c r="I100">
        <v>0.50680127684080367</v>
      </c>
      <c r="J100" t="s">
        <v>198</v>
      </c>
      <c r="K100" t="s">
        <v>204</v>
      </c>
      <c r="L100" t="s">
        <v>221</v>
      </c>
      <c r="M100" t="s">
        <v>225</v>
      </c>
    </row>
    <row r="101" spans="1:13" x14ac:dyDescent="0.25">
      <c r="A101" t="s">
        <v>334</v>
      </c>
      <c r="B101">
        <v>0.51845742627805758</v>
      </c>
      <c r="C101">
        <v>0.86734270228482158</v>
      </c>
      <c r="D101">
        <v>0.95468390215614651</v>
      </c>
      <c r="E101">
        <v>0.92649238889184959</v>
      </c>
      <c r="F101">
        <v>0.96106808605145311</v>
      </c>
      <c r="G101">
        <v>0.95102770813624682</v>
      </c>
      <c r="H101">
        <v>0.95729580050360041</v>
      </c>
      <c r="I101">
        <v>0.96683968754657956</v>
      </c>
      <c r="J101" t="s">
        <v>198</v>
      </c>
      <c r="K101" t="s">
        <v>239</v>
      </c>
      <c r="L101" t="s">
        <v>221</v>
      </c>
      <c r="M101" t="s">
        <v>225</v>
      </c>
    </row>
    <row r="102" spans="1:13" x14ac:dyDescent="0.25">
      <c r="A102" t="s">
        <v>335</v>
      </c>
      <c r="B102">
        <v>0.41658972419206208</v>
      </c>
      <c r="C102">
        <v>0.53668623426175244</v>
      </c>
      <c r="D102">
        <v>0.6735105896104171</v>
      </c>
      <c r="E102">
        <v>0.97383047746142948</v>
      </c>
      <c r="F102">
        <v>0.46231155390461731</v>
      </c>
      <c r="G102">
        <v>0.19672600391416228</v>
      </c>
      <c r="H102">
        <v>0.39131266774730866</v>
      </c>
      <c r="I102">
        <v>0.79149647895562336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0.66258771155292107</v>
      </c>
      <c r="C103">
        <v>0.26644481575342049</v>
      </c>
      <c r="D103">
        <v>0.83198979758668123</v>
      </c>
      <c r="E103">
        <v>0.50812142433570306</v>
      </c>
      <c r="F103">
        <v>0.98482029363056778</v>
      </c>
      <c r="G103">
        <v>0.46562560851529389</v>
      </c>
      <c r="H103">
        <v>0.35974197855327006</v>
      </c>
      <c r="I103">
        <v>0.62298582695962612</v>
      </c>
      <c r="J103" t="s">
        <v>198</v>
      </c>
      <c r="K103" t="s">
        <v>206</v>
      </c>
      <c r="L103" t="s">
        <v>221</v>
      </c>
      <c r="M103" t="s">
        <v>225</v>
      </c>
    </row>
    <row r="104" spans="1:13" x14ac:dyDescent="0.25">
      <c r="A104" t="s">
        <v>273</v>
      </c>
      <c r="B104">
        <v>0.62089249122432921</v>
      </c>
      <c r="C104">
        <v>0.89991702795330908</v>
      </c>
      <c r="D104">
        <v>0.88265423023601786</v>
      </c>
      <c r="E104">
        <v>0.89205892973323053</v>
      </c>
      <c r="F104">
        <v>0.94226854160972273</v>
      </c>
      <c r="G104">
        <v>0.91572234478480619</v>
      </c>
      <c r="H104">
        <v>0.89525903888024438</v>
      </c>
      <c r="I104">
        <v>0.91944886844140117</v>
      </c>
      <c r="J104" t="s">
        <v>198</v>
      </c>
      <c r="K104" t="s">
        <v>207</v>
      </c>
      <c r="L104" t="s">
        <v>221</v>
      </c>
      <c r="M104" t="s">
        <v>225</v>
      </c>
    </row>
    <row r="105" spans="1:13" x14ac:dyDescent="0.25">
      <c r="A105" t="s">
        <v>336</v>
      </c>
      <c r="B105">
        <v>0.59626537884618713</v>
      </c>
      <c r="C105">
        <v>0.66489766118653271</v>
      </c>
      <c r="D105">
        <v>0.21620575697462119</v>
      </c>
      <c r="E105">
        <v>0.24188324633410652</v>
      </c>
      <c r="F105">
        <v>0.50706287378882897</v>
      </c>
      <c r="G105">
        <v>0.49644272743811213</v>
      </c>
      <c r="H105">
        <v>5.2530695274213501E-2</v>
      </c>
      <c r="I105">
        <v>0.94273797585895813</v>
      </c>
      <c r="J105" t="s">
        <v>198</v>
      </c>
      <c r="K105" t="s">
        <v>233</v>
      </c>
      <c r="L105" t="s">
        <v>221</v>
      </c>
      <c r="M105" t="s">
        <v>225</v>
      </c>
    </row>
    <row r="106" spans="1:13" x14ac:dyDescent="0.25">
      <c r="A106" t="s">
        <v>53</v>
      </c>
      <c r="J106" t="s">
        <v>198</v>
      </c>
      <c r="K106" t="s">
        <v>202</v>
      </c>
      <c r="L106" t="s">
        <v>222</v>
      </c>
      <c r="M106" t="s">
        <v>225</v>
      </c>
    </row>
    <row r="107" spans="1:13" x14ac:dyDescent="0.25">
      <c r="A107" t="s">
        <v>54</v>
      </c>
      <c r="B107">
        <v>0.68699194541478437</v>
      </c>
      <c r="C107">
        <v>0.56166462017091812</v>
      </c>
      <c r="D107">
        <v>0.25122893831626469</v>
      </c>
      <c r="E107">
        <v>1.5942583762584062E-2</v>
      </c>
      <c r="F107">
        <v>0.3831356319657242</v>
      </c>
      <c r="G107">
        <v>0.70883315157877025</v>
      </c>
      <c r="H107">
        <v>8.098006297646565E-2</v>
      </c>
      <c r="I107">
        <v>5.2441888040806184E-2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0.58885726429253071</v>
      </c>
      <c r="C108">
        <v>0.87400531936203718</v>
      </c>
      <c r="D108">
        <v>0.4519827911466856</v>
      </c>
      <c r="E108">
        <v>0.20785650173356229</v>
      </c>
      <c r="F108">
        <v>0.49144331597298785</v>
      </c>
      <c r="G108">
        <v>0.42589129025727568</v>
      </c>
      <c r="H108">
        <v>0.20983486150802411</v>
      </c>
      <c r="I108">
        <v>3.3435350922004226E-3</v>
      </c>
      <c r="J108" t="s">
        <v>198</v>
      </c>
      <c r="K108" t="s">
        <v>204</v>
      </c>
      <c r="L108" t="s">
        <v>222</v>
      </c>
      <c r="M108" t="s">
        <v>225</v>
      </c>
    </row>
    <row r="109" spans="1:13" x14ac:dyDescent="0.25">
      <c r="A109" t="s">
        <v>337</v>
      </c>
      <c r="B109">
        <v>0.72810001758461895</v>
      </c>
      <c r="C109">
        <v>0.85068717747193667</v>
      </c>
      <c r="D109">
        <v>0.80032529328696134</v>
      </c>
      <c r="E109">
        <v>0.85016654200801844</v>
      </c>
      <c r="F109">
        <v>0.76968661998717547</v>
      </c>
      <c r="G109">
        <v>0.89272642924681478</v>
      </c>
      <c r="H109">
        <v>0.93605241795842542</v>
      </c>
      <c r="I109">
        <v>0.56351712769536</v>
      </c>
      <c r="J109" t="s">
        <v>198</v>
      </c>
      <c r="K109" t="s">
        <v>239</v>
      </c>
      <c r="L109" t="s">
        <v>222</v>
      </c>
      <c r="M109" t="s">
        <v>225</v>
      </c>
    </row>
    <row r="110" spans="1:13" x14ac:dyDescent="0.25">
      <c r="A110" t="s">
        <v>338</v>
      </c>
      <c r="B110">
        <v>0.99787691475848195</v>
      </c>
      <c r="C110">
        <v>0.98510088579515909</v>
      </c>
      <c r="D110">
        <v>0.99302249162851597</v>
      </c>
      <c r="E110">
        <v>0.99913455907826065</v>
      </c>
      <c r="F110">
        <v>0.99832388576348718</v>
      </c>
      <c r="G110">
        <v>0.99894285512962622</v>
      </c>
      <c r="H110">
        <v>0.99926602705669576</v>
      </c>
      <c r="I110">
        <v>0.97204057582082437</v>
      </c>
      <c r="J110" t="s">
        <v>198</v>
      </c>
      <c r="K110" t="s">
        <v>241</v>
      </c>
      <c r="L110" t="s">
        <v>222</v>
      </c>
      <c r="M110" t="s">
        <v>225</v>
      </c>
    </row>
    <row r="111" spans="1:13" x14ac:dyDescent="0.25">
      <c r="A111" t="s">
        <v>56</v>
      </c>
      <c r="B111">
        <v>0.36901198674033098</v>
      </c>
      <c r="C111">
        <v>0.9169633896477245</v>
      </c>
      <c r="D111">
        <v>0.86405780341737126</v>
      </c>
      <c r="E111">
        <v>6.0195536502159364E-2</v>
      </c>
      <c r="F111">
        <v>5.1735882429100322E-2</v>
      </c>
      <c r="G111">
        <v>0.93268347690936049</v>
      </c>
      <c r="H111">
        <v>0.21853833383021881</v>
      </c>
      <c r="I111">
        <v>0.15642609359333104</v>
      </c>
      <c r="J111" t="s">
        <v>198</v>
      </c>
      <c r="K111" t="s">
        <v>206</v>
      </c>
      <c r="L111" t="s">
        <v>222</v>
      </c>
      <c r="M111" t="s">
        <v>225</v>
      </c>
    </row>
    <row r="112" spans="1:13" x14ac:dyDescent="0.25">
      <c r="A112" t="s">
        <v>274</v>
      </c>
      <c r="B112">
        <v>0.60087391883697028</v>
      </c>
      <c r="C112">
        <v>0.88278368541024765</v>
      </c>
      <c r="D112">
        <v>0.86861212806763111</v>
      </c>
      <c r="E112">
        <v>0.86404443888990057</v>
      </c>
      <c r="F112">
        <v>0.87355052870019811</v>
      </c>
      <c r="G112">
        <v>0.92319536397131496</v>
      </c>
      <c r="H112">
        <v>0.93544406428757487</v>
      </c>
      <c r="I112">
        <v>0.85404055821769154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0.41197464573262443</v>
      </c>
      <c r="C113">
        <v>0.9437088772683454</v>
      </c>
      <c r="D113">
        <v>0.26194780959449382</v>
      </c>
      <c r="E113">
        <v>0.33066203391867754</v>
      </c>
      <c r="F113">
        <v>7.2669644560729774E-2</v>
      </c>
      <c r="G113">
        <v>0.93757378814416625</v>
      </c>
      <c r="H113">
        <v>0.28310833183214412</v>
      </c>
      <c r="I113">
        <v>1.1265911130919903E-2</v>
      </c>
      <c r="J113" t="s">
        <v>198</v>
      </c>
      <c r="K113" t="s">
        <v>233</v>
      </c>
      <c r="L113" t="s">
        <v>222</v>
      </c>
      <c r="M113" t="s">
        <v>225</v>
      </c>
    </row>
    <row r="114" spans="1:13" x14ac:dyDescent="0.25">
      <c r="A114" t="s">
        <v>57</v>
      </c>
      <c r="J114" t="s">
        <v>198</v>
      </c>
      <c r="K114" t="s">
        <v>202</v>
      </c>
      <c r="L114" t="s">
        <v>223</v>
      </c>
      <c r="M114" t="s">
        <v>225</v>
      </c>
    </row>
    <row r="115" spans="1:13" x14ac:dyDescent="0.25">
      <c r="A115" t="s">
        <v>58</v>
      </c>
      <c r="B115">
        <v>0.91588985394437727</v>
      </c>
      <c r="C115">
        <v>0.92090148864136945</v>
      </c>
      <c r="D115">
        <v>0.43412378580459721</v>
      </c>
      <c r="E115">
        <v>0.73051211744446531</v>
      </c>
      <c r="F115">
        <v>8.2778228024817713E-2</v>
      </c>
      <c r="G115">
        <v>0.32882077358518447</v>
      </c>
      <c r="H115">
        <v>0.19196362736863348</v>
      </c>
      <c r="I115">
        <v>0.45915977680232845</v>
      </c>
      <c r="J115" t="s">
        <v>198</v>
      </c>
      <c r="K115" t="s">
        <v>203</v>
      </c>
      <c r="L115" t="s">
        <v>223</v>
      </c>
      <c r="M115" t="s">
        <v>225</v>
      </c>
    </row>
    <row r="116" spans="1:13" x14ac:dyDescent="0.25">
      <c r="A116" t="s">
        <v>59</v>
      </c>
      <c r="B116">
        <v>0.69184161463070626</v>
      </c>
      <c r="C116">
        <v>0.91825939163533798</v>
      </c>
      <c r="D116">
        <v>0.39317442997115115</v>
      </c>
      <c r="E116">
        <v>0.81388125892428254</v>
      </c>
      <c r="F116">
        <v>8.3269957858294275E-2</v>
      </c>
      <c r="G116">
        <v>0.65148877224915336</v>
      </c>
      <c r="H116">
        <v>0.53515434634785219</v>
      </c>
      <c r="I116">
        <v>0.73567712766254878</v>
      </c>
      <c r="J116" t="s">
        <v>198</v>
      </c>
      <c r="K116" t="s">
        <v>204</v>
      </c>
      <c r="L116" t="s">
        <v>223</v>
      </c>
      <c r="M116" t="s">
        <v>225</v>
      </c>
    </row>
    <row r="117" spans="1:13" x14ac:dyDescent="0.25">
      <c r="A117" t="s">
        <v>340</v>
      </c>
      <c r="B117">
        <v>0.83753317236734115</v>
      </c>
      <c r="C117">
        <v>0.91583508853087203</v>
      </c>
      <c r="D117">
        <v>0.99310390049436836</v>
      </c>
      <c r="E117">
        <v>0.95906692675495975</v>
      </c>
      <c r="F117">
        <v>0.9262362247235526</v>
      </c>
      <c r="G117">
        <v>0.96517249005786754</v>
      </c>
      <c r="H117">
        <v>0.98108818866029091</v>
      </c>
      <c r="I117">
        <v>0.98723639963669019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0.93265923040357035</v>
      </c>
      <c r="C118">
        <v>0.96231473257296984</v>
      </c>
      <c r="D118">
        <v>0.44547458367175652</v>
      </c>
      <c r="E118">
        <v>0.88747352722480954</v>
      </c>
      <c r="F118">
        <v>5.3482885279378944E-2</v>
      </c>
      <c r="G118">
        <v>0.61273731085302063</v>
      </c>
      <c r="H118">
        <v>5.7210658162811789E-2</v>
      </c>
      <c r="I118">
        <v>0.96002294241108532</v>
      </c>
      <c r="J118" t="s">
        <v>198</v>
      </c>
      <c r="K118" t="s">
        <v>241</v>
      </c>
      <c r="L118" t="s">
        <v>223</v>
      </c>
      <c r="M118" t="s">
        <v>225</v>
      </c>
    </row>
    <row r="119" spans="1:13" x14ac:dyDescent="0.25">
      <c r="A119" t="s">
        <v>60</v>
      </c>
      <c r="B119">
        <v>0.99918422484240643</v>
      </c>
      <c r="C119">
        <v>0.9404056044379534</v>
      </c>
      <c r="D119">
        <v>0.88768980474032377</v>
      </c>
      <c r="E119">
        <v>0.96870766428254618</v>
      </c>
      <c r="F119">
        <v>0.59417885085782762</v>
      </c>
      <c r="G119">
        <v>0.89151899043455618</v>
      </c>
      <c r="H119">
        <v>0.9188483934490288</v>
      </c>
      <c r="I119">
        <v>0.94864458623729542</v>
      </c>
      <c r="J119" t="s">
        <v>198</v>
      </c>
      <c r="K119" t="s">
        <v>206</v>
      </c>
      <c r="L119" t="s">
        <v>223</v>
      </c>
      <c r="M119" t="s">
        <v>225</v>
      </c>
    </row>
    <row r="120" spans="1:13" x14ac:dyDescent="0.25">
      <c r="A120" t="s">
        <v>275</v>
      </c>
      <c r="B120">
        <v>0.95139746593683705</v>
      </c>
      <c r="C120">
        <v>0.8989246492304479</v>
      </c>
      <c r="D120">
        <v>0.90854634930238265</v>
      </c>
      <c r="E120">
        <v>0.91985203861040066</v>
      </c>
      <c r="F120">
        <v>0.89284673241580992</v>
      </c>
      <c r="G120">
        <v>0.89125469600686857</v>
      </c>
      <c r="H120">
        <v>0.92588316309218976</v>
      </c>
      <c r="I120">
        <v>0.94564765961077712</v>
      </c>
      <c r="J120" t="s">
        <v>198</v>
      </c>
      <c r="K120" t="s">
        <v>207</v>
      </c>
      <c r="L120" t="s">
        <v>223</v>
      </c>
      <c r="M120" t="s">
        <v>225</v>
      </c>
    </row>
    <row r="121" spans="1:13" x14ac:dyDescent="0.25">
      <c r="A121" t="s">
        <v>342</v>
      </c>
      <c r="B121">
        <v>0.74057072804528601</v>
      </c>
      <c r="C121">
        <v>0.8703566021011524</v>
      </c>
      <c r="D121">
        <v>0.82537084512860392</v>
      </c>
      <c r="E121">
        <v>0.86380327418066094</v>
      </c>
      <c r="F121">
        <v>0.4661545682833852</v>
      </c>
      <c r="G121">
        <v>0.90769732605492126</v>
      </c>
      <c r="H121">
        <v>0.24273941168069235</v>
      </c>
      <c r="I121">
        <v>0.80660757919615689</v>
      </c>
      <c r="J121" t="s">
        <v>198</v>
      </c>
      <c r="K121" t="s">
        <v>233</v>
      </c>
      <c r="L121" t="s">
        <v>223</v>
      </c>
      <c r="M121" t="s">
        <v>225</v>
      </c>
    </row>
    <row r="122" spans="1:13" x14ac:dyDescent="0.25">
      <c r="A122" t="s">
        <v>61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0.99448701667414319</v>
      </c>
      <c r="C123">
        <v>0.76531107917785646</v>
      </c>
      <c r="D123">
        <v>0.51450408248335533</v>
      </c>
      <c r="E123">
        <v>0.12743985747950148</v>
      </c>
      <c r="F123">
        <v>0.3937379164145739</v>
      </c>
      <c r="G123">
        <v>6.1743292662801208E-2</v>
      </c>
      <c r="H123">
        <v>1.7523884422335101E-2</v>
      </c>
      <c r="I123">
        <v>7.203746674846756E-2</v>
      </c>
      <c r="J123" t="s">
        <v>199</v>
      </c>
      <c r="K123" t="s">
        <v>203</v>
      </c>
      <c r="L123" t="s">
        <v>209</v>
      </c>
      <c r="M123" t="s">
        <v>225</v>
      </c>
    </row>
    <row r="124" spans="1:13" x14ac:dyDescent="0.25">
      <c r="A124" t="s">
        <v>63</v>
      </c>
      <c r="B124">
        <v>0.96900198715577046</v>
      </c>
      <c r="C124">
        <v>0.85147891935285736</v>
      </c>
      <c r="D124">
        <v>0.55577904212641749</v>
      </c>
      <c r="E124">
        <v>0.79854727266520031</v>
      </c>
      <c r="F124">
        <v>0.63936104865590992</v>
      </c>
      <c r="G124">
        <v>0.10815798546771149</v>
      </c>
      <c r="H124">
        <v>0.10541009724038808</v>
      </c>
      <c r="I124">
        <v>0.13878407476526511</v>
      </c>
      <c r="J124" t="s">
        <v>199</v>
      </c>
      <c r="K124" t="s">
        <v>204</v>
      </c>
      <c r="L124" t="s">
        <v>209</v>
      </c>
      <c r="M124" t="s">
        <v>225</v>
      </c>
    </row>
    <row r="125" spans="1:13" x14ac:dyDescent="0.25">
      <c r="A125" t="s">
        <v>343</v>
      </c>
      <c r="B125">
        <v>0.99689304556636882</v>
      </c>
      <c r="C125">
        <v>0.88375015110516686</v>
      </c>
      <c r="D125">
        <v>0.9807821306673542</v>
      </c>
      <c r="E125">
        <v>0.98935199589823897</v>
      </c>
      <c r="F125">
        <v>0.96471237357909001</v>
      </c>
      <c r="G125">
        <v>0.92456964928456731</v>
      </c>
      <c r="H125">
        <v>0.6095781717257136</v>
      </c>
      <c r="I125">
        <v>0.92213649572924028</v>
      </c>
      <c r="J125" t="s">
        <v>199</v>
      </c>
      <c r="K125" t="s">
        <v>239</v>
      </c>
      <c r="L125" t="s">
        <v>209</v>
      </c>
      <c r="M125" t="s">
        <v>225</v>
      </c>
    </row>
    <row r="126" spans="1:13" x14ac:dyDescent="0.25">
      <c r="A126" t="s">
        <v>344</v>
      </c>
      <c r="B126">
        <v>0.99957978732857011</v>
      </c>
      <c r="C126">
        <v>0.9975821520678253</v>
      </c>
      <c r="D126">
        <v>0.97336583512109232</v>
      </c>
      <c r="E126">
        <v>0.9801520282170445</v>
      </c>
      <c r="F126">
        <v>0.98787674723952545</v>
      </c>
      <c r="G126">
        <v>0.93806350289303608</v>
      </c>
      <c r="H126">
        <v>0.932100711045734</v>
      </c>
      <c r="I126">
        <v>0.93458490036542452</v>
      </c>
      <c r="J126" t="s">
        <v>199</v>
      </c>
      <c r="K126" t="s">
        <v>241</v>
      </c>
      <c r="L126" t="s">
        <v>209</v>
      </c>
      <c r="M126" t="s">
        <v>225</v>
      </c>
    </row>
    <row r="127" spans="1:13" x14ac:dyDescent="0.25">
      <c r="A127" t="s">
        <v>64</v>
      </c>
      <c r="B127">
        <v>0.73519807107164925</v>
      </c>
      <c r="C127">
        <v>0.32421663558049851</v>
      </c>
      <c r="D127">
        <v>0.37131130839256399</v>
      </c>
      <c r="E127">
        <v>0.15061489549189067</v>
      </c>
      <c r="F127">
        <v>0.28934248349803215</v>
      </c>
      <c r="G127">
        <v>0.11338707763496192</v>
      </c>
      <c r="H127">
        <v>1.5325923966776234E-2</v>
      </c>
      <c r="I127">
        <v>3.8046111230754742E-2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0.99996247913913561</v>
      </c>
      <c r="C128">
        <v>0.9518318939797219</v>
      </c>
      <c r="D128">
        <v>0.85009562339890976</v>
      </c>
      <c r="E128">
        <v>0.92793314398199067</v>
      </c>
      <c r="F128">
        <v>0.93218357204526181</v>
      </c>
      <c r="G128">
        <v>0.86763508520058907</v>
      </c>
      <c r="H128">
        <v>0.67944499688687177</v>
      </c>
      <c r="I128">
        <v>0.91676089537164818</v>
      </c>
      <c r="J128" t="s">
        <v>199</v>
      </c>
      <c r="K128" t="s">
        <v>207</v>
      </c>
      <c r="L128" t="s">
        <v>209</v>
      </c>
      <c r="M128" t="s">
        <v>225</v>
      </c>
    </row>
    <row r="129" spans="1:13" x14ac:dyDescent="0.25">
      <c r="A129" t="s">
        <v>345</v>
      </c>
      <c r="B129">
        <v>0.98784707035089803</v>
      </c>
      <c r="C129">
        <v>0.79206063157514595</v>
      </c>
      <c r="D129">
        <v>0.87476205586057598</v>
      </c>
      <c r="E129">
        <v>0.91160935830007472</v>
      </c>
      <c r="F129">
        <v>0.61520078193835626</v>
      </c>
      <c r="G129">
        <v>0.91112538771831364</v>
      </c>
      <c r="H129">
        <v>0.32844968708574995</v>
      </c>
      <c r="I129">
        <v>0.6549554953462956</v>
      </c>
      <c r="J129" t="s">
        <v>199</v>
      </c>
      <c r="K129" t="s">
        <v>233</v>
      </c>
      <c r="L129" t="s">
        <v>209</v>
      </c>
      <c r="M129" t="s">
        <v>225</v>
      </c>
    </row>
    <row r="130" spans="1:13" x14ac:dyDescent="0.25">
      <c r="A130" t="s">
        <v>65</v>
      </c>
      <c r="J130" t="s">
        <v>199</v>
      </c>
      <c r="K130" t="s">
        <v>202</v>
      </c>
      <c r="L130" t="s">
        <v>210</v>
      </c>
      <c r="M130" t="s">
        <v>225</v>
      </c>
    </row>
    <row r="131" spans="1:13" x14ac:dyDescent="0.25">
      <c r="A131" t="s">
        <v>66</v>
      </c>
      <c r="B131">
        <v>2.8547493749826902E-2</v>
      </c>
      <c r="C131">
        <v>0.39815987377298967</v>
      </c>
      <c r="D131">
        <v>7.6655655486955299E-2</v>
      </c>
      <c r="E131">
        <v>3.5009570781001642E-3</v>
      </c>
      <c r="F131">
        <v>7.9368401279208411E-3</v>
      </c>
      <c r="G131">
        <v>0.48942830677184268</v>
      </c>
      <c r="H131">
        <v>0.42762064546643774</v>
      </c>
      <c r="I131">
        <v>5.8504887411175099E-2</v>
      </c>
      <c r="J131" t="s">
        <v>199</v>
      </c>
      <c r="K131" t="s">
        <v>203</v>
      </c>
      <c r="L131" t="s">
        <v>210</v>
      </c>
      <c r="M131" t="s">
        <v>225</v>
      </c>
    </row>
    <row r="132" spans="1:13" x14ac:dyDescent="0.25">
      <c r="A132" t="s">
        <v>67</v>
      </c>
      <c r="B132">
        <v>7.1790475455318914E-2</v>
      </c>
      <c r="C132">
        <v>0.8583964909296804</v>
      </c>
      <c r="D132">
        <v>0.83316864744465502</v>
      </c>
      <c r="E132">
        <v>0.27681695330380329</v>
      </c>
      <c r="F132">
        <v>0.46555310794774496</v>
      </c>
      <c r="G132">
        <v>0.83008613170455492</v>
      </c>
      <c r="H132">
        <v>0.90367631209426047</v>
      </c>
      <c r="I132">
        <v>0.82056611682230152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0.83853912578344714</v>
      </c>
      <c r="C133">
        <v>0.67637310999636813</v>
      </c>
      <c r="D133">
        <v>0.81957847937958395</v>
      </c>
      <c r="E133">
        <v>0.85201071840853038</v>
      </c>
      <c r="F133">
        <v>0.85394041667406917</v>
      </c>
      <c r="G133">
        <v>0.89925072188746435</v>
      </c>
      <c r="H133">
        <v>0.81319964632143427</v>
      </c>
      <c r="I133">
        <v>0.53914129250201392</v>
      </c>
      <c r="J133" t="s">
        <v>199</v>
      </c>
      <c r="K133" t="s">
        <v>239</v>
      </c>
      <c r="L133" t="s">
        <v>210</v>
      </c>
      <c r="M133" t="s">
        <v>225</v>
      </c>
    </row>
    <row r="134" spans="1:13" x14ac:dyDescent="0.25">
      <c r="A134" t="s">
        <v>347</v>
      </c>
      <c r="B134">
        <v>0.97498089180591363</v>
      </c>
      <c r="C134">
        <v>0.99186930491721126</v>
      </c>
      <c r="D134">
        <v>0.99061708067839893</v>
      </c>
      <c r="E134">
        <v>0.98425478332809013</v>
      </c>
      <c r="F134">
        <v>0.99280157545751757</v>
      </c>
      <c r="G134">
        <v>0.98133587311598514</v>
      </c>
      <c r="H134">
        <v>0.98494104029854856</v>
      </c>
      <c r="I134">
        <v>0.98921168971282813</v>
      </c>
      <c r="J134" t="s">
        <v>199</v>
      </c>
      <c r="K134" t="s">
        <v>241</v>
      </c>
      <c r="L134" t="s">
        <v>210</v>
      </c>
      <c r="M134" t="s">
        <v>225</v>
      </c>
    </row>
    <row r="135" spans="1:13" x14ac:dyDescent="0.25">
      <c r="A135" t="s">
        <v>68</v>
      </c>
      <c r="B135">
        <v>0.10966370938322667</v>
      </c>
      <c r="C135">
        <v>0.38583975245914615</v>
      </c>
      <c r="D135">
        <v>0.20040503420009237</v>
      </c>
      <c r="E135">
        <v>0.13004838736070656</v>
      </c>
      <c r="F135">
        <v>2.156730721295308E-2</v>
      </c>
      <c r="G135">
        <v>0.17737670321271826</v>
      </c>
      <c r="H135">
        <v>0.23325798170982281</v>
      </c>
      <c r="I135">
        <v>0.30114044657016914</v>
      </c>
      <c r="J135" t="s">
        <v>199</v>
      </c>
      <c r="K135" t="s">
        <v>206</v>
      </c>
      <c r="L135" t="s">
        <v>210</v>
      </c>
      <c r="M135" t="s">
        <v>225</v>
      </c>
    </row>
    <row r="136" spans="1:13" x14ac:dyDescent="0.25">
      <c r="A136" t="s">
        <v>277</v>
      </c>
      <c r="B136">
        <v>0.90043352651295694</v>
      </c>
      <c r="C136">
        <v>0.94644313230603716</v>
      </c>
      <c r="D136">
        <v>0.74557112088988364</v>
      </c>
      <c r="E136">
        <v>0.92885604347838036</v>
      </c>
      <c r="F136">
        <v>0.89761300135673117</v>
      </c>
      <c r="G136">
        <v>0.94220450386474042</v>
      </c>
      <c r="H136">
        <v>0.9137739441138365</v>
      </c>
      <c r="I136">
        <v>0.86865837189533901</v>
      </c>
      <c r="J136" t="s">
        <v>199</v>
      </c>
      <c r="K136" t="s">
        <v>207</v>
      </c>
      <c r="L136" t="s">
        <v>210</v>
      </c>
      <c r="M136" t="s">
        <v>225</v>
      </c>
    </row>
    <row r="137" spans="1:13" x14ac:dyDescent="0.25">
      <c r="A137" t="s">
        <v>348</v>
      </c>
      <c r="B137">
        <v>0.56441751234167392</v>
      </c>
      <c r="C137">
        <v>0.53986674691433645</v>
      </c>
      <c r="D137">
        <v>0.30121117842927037</v>
      </c>
      <c r="E137">
        <v>0.62964106097993933</v>
      </c>
      <c r="F137">
        <v>0.10642878146332058</v>
      </c>
      <c r="G137">
        <v>0.8786598427094563</v>
      </c>
      <c r="H137">
        <v>0.69972971223438085</v>
      </c>
      <c r="I137">
        <v>0.63810425688164751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J138" t="s">
        <v>199</v>
      </c>
      <c r="K138" t="s">
        <v>202</v>
      </c>
      <c r="L138" t="s">
        <v>211</v>
      </c>
      <c r="M138" t="s">
        <v>225</v>
      </c>
    </row>
    <row r="139" spans="1:13" x14ac:dyDescent="0.25">
      <c r="A139" t="s">
        <v>70</v>
      </c>
      <c r="B139">
        <v>0.14756023529950657</v>
      </c>
      <c r="C139">
        <v>1.6925912480050709E-2</v>
      </c>
      <c r="D139">
        <v>3.3539889224913022E-2</v>
      </c>
      <c r="E139">
        <v>1.0155805968117049E-2</v>
      </c>
      <c r="F139">
        <v>7.874525887245154E-2</v>
      </c>
      <c r="G139">
        <v>3.940937921316745E-2</v>
      </c>
      <c r="H139">
        <v>3.1579669318526182E-2</v>
      </c>
      <c r="I139">
        <v>3.355855580076117E-4</v>
      </c>
      <c r="J139" t="s">
        <v>199</v>
      </c>
      <c r="K139" t="s">
        <v>203</v>
      </c>
      <c r="L139" t="s">
        <v>211</v>
      </c>
      <c r="M139" t="s">
        <v>225</v>
      </c>
    </row>
    <row r="140" spans="1:13" x14ac:dyDescent="0.25">
      <c r="A140" t="s">
        <v>71</v>
      </c>
      <c r="B140">
        <v>0.86167759040446334</v>
      </c>
      <c r="C140">
        <v>0.73978682496309478</v>
      </c>
      <c r="D140">
        <v>0.82614349196389913</v>
      </c>
      <c r="E140">
        <v>0.67698570191837049</v>
      </c>
      <c r="F140">
        <v>0.97922518423094762</v>
      </c>
      <c r="G140">
        <v>0.88120099273052865</v>
      </c>
      <c r="H140">
        <v>0.74945023055852988</v>
      </c>
      <c r="I140">
        <v>0.95113386107798548</v>
      </c>
      <c r="J140" t="s">
        <v>199</v>
      </c>
      <c r="K140" t="s">
        <v>204</v>
      </c>
      <c r="L140" t="s">
        <v>211</v>
      </c>
      <c r="M140" t="s">
        <v>225</v>
      </c>
    </row>
    <row r="141" spans="1:13" x14ac:dyDescent="0.25">
      <c r="A141" t="s">
        <v>349</v>
      </c>
      <c r="B141">
        <v>0.99253642135493425</v>
      </c>
      <c r="C141">
        <v>0.99880773091077413</v>
      </c>
      <c r="D141">
        <v>0.99939980258655337</v>
      </c>
      <c r="E141">
        <v>0.97529575215939701</v>
      </c>
      <c r="F141">
        <v>0.96707729805766685</v>
      </c>
      <c r="G141">
        <v>0.91347944348212373</v>
      </c>
      <c r="H141">
        <v>0.63927359278172746</v>
      </c>
      <c r="I141">
        <v>0.71119546278891943</v>
      </c>
      <c r="J141" t="s">
        <v>199</v>
      </c>
      <c r="K141" t="s">
        <v>239</v>
      </c>
      <c r="L141" t="s">
        <v>211</v>
      </c>
      <c r="M141" t="s">
        <v>225</v>
      </c>
    </row>
    <row r="142" spans="1:13" x14ac:dyDescent="0.25">
      <c r="A142" t="s">
        <v>350</v>
      </c>
      <c r="B142">
        <v>0.99840186444620693</v>
      </c>
      <c r="C142">
        <v>0.99678895395618627</v>
      </c>
      <c r="D142">
        <v>0.99871088092866189</v>
      </c>
      <c r="E142">
        <v>0.99663017397996911</v>
      </c>
      <c r="F142">
        <v>0.99702417639856811</v>
      </c>
      <c r="G142">
        <v>0.99606080053967294</v>
      </c>
      <c r="H142">
        <v>0.99637292172726988</v>
      </c>
      <c r="I142">
        <v>0.98733033751822707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0.95508761619596128</v>
      </c>
      <c r="C143">
        <v>0.96326364480393112</v>
      </c>
      <c r="D143">
        <v>0.95184544629983481</v>
      </c>
      <c r="E143">
        <v>0.77783689772304754</v>
      </c>
      <c r="F143">
        <v>0.81154868094205146</v>
      </c>
      <c r="G143">
        <v>0.42866238636370679</v>
      </c>
      <c r="H143">
        <v>0.52288443197522227</v>
      </c>
      <c r="I143">
        <v>0.31210949676063504</v>
      </c>
      <c r="J143" t="s">
        <v>199</v>
      </c>
      <c r="K143" t="s">
        <v>206</v>
      </c>
      <c r="L143" t="s">
        <v>211</v>
      </c>
      <c r="M143" t="s">
        <v>225</v>
      </c>
    </row>
    <row r="144" spans="1:13" x14ac:dyDescent="0.25">
      <c r="A144" t="s">
        <v>278</v>
      </c>
      <c r="B144">
        <v>0.95124219092134454</v>
      </c>
      <c r="C144">
        <v>0.93349396344831059</v>
      </c>
      <c r="D144">
        <v>0.90234976893256857</v>
      </c>
      <c r="E144">
        <v>0.87658507340417713</v>
      </c>
      <c r="F144">
        <v>0.82945455540449908</v>
      </c>
      <c r="G144">
        <v>0.75295453874492746</v>
      </c>
      <c r="H144">
        <v>0.74257519185052145</v>
      </c>
      <c r="I144">
        <v>0.76242917516883313</v>
      </c>
      <c r="J144" t="s">
        <v>199</v>
      </c>
      <c r="K144" t="s">
        <v>207</v>
      </c>
      <c r="L144" t="s">
        <v>211</v>
      </c>
      <c r="M144" t="s">
        <v>225</v>
      </c>
    </row>
    <row r="145" spans="1:13" x14ac:dyDescent="0.25">
      <c r="A145" t="s">
        <v>351</v>
      </c>
      <c r="B145">
        <v>0.15528317071658626</v>
      </c>
      <c r="C145">
        <v>0.22573496101209578</v>
      </c>
      <c r="D145">
        <v>0.68431195906831244</v>
      </c>
      <c r="E145">
        <v>0.50243872964404135</v>
      </c>
      <c r="F145">
        <v>0.76292587376125198</v>
      </c>
      <c r="G145">
        <v>0.89549695138514152</v>
      </c>
      <c r="H145">
        <v>0.95642744322475337</v>
      </c>
      <c r="I145">
        <v>0.958481336705164</v>
      </c>
      <c r="J145" t="s">
        <v>199</v>
      </c>
      <c r="K145" t="s">
        <v>233</v>
      </c>
      <c r="L145" t="s">
        <v>211</v>
      </c>
      <c r="M145" t="s">
        <v>225</v>
      </c>
    </row>
    <row r="146" spans="1:13" x14ac:dyDescent="0.25">
      <c r="A146" t="s">
        <v>73</v>
      </c>
      <c r="J146" t="s">
        <v>199</v>
      </c>
      <c r="K146" t="s">
        <v>202</v>
      </c>
      <c r="L146" t="s">
        <v>212</v>
      </c>
      <c r="M146" t="s">
        <v>225</v>
      </c>
    </row>
    <row r="147" spans="1:13" x14ac:dyDescent="0.25">
      <c r="A147" t="s">
        <v>74</v>
      </c>
      <c r="B147">
        <v>0.11490372273712246</v>
      </c>
      <c r="C147">
        <v>0.21029622801785675</v>
      </c>
      <c r="D147">
        <v>0.17890799409739477</v>
      </c>
      <c r="E147">
        <v>0.15648176006477266</v>
      </c>
      <c r="F147">
        <v>0.2131808236474102</v>
      </c>
      <c r="G147">
        <v>2.1584963100478971E-2</v>
      </c>
      <c r="H147">
        <v>0.18735087071744294</v>
      </c>
      <c r="I147">
        <v>7.5958346654071418E-3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0.28734722197754836</v>
      </c>
      <c r="C148">
        <v>0.42169494292725784</v>
      </c>
      <c r="D148">
        <v>0.52773804164491245</v>
      </c>
      <c r="E148">
        <v>0.37441329396213407</v>
      </c>
      <c r="F148">
        <v>0.43927180291514878</v>
      </c>
      <c r="G148">
        <v>0.14703162865930031</v>
      </c>
      <c r="H148">
        <v>0.16531279400549914</v>
      </c>
      <c r="I148">
        <v>1.6293244020193498E-5</v>
      </c>
      <c r="J148" t="s">
        <v>199</v>
      </c>
      <c r="K148" t="s">
        <v>204</v>
      </c>
      <c r="L148" t="s">
        <v>212</v>
      </c>
      <c r="M148" t="s">
        <v>225</v>
      </c>
    </row>
    <row r="149" spans="1:13" x14ac:dyDescent="0.25">
      <c r="A149" t="s">
        <v>352</v>
      </c>
      <c r="B149">
        <v>0.99123827330673142</v>
      </c>
      <c r="C149">
        <v>0.71523224738140256</v>
      </c>
      <c r="D149">
        <v>0.97283834443978146</v>
      </c>
      <c r="E149">
        <v>0.76001420184584378</v>
      </c>
      <c r="F149">
        <v>0.43462491158272987</v>
      </c>
      <c r="G149">
        <v>0.57318775852820103</v>
      </c>
      <c r="H149">
        <v>0.19945999136146741</v>
      </c>
      <c r="I149">
        <v>0.10483984605400065</v>
      </c>
      <c r="J149" t="s">
        <v>199</v>
      </c>
      <c r="K149" t="s">
        <v>239</v>
      </c>
      <c r="L149" t="s">
        <v>212</v>
      </c>
      <c r="M149" t="s">
        <v>225</v>
      </c>
    </row>
    <row r="150" spans="1:13" x14ac:dyDescent="0.25">
      <c r="A150" t="s">
        <v>353</v>
      </c>
      <c r="B150">
        <v>0.99906267603500543</v>
      </c>
      <c r="C150">
        <v>0.99138879701197524</v>
      </c>
      <c r="D150">
        <v>0.97788520507468024</v>
      </c>
      <c r="E150">
        <v>0.95327199252366634</v>
      </c>
      <c r="F150">
        <v>0.93850574513032115</v>
      </c>
      <c r="G150">
        <v>0.82050751218548279</v>
      </c>
      <c r="H150">
        <v>0.72610466349952951</v>
      </c>
      <c r="I150">
        <v>0.39921202949993684</v>
      </c>
      <c r="J150" t="s">
        <v>199</v>
      </c>
      <c r="K150" t="s">
        <v>241</v>
      </c>
      <c r="L150" t="s">
        <v>212</v>
      </c>
      <c r="M150" t="s">
        <v>225</v>
      </c>
    </row>
    <row r="151" spans="1:13" x14ac:dyDescent="0.25">
      <c r="A151" t="s">
        <v>76</v>
      </c>
      <c r="B151">
        <v>0.99955818148234254</v>
      </c>
      <c r="C151">
        <v>0.97391864722079513</v>
      </c>
      <c r="D151">
        <v>0.98853408028346468</v>
      </c>
      <c r="E151">
        <v>0.85312781627202772</v>
      </c>
      <c r="F151">
        <v>0.80909314658891285</v>
      </c>
      <c r="G151">
        <v>0.59314395993102598</v>
      </c>
      <c r="H151">
        <v>0.91820173007132666</v>
      </c>
      <c r="I151">
        <v>0.38838665265145111</v>
      </c>
      <c r="J151" t="s">
        <v>199</v>
      </c>
      <c r="K151" t="s">
        <v>206</v>
      </c>
      <c r="L151" t="s">
        <v>212</v>
      </c>
      <c r="M151" t="s">
        <v>225</v>
      </c>
    </row>
    <row r="152" spans="1:13" x14ac:dyDescent="0.25">
      <c r="A152" t="s">
        <v>279</v>
      </c>
      <c r="B152">
        <v>0.99972165840509675</v>
      </c>
      <c r="C152">
        <v>0.9716868453406613</v>
      </c>
      <c r="D152">
        <v>0.97070120563134676</v>
      </c>
      <c r="E152">
        <v>0.74566033889296801</v>
      </c>
      <c r="F152">
        <v>0.8636970413802183</v>
      </c>
      <c r="G152">
        <v>0.7468538462781128</v>
      </c>
      <c r="H152">
        <v>0.6208942815162547</v>
      </c>
      <c r="I152">
        <v>0.35386916919389655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0.12464491357467344</v>
      </c>
      <c r="C153">
        <v>0.34371969157798821</v>
      </c>
      <c r="D153">
        <v>0.58025755920272448</v>
      </c>
      <c r="E153">
        <v>0.38522680329265624</v>
      </c>
      <c r="F153">
        <v>0.70359665624239653</v>
      </c>
      <c r="G153">
        <v>0.57449828453640606</v>
      </c>
      <c r="H153">
        <v>0.31839420363624904</v>
      </c>
      <c r="I153">
        <v>1.8306306729923616E-2</v>
      </c>
      <c r="J153" t="s">
        <v>199</v>
      </c>
      <c r="K153" t="s">
        <v>233</v>
      </c>
      <c r="L153" t="s">
        <v>212</v>
      </c>
      <c r="M153" t="s">
        <v>225</v>
      </c>
    </row>
    <row r="154" spans="1:13" x14ac:dyDescent="0.25">
      <c r="A154" t="s">
        <v>77</v>
      </c>
      <c r="J154" t="s">
        <v>199</v>
      </c>
      <c r="K154" t="s">
        <v>202</v>
      </c>
      <c r="L154" t="s">
        <v>213</v>
      </c>
      <c r="M154" t="s">
        <v>225</v>
      </c>
    </row>
    <row r="155" spans="1:13" x14ac:dyDescent="0.25">
      <c r="A155" t="s">
        <v>78</v>
      </c>
      <c r="B155">
        <v>0.1639457908975277</v>
      </c>
      <c r="C155">
        <v>0.1031313963183681</v>
      </c>
      <c r="D155">
        <v>0.14499481464754582</v>
      </c>
      <c r="E155">
        <v>0.61799246772848915</v>
      </c>
      <c r="F155">
        <v>0.57870676240775598</v>
      </c>
      <c r="G155">
        <v>0.12711603573064967</v>
      </c>
      <c r="H155">
        <v>7.9506567141984785E-2</v>
      </c>
      <c r="I155">
        <v>0.62241902691815465</v>
      </c>
      <c r="J155" t="s">
        <v>199</v>
      </c>
      <c r="K155" t="s">
        <v>203</v>
      </c>
      <c r="L155" t="s">
        <v>213</v>
      </c>
      <c r="M155" t="s">
        <v>225</v>
      </c>
    </row>
    <row r="156" spans="1:13" x14ac:dyDescent="0.25">
      <c r="A156" t="s">
        <v>79</v>
      </c>
      <c r="B156">
        <v>0.20981492554975567</v>
      </c>
      <c r="C156">
        <v>0.18615044655954716</v>
      </c>
      <c r="D156">
        <v>0.42052915506974431</v>
      </c>
      <c r="E156">
        <v>0.26862112518190173</v>
      </c>
      <c r="F156">
        <v>0.82227378661498141</v>
      </c>
      <c r="G156">
        <v>0.56254628599100021</v>
      </c>
      <c r="H156">
        <v>0.18481865740203507</v>
      </c>
      <c r="I156">
        <v>0.80218201790845356</v>
      </c>
      <c r="J156" t="s">
        <v>199</v>
      </c>
      <c r="K156" t="s">
        <v>204</v>
      </c>
      <c r="L156" t="s">
        <v>213</v>
      </c>
      <c r="M156" t="s">
        <v>225</v>
      </c>
    </row>
    <row r="157" spans="1:13" x14ac:dyDescent="0.25">
      <c r="A157" t="s">
        <v>355</v>
      </c>
      <c r="B157">
        <v>0.66636187551617443</v>
      </c>
      <c r="C157">
        <v>0.15866146917265955</v>
      </c>
      <c r="D157">
        <v>0.2806017658487896</v>
      </c>
      <c r="E157">
        <v>0.75793914543251117</v>
      </c>
      <c r="F157">
        <v>0.89076120376521839</v>
      </c>
      <c r="G157">
        <v>0.61286406156089057</v>
      </c>
      <c r="H157">
        <v>0.10563273463791378</v>
      </c>
      <c r="I157">
        <v>0.98044152598163625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0.50584109700069346</v>
      </c>
      <c r="C158">
        <v>0.45024699575686467</v>
      </c>
      <c r="D158">
        <v>0.25761164055137709</v>
      </c>
      <c r="E158">
        <v>0.74722272803392031</v>
      </c>
      <c r="F158">
        <v>0.85179122938886787</v>
      </c>
      <c r="G158">
        <v>0.63909339977889457</v>
      </c>
      <c r="H158">
        <v>0.78755620539450177</v>
      </c>
      <c r="I158">
        <v>0.68517059482874898</v>
      </c>
      <c r="J158" t="s">
        <v>199</v>
      </c>
      <c r="K158" t="s">
        <v>241</v>
      </c>
      <c r="L158" t="s">
        <v>213</v>
      </c>
      <c r="M158" t="s">
        <v>225</v>
      </c>
    </row>
    <row r="159" spans="1:13" x14ac:dyDescent="0.25">
      <c r="A159" t="s">
        <v>80</v>
      </c>
      <c r="B159">
        <v>0.77189483760373323</v>
      </c>
      <c r="C159">
        <v>0.62861579903836406</v>
      </c>
      <c r="D159">
        <v>0.37681900264284607</v>
      </c>
      <c r="E159">
        <v>0.82401926388176994</v>
      </c>
      <c r="F159">
        <v>0.60843330823052844</v>
      </c>
      <c r="G159">
        <v>0.24639576801669882</v>
      </c>
      <c r="H159">
        <v>0.55925894784748087</v>
      </c>
      <c r="I159">
        <v>0.91982943152631713</v>
      </c>
      <c r="J159" t="s">
        <v>199</v>
      </c>
      <c r="K159" t="s">
        <v>206</v>
      </c>
      <c r="L159" t="s">
        <v>213</v>
      </c>
      <c r="M159" t="s">
        <v>225</v>
      </c>
    </row>
    <row r="160" spans="1:13" x14ac:dyDescent="0.25">
      <c r="A160" t="s">
        <v>280</v>
      </c>
      <c r="B160">
        <v>0.4475163829800276</v>
      </c>
      <c r="C160">
        <v>0.52045541522697458</v>
      </c>
      <c r="D160">
        <v>0.53387629467504838</v>
      </c>
      <c r="E160">
        <v>0.73030851698046806</v>
      </c>
      <c r="F160">
        <v>0.82465641775812193</v>
      </c>
      <c r="G160">
        <v>0.88258504160209705</v>
      </c>
      <c r="H160">
        <v>0.71757268049363443</v>
      </c>
      <c r="I160">
        <v>0.94924418685971546</v>
      </c>
      <c r="J160" t="s">
        <v>199</v>
      </c>
      <c r="K160" t="s">
        <v>207</v>
      </c>
      <c r="L160" t="s">
        <v>213</v>
      </c>
      <c r="M160" t="s">
        <v>225</v>
      </c>
    </row>
    <row r="161" spans="1:13" x14ac:dyDescent="0.25">
      <c r="A161" t="s">
        <v>357</v>
      </c>
      <c r="B161">
        <v>0.24664250629861462</v>
      </c>
      <c r="C161">
        <v>6.4835486019866773E-2</v>
      </c>
      <c r="D161">
        <v>0.11551000433282665</v>
      </c>
      <c r="E161">
        <v>7.7386359186993658E-2</v>
      </c>
      <c r="F161">
        <v>0.19575930156505161</v>
      </c>
      <c r="G161">
        <v>1.4525780659253473E-2</v>
      </c>
      <c r="H161">
        <v>8.4168301851825333E-2</v>
      </c>
      <c r="I161">
        <v>0.85033007317832854</v>
      </c>
      <c r="J161" t="s">
        <v>199</v>
      </c>
      <c r="K161" t="s">
        <v>233</v>
      </c>
      <c r="L161" t="s">
        <v>213</v>
      </c>
      <c r="M161" t="s">
        <v>225</v>
      </c>
    </row>
    <row r="162" spans="1:13" x14ac:dyDescent="0.25">
      <c r="A162" t="s">
        <v>81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0.89705151222807478</v>
      </c>
      <c r="C163">
        <v>0.52635044528873243</v>
      </c>
      <c r="D163">
        <v>0.42608621639786026</v>
      </c>
      <c r="E163">
        <v>3.2370778305851555E-2</v>
      </c>
      <c r="F163">
        <v>0.68120024939629154</v>
      </c>
      <c r="G163">
        <v>0.74421286486729366</v>
      </c>
      <c r="H163">
        <v>0.98411134924982968</v>
      </c>
      <c r="I163">
        <v>0.85519726437513277</v>
      </c>
      <c r="J163" t="s">
        <v>199</v>
      </c>
      <c r="K163" t="s">
        <v>203</v>
      </c>
      <c r="L163" t="s">
        <v>214</v>
      </c>
      <c r="M163" t="s">
        <v>225</v>
      </c>
    </row>
    <row r="164" spans="1:13" x14ac:dyDescent="0.25">
      <c r="A164" t="s">
        <v>83</v>
      </c>
      <c r="B164">
        <v>0.89688187584953205</v>
      </c>
      <c r="C164">
        <v>0.8338877456043563</v>
      </c>
      <c r="D164">
        <v>0.53539253340801585</v>
      </c>
      <c r="E164">
        <v>0.30333904305232806</v>
      </c>
      <c r="F164">
        <v>0.90444910799645029</v>
      </c>
      <c r="G164">
        <v>0.67098291252100828</v>
      </c>
      <c r="H164">
        <v>0.69485455458167222</v>
      </c>
      <c r="I164">
        <v>0.8553753925769001</v>
      </c>
      <c r="J164" t="s">
        <v>199</v>
      </c>
      <c r="K164" t="s">
        <v>204</v>
      </c>
      <c r="L164" t="s">
        <v>214</v>
      </c>
      <c r="M164" t="s">
        <v>225</v>
      </c>
    </row>
    <row r="165" spans="1:13" x14ac:dyDescent="0.25">
      <c r="A165" t="s">
        <v>358</v>
      </c>
      <c r="B165">
        <v>0.94315685115872827</v>
      </c>
      <c r="C165">
        <v>0.9396981079921477</v>
      </c>
      <c r="D165">
        <v>0.80410533989520716</v>
      </c>
      <c r="E165">
        <v>0.95896768545632183</v>
      </c>
      <c r="F165">
        <v>0.93257907873515145</v>
      </c>
      <c r="G165">
        <v>0.44262233151978492</v>
      </c>
      <c r="H165">
        <v>0.92246434161374713</v>
      </c>
      <c r="I165">
        <v>0.9898434673892722</v>
      </c>
      <c r="J165" t="s">
        <v>199</v>
      </c>
      <c r="K165" t="s">
        <v>239</v>
      </c>
      <c r="L165" t="s">
        <v>214</v>
      </c>
      <c r="M165" t="s">
        <v>225</v>
      </c>
    </row>
    <row r="166" spans="1:13" x14ac:dyDescent="0.25">
      <c r="A166" t="s">
        <v>359</v>
      </c>
      <c r="B166">
        <v>0.83819551309888962</v>
      </c>
      <c r="C166">
        <v>0.58011726665352548</v>
      </c>
      <c r="D166">
        <v>0.63066402235415053</v>
      </c>
      <c r="E166">
        <v>0.80516837409321651</v>
      </c>
      <c r="F166">
        <v>0.90447029263307921</v>
      </c>
      <c r="G166">
        <v>0.88783979934061819</v>
      </c>
      <c r="H166">
        <v>0.90261856659950879</v>
      </c>
      <c r="I166">
        <v>0.86683317838930207</v>
      </c>
      <c r="J166" t="s">
        <v>199</v>
      </c>
      <c r="K166" t="s">
        <v>241</v>
      </c>
      <c r="L166" t="s">
        <v>214</v>
      </c>
      <c r="M166" t="s">
        <v>225</v>
      </c>
    </row>
    <row r="167" spans="1:13" x14ac:dyDescent="0.25">
      <c r="A167" t="s">
        <v>84</v>
      </c>
      <c r="B167">
        <v>0.35841646715945041</v>
      </c>
      <c r="C167">
        <v>0.52116507706504889</v>
      </c>
      <c r="D167">
        <v>0.3039095335383406</v>
      </c>
      <c r="E167">
        <v>0.38149998591405143</v>
      </c>
      <c r="F167">
        <v>0.36754395975691712</v>
      </c>
      <c r="G167">
        <v>7.6346421843425771E-2</v>
      </c>
      <c r="H167">
        <v>0.38913838150824875</v>
      </c>
      <c r="I167">
        <v>0.49712652176346839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0.74736361570261822</v>
      </c>
      <c r="C168">
        <v>0.905343127655304</v>
      </c>
      <c r="D168">
        <v>0.74900239896287069</v>
      </c>
      <c r="E168">
        <v>0.69885594016168162</v>
      </c>
      <c r="F168">
        <v>0.85086741289790158</v>
      </c>
      <c r="G168">
        <v>0.79908426805706967</v>
      </c>
      <c r="H168">
        <v>0.8355718491537194</v>
      </c>
      <c r="I168">
        <v>0.9321880194667338</v>
      </c>
      <c r="J168" t="s">
        <v>199</v>
      </c>
      <c r="K168" t="s">
        <v>207</v>
      </c>
      <c r="L168" t="s">
        <v>214</v>
      </c>
      <c r="M168" t="s">
        <v>225</v>
      </c>
    </row>
    <row r="169" spans="1:13" x14ac:dyDescent="0.25">
      <c r="A169" t="s">
        <v>360</v>
      </c>
      <c r="B169">
        <v>0.83074764548267754</v>
      </c>
      <c r="C169">
        <v>0.68898347672020388</v>
      </c>
      <c r="D169">
        <v>0.88848009535671946</v>
      </c>
      <c r="E169">
        <v>0.50971992993190041</v>
      </c>
      <c r="F169">
        <v>0.90488495601958119</v>
      </c>
      <c r="G169">
        <v>0.86001901118197333</v>
      </c>
      <c r="H169">
        <v>0.8486987440491216</v>
      </c>
      <c r="I169">
        <v>0.91048670008896093</v>
      </c>
      <c r="J169" t="s">
        <v>199</v>
      </c>
      <c r="K169" t="s">
        <v>233</v>
      </c>
      <c r="L169" t="s">
        <v>214</v>
      </c>
      <c r="M169" t="s">
        <v>225</v>
      </c>
    </row>
    <row r="170" spans="1:13" x14ac:dyDescent="0.25">
      <c r="A170" t="s">
        <v>85</v>
      </c>
      <c r="J170" t="s">
        <v>199</v>
      </c>
      <c r="K170" t="s">
        <v>202</v>
      </c>
      <c r="L170" t="s">
        <v>215</v>
      </c>
      <c r="M170" t="s">
        <v>225</v>
      </c>
    </row>
    <row r="171" spans="1:13" x14ac:dyDescent="0.25">
      <c r="A171" t="s">
        <v>86</v>
      </c>
      <c r="B171">
        <v>0.41991326157134423</v>
      </c>
      <c r="C171">
        <v>1.7357315046371169E-2</v>
      </c>
      <c r="D171">
        <v>5.8066841532286806E-2</v>
      </c>
      <c r="E171">
        <v>0.7431062524824108</v>
      </c>
      <c r="F171">
        <v>0.72803416235322937</v>
      </c>
      <c r="G171">
        <v>0.82444953968327428</v>
      </c>
      <c r="H171">
        <v>0.98159661468431247</v>
      </c>
      <c r="I171">
        <v>0.99914941685363257</v>
      </c>
      <c r="J171" t="s">
        <v>199</v>
      </c>
      <c r="K171" t="s">
        <v>203</v>
      </c>
      <c r="L171" t="s">
        <v>215</v>
      </c>
      <c r="M171" t="s">
        <v>225</v>
      </c>
    </row>
    <row r="172" spans="1:13" x14ac:dyDescent="0.25">
      <c r="A172" t="s">
        <v>87</v>
      </c>
      <c r="B172">
        <v>0.83863830753004442</v>
      </c>
      <c r="C172">
        <v>0.13828963796038329</v>
      </c>
      <c r="D172">
        <v>5.4144168060664244E-2</v>
      </c>
      <c r="E172">
        <v>0.53072121972361319</v>
      </c>
      <c r="F172">
        <v>0.47296364393260815</v>
      </c>
      <c r="G172">
        <v>0.50665148683406969</v>
      </c>
      <c r="H172">
        <v>0.6691445262772433</v>
      </c>
      <c r="I172">
        <v>0.95150467778352832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0.99999996157545212</v>
      </c>
      <c r="C173">
        <v>0.99956890820542244</v>
      </c>
      <c r="D173">
        <v>0.99944306382954939</v>
      </c>
      <c r="E173">
        <v>0.96775423319531417</v>
      </c>
      <c r="F173">
        <v>0.92124431734076306</v>
      </c>
      <c r="G173">
        <v>0.85833608291032537</v>
      </c>
      <c r="H173">
        <v>0.97251474205476773</v>
      </c>
      <c r="I173">
        <v>0.57520135068519684</v>
      </c>
      <c r="J173" t="s">
        <v>199</v>
      </c>
      <c r="K173" t="s">
        <v>239</v>
      </c>
      <c r="L173" t="s">
        <v>215</v>
      </c>
      <c r="M173" t="s">
        <v>225</v>
      </c>
    </row>
    <row r="174" spans="1:13" x14ac:dyDescent="0.25">
      <c r="A174" t="s">
        <v>362</v>
      </c>
      <c r="B174">
        <v>0.99997225132998691</v>
      </c>
      <c r="C174">
        <v>0.99999639907637661</v>
      </c>
      <c r="D174">
        <v>0.99999491466533119</v>
      </c>
      <c r="E174">
        <v>0.99998361292677262</v>
      </c>
      <c r="F174">
        <v>0.98799012442516176</v>
      </c>
      <c r="G174">
        <v>0.96553413892075801</v>
      </c>
      <c r="H174">
        <v>0.97723928529380155</v>
      </c>
      <c r="I174">
        <v>0.93956822671293139</v>
      </c>
      <c r="J174" t="s">
        <v>199</v>
      </c>
      <c r="K174" t="s">
        <v>241</v>
      </c>
      <c r="L174" t="s">
        <v>215</v>
      </c>
      <c r="M174" t="s">
        <v>225</v>
      </c>
    </row>
    <row r="175" spans="1:13" x14ac:dyDescent="0.25">
      <c r="A175" t="s">
        <v>88</v>
      </c>
      <c r="B175">
        <v>0.99991259649015019</v>
      </c>
      <c r="C175">
        <v>0.95549607841303508</v>
      </c>
      <c r="D175">
        <v>0.95913415220234532</v>
      </c>
      <c r="E175">
        <v>0.61835411810455598</v>
      </c>
      <c r="F175">
        <v>0.21417102709146785</v>
      </c>
      <c r="G175">
        <v>0.32031264430409212</v>
      </c>
      <c r="H175">
        <v>0.1093430534553097</v>
      </c>
      <c r="I175">
        <v>0.28405509487623337</v>
      </c>
      <c r="J175" t="s">
        <v>199</v>
      </c>
      <c r="K175" t="s">
        <v>206</v>
      </c>
      <c r="L175" t="s">
        <v>215</v>
      </c>
      <c r="M175" t="s">
        <v>225</v>
      </c>
    </row>
    <row r="176" spans="1:13" x14ac:dyDescent="0.25">
      <c r="A176" t="s">
        <v>282</v>
      </c>
      <c r="B176">
        <v>0.99999999999916622</v>
      </c>
      <c r="C176">
        <v>0.99999986302734156</v>
      </c>
      <c r="D176">
        <v>0.99999999364531167</v>
      </c>
      <c r="E176">
        <v>0.99997211362558047</v>
      </c>
      <c r="F176">
        <v>0.99969090727542087</v>
      </c>
      <c r="G176">
        <v>0.99813899268477146</v>
      </c>
      <c r="H176">
        <v>0.9995714139323072</v>
      </c>
      <c r="I176">
        <v>0.99941855496227572</v>
      </c>
      <c r="J176" t="s">
        <v>199</v>
      </c>
      <c r="K176" t="s">
        <v>207</v>
      </c>
      <c r="L176" t="s">
        <v>215</v>
      </c>
      <c r="M176" t="s">
        <v>225</v>
      </c>
    </row>
    <row r="177" spans="1:13" x14ac:dyDescent="0.25">
      <c r="A177" t="s">
        <v>363</v>
      </c>
      <c r="B177">
        <v>0.59847868365579537</v>
      </c>
      <c r="C177">
        <v>0.30724671609019805</v>
      </c>
      <c r="D177">
        <v>7.5384987941670589E-2</v>
      </c>
      <c r="E177">
        <v>0.36038600570706947</v>
      </c>
      <c r="F177">
        <v>0.48736883907051665</v>
      </c>
      <c r="G177">
        <v>0.57099566259044154</v>
      </c>
      <c r="H177">
        <v>0.83224330973311011</v>
      </c>
      <c r="I177">
        <v>0.74857728310516936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J178" t="s">
        <v>199</v>
      </c>
      <c r="K178" t="s">
        <v>202</v>
      </c>
      <c r="L178" t="s">
        <v>216</v>
      </c>
      <c r="M178" t="s">
        <v>225</v>
      </c>
    </row>
    <row r="179" spans="1:13" x14ac:dyDescent="0.25">
      <c r="A179" t="s">
        <v>90</v>
      </c>
      <c r="B179">
        <v>8.9642530938097043E-2</v>
      </c>
      <c r="C179">
        <v>0.12505045367795675</v>
      </c>
      <c r="D179">
        <v>0.36551820062299656</v>
      </c>
      <c r="E179">
        <v>0.68496407862477848</v>
      </c>
      <c r="F179">
        <v>0.70397130894830995</v>
      </c>
      <c r="G179">
        <v>0.65549800395650382</v>
      </c>
      <c r="H179">
        <v>0.84376552087520196</v>
      </c>
      <c r="I179">
        <v>0.93711142690846772</v>
      </c>
      <c r="J179" t="s">
        <v>199</v>
      </c>
      <c r="K179" t="s">
        <v>203</v>
      </c>
      <c r="L179" t="s">
        <v>216</v>
      </c>
      <c r="M179" t="s">
        <v>225</v>
      </c>
    </row>
    <row r="180" spans="1:13" x14ac:dyDescent="0.25">
      <c r="A180" t="s">
        <v>91</v>
      </c>
      <c r="B180">
        <v>0.57344027029326827</v>
      </c>
      <c r="C180">
        <v>0.39585312868289613</v>
      </c>
      <c r="D180">
        <v>0.45140066041538107</v>
      </c>
      <c r="E180">
        <v>0.64102763178385691</v>
      </c>
      <c r="F180">
        <v>0.52997980369176345</v>
      </c>
      <c r="G180">
        <v>0.36626840433723462</v>
      </c>
      <c r="H180">
        <v>0.6285761963542873</v>
      </c>
      <c r="I180">
        <v>0.82256808473746135</v>
      </c>
      <c r="J180" t="s">
        <v>199</v>
      </c>
      <c r="K180" t="s">
        <v>204</v>
      </c>
      <c r="L180" t="s">
        <v>216</v>
      </c>
      <c r="M180" t="s">
        <v>225</v>
      </c>
    </row>
    <row r="181" spans="1:13" x14ac:dyDescent="0.25">
      <c r="A181" t="s">
        <v>364</v>
      </c>
      <c r="B181">
        <v>1</v>
      </c>
      <c r="C181">
        <v>0.99999999999999378</v>
      </c>
      <c r="D181">
        <v>0.99999713827388015</v>
      </c>
      <c r="E181">
        <v>0.99961705315745486</v>
      </c>
      <c r="F181">
        <v>0.99131252347693954</v>
      </c>
      <c r="G181">
        <v>0.92252646046425224</v>
      </c>
      <c r="H181">
        <v>0.87042015425804187</v>
      </c>
      <c r="I181">
        <v>0.78266829115190828</v>
      </c>
      <c r="J181" t="s">
        <v>199</v>
      </c>
      <c r="K181" t="s">
        <v>239</v>
      </c>
      <c r="L181" t="s">
        <v>216</v>
      </c>
      <c r="M181" t="s">
        <v>225</v>
      </c>
    </row>
    <row r="182" spans="1:13" x14ac:dyDescent="0.25">
      <c r="A182" t="s">
        <v>365</v>
      </c>
      <c r="B182">
        <v>0.99918144361849137</v>
      </c>
      <c r="C182">
        <v>0.99997981916507017</v>
      </c>
      <c r="D182">
        <v>0.98923663325143574</v>
      </c>
      <c r="E182">
        <v>0.89623103679102922</v>
      </c>
      <c r="F182">
        <v>0.66699012084242049</v>
      </c>
      <c r="G182">
        <v>0.32722214598503285</v>
      </c>
      <c r="H182">
        <v>0.34688041999922792</v>
      </c>
      <c r="I182">
        <v>0.20262146437376805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0.99999999986901289</v>
      </c>
      <c r="C183">
        <v>0.9999999999783481</v>
      </c>
      <c r="D183">
        <v>0.99999997820204678</v>
      </c>
      <c r="E183">
        <v>0.99999592813689608</v>
      </c>
      <c r="F183">
        <v>0.99797694051489849</v>
      </c>
      <c r="G183">
        <v>0.98805195864141548</v>
      </c>
      <c r="H183">
        <v>0.98575336985736317</v>
      </c>
      <c r="I183">
        <v>0.98394878263169339</v>
      </c>
      <c r="J183" t="s">
        <v>199</v>
      </c>
      <c r="K183" t="s">
        <v>206</v>
      </c>
      <c r="L183" t="s">
        <v>216</v>
      </c>
      <c r="M183" t="s">
        <v>225</v>
      </c>
    </row>
    <row r="184" spans="1:13" x14ac:dyDescent="0.25">
      <c r="A184" t="s">
        <v>283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0.99999999999999989</v>
      </c>
      <c r="H184">
        <v>0.99999999999999967</v>
      </c>
      <c r="I184">
        <v>0.999999999999997</v>
      </c>
      <c r="J184" t="s">
        <v>199</v>
      </c>
      <c r="K184" t="s">
        <v>207</v>
      </c>
      <c r="L184" t="s">
        <v>216</v>
      </c>
      <c r="M184" t="s">
        <v>225</v>
      </c>
    </row>
    <row r="185" spans="1:13" x14ac:dyDescent="0.25">
      <c r="A185" t="s">
        <v>366</v>
      </c>
      <c r="B185">
        <v>0.29672782228802841</v>
      </c>
      <c r="C185">
        <v>0.25309579532934978</v>
      </c>
      <c r="D185">
        <v>0.1042655317381409</v>
      </c>
      <c r="E185">
        <v>0.20565555949345615</v>
      </c>
      <c r="F185">
        <v>0.17929427543637977</v>
      </c>
      <c r="G185">
        <v>4.3664830139571342E-2</v>
      </c>
      <c r="H185">
        <v>0.26668672631019186</v>
      </c>
      <c r="I185">
        <v>0.24959374521453326</v>
      </c>
      <c r="J185" t="s">
        <v>199</v>
      </c>
      <c r="K185" t="s">
        <v>233</v>
      </c>
      <c r="L185" t="s">
        <v>216</v>
      </c>
      <c r="M185" t="s">
        <v>225</v>
      </c>
    </row>
    <row r="186" spans="1:13" x14ac:dyDescent="0.25">
      <c r="A186" t="s">
        <v>93</v>
      </c>
      <c r="J186" t="s">
        <v>199</v>
      </c>
      <c r="K186" t="s">
        <v>202</v>
      </c>
      <c r="L186" t="s">
        <v>217</v>
      </c>
      <c r="M186" t="s">
        <v>225</v>
      </c>
    </row>
    <row r="187" spans="1:13" x14ac:dyDescent="0.25">
      <c r="A187" t="s">
        <v>94</v>
      </c>
      <c r="B187">
        <v>8.8706786969261486E-2</v>
      </c>
      <c r="C187">
        <v>9.2487391700431854E-2</v>
      </c>
      <c r="D187">
        <v>0.19125449191749855</v>
      </c>
      <c r="E187">
        <v>0.66811279896250042</v>
      </c>
      <c r="F187">
        <v>0.46090244134432623</v>
      </c>
      <c r="G187">
        <v>0.77023377961851658</v>
      </c>
      <c r="H187">
        <v>0.26404515544002272</v>
      </c>
      <c r="I187">
        <v>0.12991367088007988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3.5069656844051167E-3</v>
      </c>
      <c r="C188">
        <v>8.5712783408942173E-4</v>
      </c>
      <c r="D188">
        <v>1.0832426122329153E-3</v>
      </c>
      <c r="E188">
        <v>2.3126645652564726E-3</v>
      </c>
      <c r="F188">
        <v>1.3903482956502122E-3</v>
      </c>
      <c r="G188">
        <v>9.7848078712492459E-4</v>
      </c>
      <c r="H188">
        <v>2.3141080352440113E-4</v>
      </c>
      <c r="I188">
        <v>3.9716561725222643E-4</v>
      </c>
      <c r="J188" t="s">
        <v>199</v>
      </c>
      <c r="K188" t="s">
        <v>204</v>
      </c>
      <c r="L188" t="s">
        <v>217</v>
      </c>
      <c r="M188" t="s">
        <v>225</v>
      </c>
    </row>
    <row r="189" spans="1:13" x14ac:dyDescent="0.25">
      <c r="A189" t="s">
        <v>367</v>
      </c>
      <c r="B189">
        <v>0.99999999627008396</v>
      </c>
      <c r="C189">
        <v>0.99999999963439667</v>
      </c>
      <c r="D189">
        <v>0.99999999427217012</v>
      </c>
      <c r="E189">
        <v>0.99999375033170357</v>
      </c>
      <c r="F189">
        <v>0.99249865549400884</v>
      </c>
      <c r="G189">
        <v>0.99376715119709946</v>
      </c>
      <c r="H189">
        <v>0.88633281708392475</v>
      </c>
      <c r="I189">
        <v>0.6461256486782474</v>
      </c>
      <c r="J189" t="s">
        <v>199</v>
      </c>
      <c r="K189" t="s">
        <v>239</v>
      </c>
      <c r="L189" t="s">
        <v>217</v>
      </c>
      <c r="M189" t="s">
        <v>225</v>
      </c>
    </row>
    <row r="190" spans="1:13" x14ac:dyDescent="0.25">
      <c r="A190" t="s">
        <v>368</v>
      </c>
      <c r="B190">
        <v>0.99979671396409697</v>
      </c>
      <c r="C190">
        <v>0.99997267784098121</v>
      </c>
      <c r="D190">
        <v>0.9999840078890736</v>
      </c>
      <c r="E190">
        <v>0.99956594238665109</v>
      </c>
      <c r="F190">
        <v>0.99898320504230798</v>
      </c>
      <c r="G190">
        <v>0.99157064104225145</v>
      </c>
      <c r="H190">
        <v>0.93859117677174853</v>
      </c>
      <c r="I190">
        <v>0.88255810922137801</v>
      </c>
      <c r="J190" t="s">
        <v>199</v>
      </c>
      <c r="K190" t="s">
        <v>241</v>
      </c>
      <c r="L190" t="s">
        <v>217</v>
      </c>
      <c r="M190" t="s">
        <v>225</v>
      </c>
    </row>
    <row r="191" spans="1:13" x14ac:dyDescent="0.25">
      <c r="A191" t="s">
        <v>96</v>
      </c>
      <c r="B191">
        <v>0.99786490992976073</v>
      </c>
      <c r="C191">
        <v>0.96750699645965121</v>
      </c>
      <c r="D191">
        <v>0.98001681646515793</v>
      </c>
      <c r="E191">
        <v>0.77182445203860617</v>
      </c>
      <c r="F191">
        <v>2.5383744343555614E-2</v>
      </c>
      <c r="G191">
        <v>2.7319982455569103E-2</v>
      </c>
      <c r="H191">
        <v>1.4618979112778208E-3</v>
      </c>
      <c r="I191">
        <v>6.6375832214027319E-5</v>
      </c>
      <c r="J191" t="s">
        <v>199</v>
      </c>
      <c r="K191" t="s">
        <v>206</v>
      </c>
      <c r="L191" t="s">
        <v>217</v>
      </c>
      <c r="M191" t="s">
        <v>225</v>
      </c>
    </row>
    <row r="192" spans="1:13" x14ac:dyDescent="0.25">
      <c r="A192" t="s">
        <v>284</v>
      </c>
      <c r="B192">
        <v>1</v>
      </c>
      <c r="C192">
        <v>1</v>
      </c>
      <c r="D192">
        <v>0.99999999999999822</v>
      </c>
      <c r="E192">
        <v>0.99999999999595657</v>
      </c>
      <c r="F192">
        <v>1</v>
      </c>
      <c r="G192">
        <v>0.9999999820637866</v>
      </c>
      <c r="H192">
        <v>0.99999853913198544</v>
      </c>
      <c r="I192">
        <v>0.99999973913699536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3.4403745757546345E-3</v>
      </c>
      <c r="C193">
        <v>1.1932363635863918E-2</v>
      </c>
      <c r="D193">
        <v>5.6157154612021531E-2</v>
      </c>
      <c r="E193">
        <v>1.5613438226759757E-2</v>
      </c>
      <c r="F193">
        <v>1.091129738957064E-2</v>
      </c>
      <c r="G193">
        <v>3.9812633139184928E-2</v>
      </c>
      <c r="H193">
        <v>1.1539059052055101E-2</v>
      </c>
      <c r="I193">
        <v>4.0347527577176967E-3</v>
      </c>
      <c r="J193" t="s">
        <v>199</v>
      </c>
      <c r="K193" t="s">
        <v>233</v>
      </c>
      <c r="L193" t="s">
        <v>217</v>
      </c>
      <c r="M193" t="s">
        <v>225</v>
      </c>
    </row>
    <row r="194" spans="1:13" x14ac:dyDescent="0.25">
      <c r="A194" t="s">
        <v>97</v>
      </c>
      <c r="J194" t="s">
        <v>199</v>
      </c>
      <c r="K194" t="s">
        <v>202</v>
      </c>
      <c r="L194" t="s">
        <v>218</v>
      </c>
      <c r="M194" t="s">
        <v>225</v>
      </c>
    </row>
    <row r="195" spans="1:13" x14ac:dyDescent="0.25">
      <c r="A195" t="s">
        <v>98</v>
      </c>
      <c r="B195">
        <v>0.24912481645318474</v>
      </c>
      <c r="C195">
        <v>7.385782502881888E-2</v>
      </c>
      <c r="D195">
        <v>7.5263545211657679E-2</v>
      </c>
      <c r="E195">
        <v>0.72642014713899306</v>
      </c>
      <c r="F195">
        <v>0.78165156967266936</v>
      </c>
      <c r="G195">
        <v>0.37871284902456459</v>
      </c>
      <c r="H195">
        <v>0.88983135378571254</v>
      </c>
      <c r="I195">
        <v>0.76978383601711198</v>
      </c>
      <c r="J195" t="s">
        <v>199</v>
      </c>
      <c r="K195" t="s">
        <v>203</v>
      </c>
      <c r="L195" t="s">
        <v>218</v>
      </c>
      <c r="M195" t="s">
        <v>225</v>
      </c>
    </row>
    <row r="196" spans="1:13" x14ac:dyDescent="0.25">
      <c r="A196" t="s">
        <v>99</v>
      </c>
      <c r="B196">
        <v>0.96545235507662142</v>
      </c>
      <c r="C196">
        <v>0.46386496049566639</v>
      </c>
      <c r="D196">
        <v>0.64439104593729313</v>
      </c>
      <c r="E196">
        <v>0.98911867957989752</v>
      </c>
      <c r="F196">
        <v>0.90588285736788199</v>
      </c>
      <c r="G196">
        <v>0.80160407771731279</v>
      </c>
      <c r="H196">
        <v>0.90749385257033599</v>
      </c>
      <c r="I196">
        <v>0.62274950517528049</v>
      </c>
      <c r="J196" t="s">
        <v>199</v>
      </c>
      <c r="K196" t="s">
        <v>204</v>
      </c>
      <c r="L196" t="s">
        <v>218</v>
      </c>
      <c r="M196" t="s">
        <v>225</v>
      </c>
    </row>
    <row r="197" spans="1:13" x14ac:dyDescent="0.25">
      <c r="A197" t="s">
        <v>370</v>
      </c>
      <c r="B197">
        <v>0.99569644327983642</v>
      </c>
      <c r="C197">
        <v>0.85118339885562611</v>
      </c>
      <c r="D197">
        <v>0.80980260270536875</v>
      </c>
      <c r="E197">
        <v>0.91488804357860154</v>
      </c>
      <c r="F197">
        <v>0.96590630366715546</v>
      </c>
      <c r="G197">
        <v>0.93145903181846068</v>
      </c>
      <c r="H197">
        <v>0.95611936843574985</v>
      </c>
      <c r="I197">
        <v>0.91235838017520465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0.94619395470859946</v>
      </c>
      <c r="C198">
        <v>0.82792327936599364</v>
      </c>
      <c r="D198">
        <v>0.79177286511506328</v>
      </c>
      <c r="E198">
        <v>0.64324374807235485</v>
      </c>
      <c r="F198">
        <v>0.64679577471935701</v>
      </c>
      <c r="G198">
        <v>0.66471257541060602</v>
      </c>
      <c r="H198">
        <v>0.196185762094232</v>
      </c>
      <c r="I198">
        <v>0.38292500711045352</v>
      </c>
      <c r="J198" t="s">
        <v>199</v>
      </c>
      <c r="K198" t="s">
        <v>241</v>
      </c>
      <c r="L198" t="s">
        <v>218</v>
      </c>
      <c r="M198" t="s">
        <v>225</v>
      </c>
    </row>
    <row r="199" spans="1:13" x14ac:dyDescent="0.25">
      <c r="A199" t="s">
        <v>100</v>
      </c>
      <c r="B199">
        <v>0.99546295228971526</v>
      </c>
      <c r="C199">
        <v>0.993796231171587</v>
      </c>
      <c r="D199">
        <v>0.96040574280187174</v>
      </c>
      <c r="E199">
        <v>0.91412512735588636</v>
      </c>
      <c r="F199">
        <v>0.92005046607801744</v>
      </c>
      <c r="G199">
        <v>0.72744544431722102</v>
      </c>
      <c r="H199">
        <v>0.88704185390555379</v>
      </c>
      <c r="I199">
        <v>0.98320457813937967</v>
      </c>
      <c r="J199" t="s">
        <v>199</v>
      </c>
      <c r="K199" t="s">
        <v>206</v>
      </c>
      <c r="L199" t="s">
        <v>218</v>
      </c>
      <c r="M199" t="s">
        <v>225</v>
      </c>
    </row>
    <row r="200" spans="1:13" x14ac:dyDescent="0.25">
      <c r="A200" t="s">
        <v>285</v>
      </c>
      <c r="B200">
        <v>0.99949723573039906</v>
      </c>
      <c r="C200">
        <v>0.99385819345029258</v>
      </c>
      <c r="D200">
        <v>0.88148572230360545</v>
      </c>
      <c r="E200">
        <v>0.79177831064548321</v>
      </c>
      <c r="F200">
        <v>0.93580445354504249</v>
      </c>
      <c r="G200">
        <v>0.6884062102760502</v>
      </c>
      <c r="H200">
        <v>0.93862887270497775</v>
      </c>
      <c r="I200">
        <v>0.90425506066631556</v>
      </c>
      <c r="J200" t="s">
        <v>199</v>
      </c>
      <c r="K200" t="s">
        <v>207</v>
      </c>
      <c r="L200" t="s">
        <v>218</v>
      </c>
      <c r="M200" t="s">
        <v>225</v>
      </c>
    </row>
    <row r="201" spans="1:13" x14ac:dyDescent="0.25">
      <c r="A201" t="s">
        <v>372</v>
      </c>
      <c r="B201">
        <v>0.97849481752659762</v>
      </c>
      <c r="C201">
        <v>0.43378992767966873</v>
      </c>
      <c r="D201">
        <v>0.85006099584407879</v>
      </c>
      <c r="E201">
        <v>0.78275040075135427</v>
      </c>
      <c r="F201">
        <v>0.91380379320194738</v>
      </c>
      <c r="G201">
        <v>0.53656953895543724</v>
      </c>
      <c r="H201">
        <v>0.7969922609380593</v>
      </c>
      <c r="I201">
        <v>0.81300131859622571</v>
      </c>
      <c r="J201" t="s">
        <v>199</v>
      </c>
      <c r="K201" t="s">
        <v>233</v>
      </c>
      <c r="L201" t="s">
        <v>218</v>
      </c>
      <c r="M201" t="s">
        <v>225</v>
      </c>
    </row>
    <row r="202" spans="1:13" x14ac:dyDescent="0.25">
      <c r="A202" t="s">
        <v>101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0.96855835683584601</v>
      </c>
      <c r="C203">
        <v>0.65621332208393079</v>
      </c>
      <c r="D203">
        <v>0.63340167301168138</v>
      </c>
      <c r="E203">
        <v>0.67972963653672325</v>
      </c>
      <c r="F203">
        <v>0.30199415308435351</v>
      </c>
      <c r="G203">
        <v>9.1298884794947632E-2</v>
      </c>
      <c r="H203">
        <v>0.9549401179407877</v>
      </c>
      <c r="I203">
        <v>0.34763681949979786</v>
      </c>
      <c r="J203" t="s">
        <v>199</v>
      </c>
      <c r="K203" t="s">
        <v>203</v>
      </c>
      <c r="L203" t="s">
        <v>219</v>
      </c>
      <c r="M203" t="s">
        <v>225</v>
      </c>
    </row>
    <row r="204" spans="1:13" x14ac:dyDescent="0.25">
      <c r="A204" t="s">
        <v>103</v>
      </c>
      <c r="B204">
        <v>0.87745772639631747</v>
      </c>
      <c r="C204">
        <v>0.2094375246737582</v>
      </c>
      <c r="D204">
        <v>0.39977391168124232</v>
      </c>
      <c r="E204">
        <v>0.35400652381319997</v>
      </c>
      <c r="F204">
        <v>0.14287256693113326</v>
      </c>
      <c r="G204">
        <v>0.13650557627421667</v>
      </c>
      <c r="H204">
        <v>0.26805144798058433</v>
      </c>
      <c r="I204">
        <v>0.46743190934934609</v>
      </c>
      <c r="J204" t="s">
        <v>199</v>
      </c>
      <c r="K204" t="s">
        <v>204</v>
      </c>
      <c r="L204" t="s">
        <v>219</v>
      </c>
      <c r="M204" t="s">
        <v>225</v>
      </c>
    </row>
    <row r="205" spans="1:13" x14ac:dyDescent="0.25">
      <c r="A205" t="s">
        <v>373</v>
      </c>
      <c r="B205">
        <v>0.88660131223529681</v>
      </c>
      <c r="C205">
        <v>0.98349151536284629</v>
      </c>
      <c r="D205">
        <v>0.85540540343692251</v>
      </c>
      <c r="E205">
        <v>0.97436370289557894</v>
      </c>
      <c r="F205">
        <v>0.96196850216564134</v>
      </c>
      <c r="G205">
        <v>0.95700376862482306</v>
      </c>
      <c r="H205">
        <v>0.99627456750926136</v>
      </c>
      <c r="I205">
        <v>0.98211987072351747</v>
      </c>
      <c r="J205" t="s">
        <v>199</v>
      </c>
      <c r="K205" t="s">
        <v>239</v>
      </c>
      <c r="L205" t="s">
        <v>219</v>
      </c>
      <c r="M205" t="s">
        <v>225</v>
      </c>
    </row>
    <row r="206" spans="1:13" x14ac:dyDescent="0.25">
      <c r="A206" t="s">
        <v>374</v>
      </c>
      <c r="B206">
        <v>0.96986680493292698</v>
      </c>
      <c r="C206">
        <v>0.96896495832359686</v>
      </c>
      <c r="D206">
        <v>0.74619097851772986</v>
      </c>
      <c r="E206">
        <v>0.78465758139077901</v>
      </c>
      <c r="F206">
        <v>0.91778274976158836</v>
      </c>
      <c r="G206">
        <v>0.86366232223856265</v>
      </c>
      <c r="H206">
        <v>0.91746729364370183</v>
      </c>
      <c r="I206">
        <v>0.83472396881621691</v>
      </c>
      <c r="J206" t="s">
        <v>199</v>
      </c>
      <c r="K206" t="s">
        <v>241</v>
      </c>
      <c r="L206" t="s">
        <v>219</v>
      </c>
      <c r="M206" t="s">
        <v>225</v>
      </c>
    </row>
    <row r="207" spans="1:13" x14ac:dyDescent="0.25">
      <c r="A207" t="s">
        <v>104</v>
      </c>
      <c r="B207">
        <v>0.8423378905371568</v>
      </c>
      <c r="C207">
        <v>0.8073736404291163</v>
      </c>
      <c r="D207">
        <v>0.7331646255780746</v>
      </c>
      <c r="E207">
        <v>0.90703306538689354</v>
      </c>
      <c r="F207">
        <v>0.45421908655230947</v>
      </c>
      <c r="G207">
        <v>9.8279046257043978E-2</v>
      </c>
      <c r="H207">
        <v>0.66725720611754757</v>
      </c>
      <c r="I207">
        <v>0.39080858172537092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0.99332812111727187</v>
      </c>
      <c r="C208">
        <v>0.96222504167244904</v>
      </c>
      <c r="D208">
        <v>0.95100062254295514</v>
      </c>
      <c r="E208">
        <v>0.95882333511842333</v>
      </c>
      <c r="F208">
        <v>0.95329013947613372</v>
      </c>
      <c r="G208">
        <v>0.94975023102235168</v>
      </c>
      <c r="H208">
        <v>0.95147437289208703</v>
      </c>
      <c r="I208">
        <v>0.95444342872319676</v>
      </c>
      <c r="J208" t="s">
        <v>199</v>
      </c>
      <c r="K208" t="s">
        <v>207</v>
      </c>
      <c r="L208" t="s">
        <v>219</v>
      </c>
      <c r="M208" t="s">
        <v>225</v>
      </c>
    </row>
    <row r="209" spans="1:13" x14ac:dyDescent="0.25">
      <c r="A209" t="s">
        <v>375</v>
      </c>
      <c r="B209">
        <v>0.74375222965366339</v>
      </c>
      <c r="C209">
        <v>0.37723048195093034</v>
      </c>
      <c r="D209">
        <v>0.22869244097603048</v>
      </c>
      <c r="E209">
        <v>0.77688882160532002</v>
      </c>
      <c r="F209">
        <v>0.18527832487546214</v>
      </c>
      <c r="G209">
        <v>3.3506173159802644E-2</v>
      </c>
      <c r="H209">
        <v>0.49275131990178367</v>
      </c>
      <c r="I209">
        <v>0.57714499143483011</v>
      </c>
      <c r="J209" t="s">
        <v>199</v>
      </c>
      <c r="K209" t="s">
        <v>233</v>
      </c>
      <c r="L209" t="s">
        <v>219</v>
      </c>
      <c r="M209" t="s">
        <v>225</v>
      </c>
    </row>
    <row r="210" spans="1:13" x14ac:dyDescent="0.25">
      <c r="A210" t="s">
        <v>105</v>
      </c>
      <c r="J210" t="s">
        <v>199</v>
      </c>
      <c r="K210" t="s">
        <v>202</v>
      </c>
      <c r="L210" t="s">
        <v>220</v>
      </c>
      <c r="M210" t="s">
        <v>225</v>
      </c>
    </row>
    <row r="211" spans="1:13" x14ac:dyDescent="0.25">
      <c r="A211" t="s">
        <v>106</v>
      </c>
      <c r="B211">
        <v>0.88728362916060854</v>
      </c>
      <c r="C211">
        <v>0.93847947544767774</v>
      </c>
      <c r="D211">
        <v>0.76981841248369087</v>
      </c>
      <c r="E211">
        <v>0.53076134009055664</v>
      </c>
      <c r="F211">
        <v>0.97782652515916768</v>
      </c>
      <c r="G211">
        <v>0.86928442676011008</v>
      </c>
      <c r="H211">
        <v>0.49924973405836215</v>
      </c>
      <c r="I211">
        <v>0.99703159276308539</v>
      </c>
      <c r="J211" t="s">
        <v>199</v>
      </c>
      <c r="K211" t="s">
        <v>203</v>
      </c>
      <c r="L211" t="s">
        <v>220</v>
      </c>
      <c r="M211" t="s">
        <v>225</v>
      </c>
    </row>
    <row r="212" spans="1:13" x14ac:dyDescent="0.25">
      <c r="A212" t="s">
        <v>107</v>
      </c>
      <c r="B212">
        <v>0.78497402102342417</v>
      </c>
      <c r="C212">
        <v>0.33871951065600769</v>
      </c>
      <c r="D212">
        <v>0.4705887917767706</v>
      </c>
      <c r="E212">
        <v>0.4536616728138162</v>
      </c>
      <c r="F212">
        <v>0.673449857190628</v>
      </c>
      <c r="G212">
        <v>0.74973778673043412</v>
      </c>
      <c r="H212">
        <v>0.15832500174468023</v>
      </c>
      <c r="I212">
        <v>0.46189657625876368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0.93476923848285054</v>
      </c>
      <c r="C213">
        <v>0.92379846043068592</v>
      </c>
      <c r="D213">
        <v>0.81456463866581874</v>
      </c>
      <c r="E213">
        <v>0.94098517386991865</v>
      </c>
      <c r="F213">
        <v>0.99596838229963636</v>
      </c>
      <c r="G213">
        <v>0.97520801623865139</v>
      </c>
      <c r="H213">
        <v>0.80033017990603328</v>
      </c>
      <c r="I213">
        <v>0.9471428653180114</v>
      </c>
      <c r="J213" t="s">
        <v>199</v>
      </c>
      <c r="K213" t="s">
        <v>239</v>
      </c>
      <c r="L213" t="s">
        <v>220</v>
      </c>
      <c r="M213" t="s">
        <v>225</v>
      </c>
    </row>
    <row r="214" spans="1:13" x14ac:dyDescent="0.25">
      <c r="A214" t="s">
        <v>377</v>
      </c>
      <c r="B214">
        <v>0.40380559010109096</v>
      </c>
      <c r="C214">
        <v>0.30028347988403459</v>
      </c>
      <c r="D214">
        <v>0.395616882140995</v>
      </c>
      <c r="E214">
        <v>0.6275966439118178</v>
      </c>
      <c r="F214">
        <v>0.97417649620501612</v>
      </c>
      <c r="G214">
        <v>0.9745720740454541</v>
      </c>
      <c r="H214">
        <v>0.77378184913060666</v>
      </c>
      <c r="I214">
        <v>0.87799072115280352</v>
      </c>
      <c r="J214" t="s">
        <v>199</v>
      </c>
      <c r="K214" t="s">
        <v>241</v>
      </c>
      <c r="L214" t="s">
        <v>220</v>
      </c>
      <c r="M214" t="s">
        <v>225</v>
      </c>
    </row>
    <row r="215" spans="1:13" x14ac:dyDescent="0.25">
      <c r="A215" t="s">
        <v>108</v>
      </c>
      <c r="B215">
        <v>0.40578296792813595</v>
      </c>
      <c r="C215">
        <v>0.55700687259507498</v>
      </c>
      <c r="D215">
        <v>0.66202452298957981</v>
      </c>
      <c r="E215">
        <v>0.85697615970427821</v>
      </c>
      <c r="F215">
        <v>0.98113653563862879</v>
      </c>
      <c r="G215">
        <v>0.98777879479349306</v>
      </c>
      <c r="H215">
        <v>0.82403647441070038</v>
      </c>
      <c r="I215">
        <v>0.94796295074174375</v>
      </c>
      <c r="J215" t="s">
        <v>199</v>
      </c>
      <c r="K215" t="s">
        <v>206</v>
      </c>
      <c r="L215" t="s">
        <v>220</v>
      </c>
      <c r="M215" t="s">
        <v>225</v>
      </c>
    </row>
    <row r="216" spans="1:13" x14ac:dyDescent="0.25">
      <c r="A216" t="s">
        <v>287</v>
      </c>
      <c r="B216">
        <v>0.83527425785563469</v>
      </c>
      <c r="C216">
        <v>0.96821696410758584</v>
      </c>
      <c r="D216">
        <v>0.66875303737535297</v>
      </c>
      <c r="E216">
        <v>0.81558525299391049</v>
      </c>
      <c r="F216">
        <v>0.85749012538228842</v>
      </c>
      <c r="G216">
        <v>0.90540776497900577</v>
      </c>
      <c r="H216">
        <v>0.74395212751532014</v>
      </c>
      <c r="I216">
        <v>0.89366312124829117</v>
      </c>
      <c r="J216" t="s">
        <v>199</v>
      </c>
      <c r="K216" t="s">
        <v>207</v>
      </c>
      <c r="L216" t="s">
        <v>220</v>
      </c>
      <c r="M216" t="s">
        <v>225</v>
      </c>
    </row>
    <row r="217" spans="1:13" x14ac:dyDescent="0.25">
      <c r="A217" t="s">
        <v>378</v>
      </c>
      <c r="B217">
        <v>0.85884513865616618</v>
      </c>
      <c r="C217">
        <v>0.52590884866592424</v>
      </c>
      <c r="D217">
        <v>0.61521479335085694</v>
      </c>
      <c r="E217">
        <v>0.92052661231848154</v>
      </c>
      <c r="F217">
        <v>0.92077752388093681</v>
      </c>
      <c r="G217">
        <v>0.75260547596321281</v>
      </c>
      <c r="H217">
        <v>0.78090991531500498</v>
      </c>
      <c r="I217">
        <v>0.81125055707800708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J218" t="s">
        <v>199</v>
      </c>
      <c r="K218" t="s">
        <v>202</v>
      </c>
      <c r="L218" t="s">
        <v>221</v>
      </c>
      <c r="M218" t="s">
        <v>225</v>
      </c>
    </row>
    <row r="219" spans="1:13" x14ac:dyDescent="0.25">
      <c r="A219" t="s">
        <v>110</v>
      </c>
      <c r="B219">
        <v>2.6803965285466802E-3</v>
      </c>
      <c r="C219">
        <v>0.81483193848165958</v>
      </c>
      <c r="D219">
        <v>0.48589840089115677</v>
      </c>
      <c r="E219">
        <v>0.23778914404239226</v>
      </c>
      <c r="F219">
        <v>0.33989849654089443</v>
      </c>
      <c r="G219">
        <v>0.98247165049638607</v>
      </c>
      <c r="H219">
        <v>0.88683002752319162</v>
      </c>
      <c r="I219">
        <v>0.61688624630474642</v>
      </c>
      <c r="J219" t="s">
        <v>199</v>
      </c>
      <c r="K219" t="s">
        <v>203</v>
      </c>
      <c r="L219" t="s">
        <v>221</v>
      </c>
      <c r="M219" t="s">
        <v>225</v>
      </c>
    </row>
    <row r="220" spans="1:13" x14ac:dyDescent="0.25">
      <c r="A220" t="s">
        <v>111</v>
      </c>
      <c r="B220">
        <v>4.6759595432055434E-4</v>
      </c>
      <c r="C220">
        <v>0.85647282303420591</v>
      </c>
      <c r="D220">
        <v>0.72637311537577132</v>
      </c>
      <c r="E220">
        <v>0.31236370401884828</v>
      </c>
      <c r="F220">
        <v>0.48428938331114646</v>
      </c>
      <c r="G220">
        <v>0.79736926080111981</v>
      </c>
      <c r="H220">
        <v>0.87230892741998745</v>
      </c>
      <c r="I220">
        <v>0.65412426502684573</v>
      </c>
      <c r="J220" t="s">
        <v>199</v>
      </c>
      <c r="K220" t="s">
        <v>204</v>
      </c>
      <c r="L220" t="s">
        <v>221</v>
      </c>
      <c r="M220" t="s">
        <v>225</v>
      </c>
    </row>
    <row r="221" spans="1:13" x14ac:dyDescent="0.25">
      <c r="A221" t="s">
        <v>379</v>
      </c>
      <c r="B221">
        <v>0.45084518072083801</v>
      </c>
      <c r="C221">
        <v>0.48966608567598047</v>
      </c>
      <c r="D221">
        <v>0.73871145189856491</v>
      </c>
      <c r="E221">
        <v>0.97971775736662403</v>
      </c>
      <c r="F221">
        <v>0.94492570554035926</v>
      </c>
      <c r="G221">
        <v>0.93131245286993214</v>
      </c>
      <c r="H221">
        <v>0.91127615807516216</v>
      </c>
      <c r="I221">
        <v>0.94579807520649017</v>
      </c>
      <c r="J221" t="s">
        <v>199</v>
      </c>
      <c r="K221" t="s">
        <v>239</v>
      </c>
      <c r="L221" t="s">
        <v>221</v>
      </c>
      <c r="M221" t="s">
        <v>225</v>
      </c>
    </row>
    <row r="222" spans="1:13" x14ac:dyDescent="0.25">
      <c r="A222" t="s">
        <v>380</v>
      </c>
      <c r="B222">
        <v>0.98907781162490038</v>
      </c>
      <c r="C222">
        <v>0.9949390108724967</v>
      </c>
      <c r="D222">
        <v>0.98455214812217839</v>
      </c>
      <c r="E222">
        <v>0.99398579105340634</v>
      </c>
      <c r="F222">
        <v>0.98768209753790093</v>
      </c>
      <c r="G222">
        <v>0.97059750311790616</v>
      </c>
      <c r="H222">
        <v>0.95848656416520106</v>
      </c>
      <c r="I222">
        <v>0.98767977230434356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0.46346386670847617</v>
      </c>
      <c r="C223">
        <v>0.24638192480336885</v>
      </c>
      <c r="D223">
        <v>0.10568260414936259</v>
      </c>
      <c r="E223">
        <v>1.6575405164999779E-2</v>
      </c>
      <c r="F223">
        <v>0.21750436454976907</v>
      </c>
      <c r="G223">
        <v>0.20654032444978787</v>
      </c>
      <c r="H223">
        <v>0.32929696321972035</v>
      </c>
      <c r="I223">
        <v>0.53403509255227544</v>
      </c>
      <c r="J223" t="s">
        <v>199</v>
      </c>
      <c r="K223" t="s">
        <v>206</v>
      </c>
      <c r="L223" t="s">
        <v>221</v>
      </c>
      <c r="M223" t="s">
        <v>225</v>
      </c>
    </row>
    <row r="224" spans="1:13" x14ac:dyDescent="0.25">
      <c r="A224" t="s">
        <v>288</v>
      </c>
      <c r="B224">
        <v>0.52030961234731843</v>
      </c>
      <c r="C224">
        <v>0.77028086176385169</v>
      </c>
      <c r="D224">
        <v>0.6712653870336156</v>
      </c>
      <c r="E224">
        <v>0.92879962230585078</v>
      </c>
      <c r="F224">
        <v>0.93640157419837466</v>
      </c>
      <c r="G224">
        <v>0.95179541891568242</v>
      </c>
      <c r="H224">
        <v>0.80971535169969722</v>
      </c>
      <c r="I224">
        <v>0.91322786000112699</v>
      </c>
      <c r="J224" t="s">
        <v>199</v>
      </c>
      <c r="K224" t="s">
        <v>207</v>
      </c>
      <c r="L224" t="s">
        <v>221</v>
      </c>
      <c r="M224" t="s">
        <v>225</v>
      </c>
    </row>
    <row r="225" spans="1:13" x14ac:dyDescent="0.25">
      <c r="A225" t="s">
        <v>381</v>
      </c>
      <c r="B225">
        <v>5.4070294429610088E-2</v>
      </c>
      <c r="C225">
        <v>0.42729175588571067</v>
      </c>
      <c r="D225">
        <v>0.74399040677455686</v>
      </c>
      <c r="E225">
        <v>0.47060528621561026</v>
      </c>
      <c r="F225">
        <v>0.54989034871505316</v>
      </c>
      <c r="G225">
        <v>0.72983650024597002</v>
      </c>
      <c r="H225">
        <v>0.83276782013520623</v>
      </c>
      <c r="I225">
        <v>0.75114935707723607</v>
      </c>
      <c r="J225" t="s">
        <v>199</v>
      </c>
      <c r="K225" t="s">
        <v>233</v>
      </c>
      <c r="L225" t="s">
        <v>221</v>
      </c>
      <c r="M225" t="s">
        <v>225</v>
      </c>
    </row>
    <row r="226" spans="1:13" x14ac:dyDescent="0.25">
      <c r="A226" t="s">
        <v>113</v>
      </c>
      <c r="J226" t="s">
        <v>199</v>
      </c>
      <c r="K226" t="s">
        <v>202</v>
      </c>
      <c r="L226" t="s">
        <v>222</v>
      </c>
      <c r="M226" t="s">
        <v>225</v>
      </c>
    </row>
    <row r="227" spans="1:13" x14ac:dyDescent="0.25">
      <c r="A227" t="s">
        <v>114</v>
      </c>
      <c r="B227">
        <v>0.29736818312710556</v>
      </c>
      <c r="C227">
        <v>1.5196283274965472E-2</v>
      </c>
      <c r="D227">
        <v>7.6846314983517239E-2</v>
      </c>
      <c r="E227">
        <v>0.19946603832807441</v>
      </c>
      <c r="F227">
        <v>0.18866939496913249</v>
      </c>
      <c r="G227">
        <v>0.65090868202062913</v>
      </c>
      <c r="H227">
        <v>0.16087086242545867</v>
      </c>
      <c r="I227">
        <v>0.43237305012567862</v>
      </c>
      <c r="J227" t="s">
        <v>199</v>
      </c>
      <c r="K227" t="s">
        <v>203</v>
      </c>
      <c r="L227" t="s">
        <v>222</v>
      </c>
      <c r="M227" t="s">
        <v>225</v>
      </c>
    </row>
    <row r="228" spans="1:13" x14ac:dyDescent="0.25">
      <c r="A228" t="s">
        <v>115</v>
      </c>
      <c r="B228">
        <v>0.93937351897868504</v>
      </c>
      <c r="C228">
        <v>0.70332505740735074</v>
      </c>
      <c r="D228">
        <v>0.37919440741911026</v>
      </c>
      <c r="E228">
        <v>0.86061029721201932</v>
      </c>
      <c r="F228">
        <v>0.70693039693820581</v>
      </c>
      <c r="G228">
        <v>0.85454972391071793</v>
      </c>
      <c r="H228">
        <v>0.48353101488202577</v>
      </c>
      <c r="I228">
        <v>0.91368619078202062</v>
      </c>
      <c r="J228" t="s">
        <v>199</v>
      </c>
      <c r="K228" t="s">
        <v>204</v>
      </c>
      <c r="L228" t="s">
        <v>222</v>
      </c>
      <c r="M228" t="s">
        <v>225</v>
      </c>
    </row>
    <row r="229" spans="1:13" x14ac:dyDescent="0.25">
      <c r="A229" t="s">
        <v>382</v>
      </c>
      <c r="B229">
        <v>0.9026222772877015</v>
      </c>
      <c r="C229">
        <v>0.30901094152799713</v>
      </c>
      <c r="D229">
        <v>5.7854452495612607E-2</v>
      </c>
      <c r="E229">
        <v>0.26765870470100894</v>
      </c>
      <c r="F229">
        <v>0.30976013045639461</v>
      </c>
      <c r="G229">
        <v>0.48920594776675441</v>
      </c>
      <c r="H229">
        <v>0.10178125219332468</v>
      </c>
      <c r="I229">
        <v>0.42116965082955615</v>
      </c>
      <c r="J229" t="s">
        <v>199</v>
      </c>
      <c r="K229" t="s">
        <v>239</v>
      </c>
      <c r="L229" t="s">
        <v>222</v>
      </c>
      <c r="M229" t="s">
        <v>225</v>
      </c>
    </row>
    <row r="230" spans="1:13" x14ac:dyDescent="0.25">
      <c r="A230" t="s">
        <v>383</v>
      </c>
      <c r="B230">
        <v>0.97012470374137616</v>
      </c>
      <c r="C230">
        <v>0.95106056343848755</v>
      </c>
      <c r="D230">
        <v>0.8772005583036907</v>
      </c>
      <c r="E230">
        <v>0.89916174466281751</v>
      </c>
      <c r="F230">
        <v>0.94168152551196693</v>
      </c>
      <c r="G230">
        <v>0.96794605314830473</v>
      </c>
      <c r="H230">
        <v>0.9682086375852077</v>
      </c>
      <c r="I230">
        <v>0.95718604719963873</v>
      </c>
      <c r="J230" t="s">
        <v>199</v>
      </c>
      <c r="K230" t="s">
        <v>241</v>
      </c>
      <c r="L230" t="s">
        <v>222</v>
      </c>
      <c r="M230" t="s">
        <v>225</v>
      </c>
    </row>
    <row r="231" spans="1:13" x14ac:dyDescent="0.25">
      <c r="A231" t="s">
        <v>116</v>
      </c>
      <c r="B231">
        <v>0.5269071870640788</v>
      </c>
      <c r="C231">
        <v>0.28374261092871222</v>
      </c>
      <c r="D231">
        <v>0.20454850049344886</v>
      </c>
      <c r="E231">
        <v>0.21319543670551</v>
      </c>
      <c r="F231">
        <v>0.13770625135714454</v>
      </c>
      <c r="G231">
        <v>0.26676449162364679</v>
      </c>
      <c r="H231">
        <v>0.14101587841272167</v>
      </c>
      <c r="I231">
        <v>0.25682255122704423</v>
      </c>
      <c r="J231" t="s">
        <v>199</v>
      </c>
      <c r="K231" t="s">
        <v>206</v>
      </c>
      <c r="L231" t="s">
        <v>222</v>
      </c>
      <c r="M231" t="s">
        <v>225</v>
      </c>
    </row>
    <row r="232" spans="1:13" x14ac:dyDescent="0.25">
      <c r="A232" t="s">
        <v>289</v>
      </c>
      <c r="B232">
        <v>0.83287418425654303</v>
      </c>
      <c r="C232">
        <v>0.2994849473424257</v>
      </c>
      <c r="D232">
        <v>0.21877711277215006</v>
      </c>
      <c r="E232">
        <v>0.43396639053924979</v>
      </c>
      <c r="F232">
        <v>0.12764463078249699</v>
      </c>
      <c r="G232">
        <v>0.58689968254747782</v>
      </c>
      <c r="H232">
        <v>7.7401474775288914E-2</v>
      </c>
      <c r="I232">
        <v>0.2712419399912771</v>
      </c>
      <c r="J232" t="s">
        <v>199</v>
      </c>
      <c r="K232" t="s">
        <v>207</v>
      </c>
      <c r="L232" t="s">
        <v>222</v>
      </c>
      <c r="M232" t="s">
        <v>225</v>
      </c>
    </row>
    <row r="233" spans="1:13" x14ac:dyDescent="0.25">
      <c r="A233" t="s">
        <v>384</v>
      </c>
      <c r="B233">
        <v>0.35615111005507305</v>
      </c>
      <c r="C233">
        <v>0.86517996580986212</v>
      </c>
      <c r="D233">
        <v>0.47287054867044298</v>
      </c>
      <c r="E233">
        <v>0.96485325540509026</v>
      </c>
      <c r="F233">
        <v>0.69294907812145479</v>
      </c>
      <c r="G233">
        <v>0.99668723483830335</v>
      </c>
      <c r="H233">
        <v>0.44278827551036359</v>
      </c>
      <c r="I233">
        <v>0.52506267293633191</v>
      </c>
      <c r="J233" t="s">
        <v>199</v>
      </c>
      <c r="K233" t="s">
        <v>233</v>
      </c>
      <c r="L233" t="s">
        <v>222</v>
      </c>
      <c r="M233" t="s">
        <v>225</v>
      </c>
    </row>
    <row r="234" spans="1:13" x14ac:dyDescent="0.25">
      <c r="A234" t="s">
        <v>117</v>
      </c>
      <c r="J234" t="s">
        <v>199</v>
      </c>
      <c r="K234" t="s">
        <v>202</v>
      </c>
      <c r="L234" t="s">
        <v>223</v>
      </c>
      <c r="M234" t="s">
        <v>225</v>
      </c>
    </row>
    <row r="235" spans="1:13" x14ac:dyDescent="0.25">
      <c r="A235" t="s">
        <v>118</v>
      </c>
      <c r="B235">
        <v>0.52467100549010337</v>
      </c>
      <c r="C235">
        <v>0.62502500209782208</v>
      </c>
      <c r="D235">
        <v>0.83174007079880385</v>
      </c>
      <c r="E235">
        <v>0.75396613714605609</v>
      </c>
      <c r="F235">
        <v>0.8026909885125133</v>
      </c>
      <c r="G235">
        <v>0.96941655693907913</v>
      </c>
      <c r="H235">
        <v>0.37624810964528843</v>
      </c>
      <c r="I235">
        <v>0.88810101587738755</v>
      </c>
      <c r="J235" t="s">
        <v>199</v>
      </c>
      <c r="K235" t="s">
        <v>203</v>
      </c>
      <c r="L235" t="s">
        <v>223</v>
      </c>
      <c r="M235" t="s">
        <v>225</v>
      </c>
    </row>
    <row r="236" spans="1:13" x14ac:dyDescent="0.25">
      <c r="A236" t="s">
        <v>119</v>
      </c>
      <c r="B236">
        <v>0.86422192442057177</v>
      </c>
      <c r="C236">
        <v>0.52194821474011643</v>
      </c>
      <c r="D236">
        <v>0.98847465817268831</v>
      </c>
      <c r="E236">
        <v>0.96607830344201628</v>
      </c>
      <c r="F236">
        <v>0.98957146736439516</v>
      </c>
      <c r="G236">
        <v>0.86428041715597415</v>
      </c>
      <c r="H236">
        <v>0.57859853301665076</v>
      </c>
      <c r="I236">
        <v>0.93676743300164611</v>
      </c>
      <c r="J236" t="s">
        <v>199</v>
      </c>
      <c r="K236" t="s">
        <v>204</v>
      </c>
      <c r="L236" t="s">
        <v>223</v>
      </c>
      <c r="M236" t="s">
        <v>225</v>
      </c>
    </row>
    <row r="237" spans="1:13" x14ac:dyDescent="0.25">
      <c r="A237" t="s">
        <v>385</v>
      </c>
      <c r="B237">
        <v>0.99426673358944573</v>
      </c>
      <c r="C237">
        <v>0.97817069894238462</v>
      </c>
      <c r="D237">
        <v>0.91812370392136566</v>
      </c>
      <c r="E237">
        <v>0.99760374982328492</v>
      </c>
      <c r="F237">
        <v>0.96346123198970068</v>
      </c>
      <c r="G237">
        <v>0.88877475000448736</v>
      </c>
      <c r="H237">
        <v>0.79007265466505516</v>
      </c>
      <c r="I237">
        <v>0.9448546483225555</v>
      </c>
      <c r="J237" t="s">
        <v>199</v>
      </c>
      <c r="K237" t="s">
        <v>239</v>
      </c>
      <c r="L237" t="s">
        <v>223</v>
      </c>
      <c r="M237" t="s">
        <v>225</v>
      </c>
    </row>
    <row r="238" spans="1:13" x14ac:dyDescent="0.25">
      <c r="A238" t="s">
        <v>386</v>
      </c>
      <c r="B238">
        <v>0.58471972947901985</v>
      </c>
      <c r="C238">
        <v>0.32028042081742791</v>
      </c>
      <c r="D238">
        <v>0.65841543658619284</v>
      </c>
      <c r="E238">
        <v>0.24683549249067849</v>
      </c>
      <c r="F238">
        <v>0.19209964954843883</v>
      </c>
      <c r="G238">
        <v>3.0007638597972286E-2</v>
      </c>
      <c r="H238">
        <v>8.1786444952623549E-2</v>
      </c>
      <c r="I238">
        <v>3.0435673278683351E-2</v>
      </c>
      <c r="J238" t="s">
        <v>199</v>
      </c>
      <c r="K238" t="s">
        <v>241</v>
      </c>
      <c r="L238" t="s">
        <v>223</v>
      </c>
      <c r="M238" t="s">
        <v>225</v>
      </c>
    </row>
    <row r="239" spans="1:13" x14ac:dyDescent="0.25">
      <c r="A239" t="s">
        <v>120</v>
      </c>
      <c r="B239">
        <v>0.98514334760933731</v>
      </c>
      <c r="C239">
        <v>0.48145969426287405</v>
      </c>
      <c r="D239">
        <v>0.4877171908017548</v>
      </c>
      <c r="E239">
        <v>0.26057659811194145</v>
      </c>
      <c r="F239">
        <v>0.12742054329328656</v>
      </c>
      <c r="G239">
        <v>3.8899268011289512E-2</v>
      </c>
      <c r="H239">
        <v>8.2790069135071809E-2</v>
      </c>
      <c r="I239">
        <v>2.8819030513254185E-2</v>
      </c>
      <c r="J239" t="s">
        <v>199</v>
      </c>
      <c r="K239" t="s">
        <v>206</v>
      </c>
      <c r="L239" t="s">
        <v>223</v>
      </c>
      <c r="M239" t="s">
        <v>225</v>
      </c>
    </row>
    <row r="240" spans="1:13" x14ac:dyDescent="0.25">
      <c r="A240" t="s">
        <v>290</v>
      </c>
      <c r="B240">
        <v>0.99999877611775556</v>
      </c>
      <c r="C240">
        <v>0.99997245163468373</v>
      </c>
      <c r="D240">
        <v>0.9981656487678876</v>
      </c>
      <c r="E240">
        <v>0.99920136652389935</v>
      </c>
      <c r="F240">
        <v>0.99715039426261365</v>
      </c>
      <c r="G240">
        <v>0.98816401393479891</v>
      </c>
      <c r="H240">
        <v>0.938332426112647</v>
      </c>
      <c r="I240">
        <v>0.98861356957676738</v>
      </c>
      <c r="J240" t="s">
        <v>199</v>
      </c>
      <c r="K240" t="s">
        <v>207</v>
      </c>
      <c r="L240" t="s">
        <v>223</v>
      </c>
      <c r="M240" t="s">
        <v>225</v>
      </c>
    </row>
    <row r="241" spans="1:13" x14ac:dyDescent="0.25">
      <c r="A241" t="s">
        <v>387</v>
      </c>
      <c r="B241">
        <v>0.84140463370431118</v>
      </c>
      <c r="C241">
        <v>0.75319293984027991</v>
      </c>
      <c r="D241">
        <v>0.9458282983619607</v>
      </c>
      <c r="E241">
        <v>0.91854657531583062</v>
      </c>
      <c r="F241">
        <v>0.93441422607814695</v>
      </c>
      <c r="G241">
        <v>0.90789713484951795</v>
      </c>
      <c r="H241">
        <v>0.7399212284054818</v>
      </c>
      <c r="I241">
        <v>0.99078164662119683</v>
      </c>
      <c r="J241" t="s">
        <v>199</v>
      </c>
      <c r="K241" t="s">
        <v>233</v>
      </c>
      <c r="L241" t="s">
        <v>223</v>
      </c>
      <c r="M241" t="s">
        <v>225</v>
      </c>
    </row>
    <row r="242" spans="1:13" x14ac:dyDescent="0.25">
      <c r="A242" t="s">
        <v>121</v>
      </c>
      <c r="J242" t="s">
        <v>200</v>
      </c>
      <c r="K242" t="s">
        <v>202</v>
      </c>
      <c r="L242" t="s">
        <v>209</v>
      </c>
      <c r="M242" t="s">
        <v>225</v>
      </c>
    </row>
    <row r="243" spans="1:13" x14ac:dyDescent="0.25">
      <c r="A243" t="s">
        <v>122</v>
      </c>
      <c r="B243">
        <v>0.98762502642892414</v>
      </c>
      <c r="C243">
        <v>0.9578298183758065</v>
      </c>
      <c r="D243">
        <v>0.88809772469902282</v>
      </c>
      <c r="E243">
        <v>0.85562007502969228</v>
      </c>
      <c r="F243">
        <v>0.86595458670514613</v>
      </c>
      <c r="G243">
        <v>0.79677464702089007</v>
      </c>
      <c r="H243">
        <v>0.76376858140951909</v>
      </c>
      <c r="I243">
        <v>0.72475960743360479</v>
      </c>
      <c r="J243" t="s">
        <v>200</v>
      </c>
      <c r="K243" t="s">
        <v>203</v>
      </c>
      <c r="L243" t="s">
        <v>209</v>
      </c>
      <c r="M243" t="s">
        <v>225</v>
      </c>
    </row>
    <row r="244" spans="1:13" x14ac:dyDescent="0.25">
      <c r="A244" t="s">
        <v>123</v>
      </c>
      <c r="B244">
        <v>0.18831773679986608</v>
      </c>
      <c r="C244">
        <v>0.11703308275327751</v>
      </c>
      <c r="D244">
        <v>1.9693394180780199E-2</v>
      </c>
      <c r="E244">
        <v>7.5456206431834261E-3</v>
      </c>
      <c r="F244">
        <v>2.5056279801011216E-3</v>
      </c>
      <c r="G244">
        <v>2.8479338542607424E-3</v>
      </c>
      <c r="H244">
        <v>2.9963098985930081E-3</v>
      </c>
      <c r="I244">
        <v>2.7972451366796713E-3</v>
      </c>
      <c r="J244" t="s">
        <v>200</v>
      </c>
      <c r="K244" t="s">
        <v>204</v>
      </c>
      <c r="L244" t="s">
        <v>209</v>
      </c>
      <c r="M244" t="s">
        <v>225</v>
      </c>
    </row>
    <row r="245" spans="1:13" x14ac:dyDescent="0.25">
      <c r="A245" t="s">
        <v>388</v>
      </c>
      <c r="B245">
        <v>0.99999987815368752</v>
      </c>
      <c r="C245">
        <v>0.99999597697348541</v>
      </c>
      <c r="D245">
        <v>0.99962504680979503</v>
      </c>
      <c r="E245">
        <v>0.9866673526416655</v>
      </c>
      <c r="F245">
        <v>0.90903459173788648</v>
      </c>
      <c r="G245">
        <v>0.57724428259728988</v>
      </c>
      <c r="H245">
        <v>0.21315264338172968</v>
      </c>
      <c r="I245">
        <v>7.188816026524425E-2</v>
      </c>
      <c r="J245" t="s">
        <v>200</v>
      </c>
      <c r="K245" t="s">
        <v>239</v>
      </c>
      <c r="L245" t="s">
        <v>209</v>
      </c>
      <c r="M245" t="s">
        <v>225</v>
      </c>
    </row>
    <row r="246" spans="1:13" x14ac:dyDescent="0.25">
      <c r="A246" t="s">
        <v>389</v>
      </c>
      <c r="B246">
        <v>0.99999999998514655</v>
      </c>
      <c r="C246">
        <v>0.99999999987612465</v>
      </c>
      <c r="D246">
        <v>0.99986101936269278</v>
      </c>
      <c r="E246">
        <v>0.7788225428373674</v>
      </c>
      <c r="F246">
        <v>0.16177984853608218</v>
      </c>
      <c r="G246">
        <v>1.9782288618707677E-2</v>
      </c>
      <c r="H246">
        <v>2.2005509207995155E-3</v>
      </c>
      <c r="I246">
        <v>3.775222586434035E-4</v>
      </c>
      <c r="J246" t="s">
        <v>200</v>
      </c>
      <c r="K246" t="s">
        <v>241</v>
      </c>
      <c r="L246" t="s">
        <v>209</v>
      </c>
      <c r="M246" t="s">
        <v>225</v>
      </c>
    </row>
    <row r="247" spans="1:13" x14ac:dyDescent="0.25">
      <c r="A247" t="s">
        <v>124</v>
      </c>
      <c r="B247">
        <v>0.99947476579374273</v>
      </c>
      <c r="C247">
        <v>0.99978887993990662</v>
      </c>
      <c r="D247">
        <v>0.99655410246532072</v>
      </c>
      <c r="E247">
        <v>0.88310093556533853</v>
      </c>
      <c r="F247">
        <v>0.29636771181350263</v>
      </c>
      <c r="G247">
        <v>1.5602908595096276E-2</v>
      </c>
      <c r="H247">
        <v>1.2923796481412175E-3</v>
      </c>
      <c r="I247">
        <v>8.5166205960329755E-5</v>
      </c>
      <c r="J247" t="s">
        <v>200</v>
      </c>
      <c r="K247" t="s">
        <v>206</v>
      </c>
      <c r="L247" t="s">
        <v>209</v>
      </c>
      <c r="M247" t="s">
        <v>225</v>
      </c>
    </row>
    <row r="248" spans="1:13" x14ac:dyDescent="0.25">
      <c r="A248" t="s">
        <v>291</v>
      </c>
      <c r="B248">
        <v>0.9999999999999799</v>
      </c>
      <c r="C248">
        <v>0.99999999999998546</v>
      </c>
      <c r="D248">
        <v>0.99999999965411701</v>
      </c>
      <c r="E248">
        <v>0.99999997542462415</v>
      </c>
      <c r="F248">
        <v>0.99999850830351988</v>
      </c>
      <c r="G248">
        <v>0.99992593980766653</v>
      </c>
      <c r="H248">
        <v>0.99767492162808613</v>
      </c>
      <c r="I248">
        <v>0.98751806862355196</v>
      </c>
      <c r="J248" t="s">
        <v>200</v>
      </c>
      <c r="K248" t="s">
        <v>207</v>
      </c>
      <c r="L248" t="s">
        <v>209</v>
      </c>
      <c r="M248" t="s">
        <v>225</v>
      </c>
    </row>
    <row r="249" spans="1:13" x14ac:dyDescent="0.25">
      <c r="A249" t="s">
        <v>390</v>
      </c>
      <c r="B249">
        <v>0.91117160997273416</v>
      </c>
      <c r="C249">
        <v>0.79140434154311645</v>
      </c>
      <c r="D249">
        <v>0.51112632733954078</v>
      </c>
      <c r="E249">
        <v>0.27542597268757274</v>
      </c>
      <c r="F249">
        <v>0.15746269127725321</v>
      </c>
      <c r="G249">
        <v>7.4839226791340918E-2</v>
      </c>
      <c r="H249">
        <v>2.5909151764240135E-2</v>
      </c>
      <c r="I249">
        <v>8.9603467034006234E-3</v>
      </c>
      <c r="J249" t="s">
        <v>200</v>
      </c>
      <c r="K249" t="s">
        <v>233</v>
      </c>
      <c r="L249" t="s">
        <v>209</v>
      </c>
      <c r="M249" t="s">
        <v>225</v>
      </c>
    </row>
    <row r="250" spans="1:13" x14ac:dyDescent="0.25">
      <c r="A250" t="s">
        <v>125</v>
      </c>
      <c r="J250" t="s">
        <v>200</v>
      </c>
      <c r="K250" t="s">
        <v>202</v>
      </c>
      <c r="L250" t="s">
        <v>210</v>
      </c>
      <c r="M250" t="s">
        <v>225</v>
      </c>
    </row>
    <row r="251" spans="1:13" x14ac:dyDescent="0.25">
      <c r="A251" t="s">
        <v>126</v>
      </c>
      <c r="B251">
        <v>5.5084485423308127E-2</v>
      </c>
      <c r="C251">
        <v>0.28532481397322917</v>
      </c>
      <c r="D251">
        <v>0.45978389154147459</v>
      </c>
      <c r="E251">
        <v>0.83574575284627595</v>
      </c>
      <c r="F251">
        <v>0.95901825528082041</v>
      </c>
      <c r="G251">
        <v>0.96699558050245371</v>
      </c>
      <c r="H251">
        <v>0.95949230643843508</v>
      </c>
      <c r="I251">
        <v>0.96604921807526634</v>
      </c>
      <c r="J251" t="s">
        <v>200</v>
      </c>
      <c r="K251" t="s">
        <v>203</v>
      </c>
      <c r="L251" t="s">
        <v>210</v>
      </c>
      <c r="M251" t="s">
        <v>225</v>
      </c>
    </row>
    <row r="252" spans="1:13" x14ac:dyDescent="0.25">
      <c r="A252" t="s">
        <v>127</v>
      </c>
      <c r="B252">
        <v>0.38112124721124407</v>
      </c>
      <c r="C252">
        <v>0.85746897222331619</v>
      </c>
      <c r="D252">
        <v>0.99573807634398259</v>
      </c>
      <c r="E252">
        <v>0.97863221083249663</v>
      </c>
      <c r="F252">
        <v>0.96606160577695244</v>
      </c>
      <c r="G252">
        <v>0.98371900219452535</v>
      </c>
      <c r="H252">
        <v>0.96362860270312101</v>
      </c>
      <c r="I252">
        <v>0.93207621101182603</v>
      </c>
      <c r="J252" t="s">
        <v>200</v>
      </c>
      <c r="K252" t="s">
        <v>204</v>
      </c>
      <c r="L252" t="s">
        <v>210</v>
      </c>
      <c r="M252" t="s">
        <v>225</v>
      </c>
    </row>
    <row r="253" spans="1:13" x14ac:dyDescent="0.25">
      <c r="A253" t="s">
        <v>391</v>
      </c>
      <c r="B253">
        <v>0.99999999998482014</v>
      </c>
      <c r="C253">
        <v>0.99999999999853317</v>
      </c>
      <c r="D253">
        <v>0.99999999932197725</v>
      </c>
      <c r="E253">
        <v>0.99999999728567412</v>
      </c>
      <c r="F253">
        <v>0.99999950308007646</v>
      </c>
      <c r="G253">
        <v>0.99999689733318387</v>
      </c>
      <c r="H253">
        <v>0.9998949622832527</v>
      </c>
      <c r="I253">
        <v>0.99942821853237096</v>
      </c>
      <c r="J253" t="s">
        <v>200</v>
      </c>
      <c r="K253" t="s">
        <v>239</v>
      </c>
      <c r="L253" t="s">
        <v>210</v>
      </c>
      <c r="M253" t="s">
        <v>225</v>
      </c>
    </row>
    <row r="254" spans="1:13" x14ac:dyDescent="0.25">
      <c r="A254" t="s">
        <v>392</v>
      </c>
      <c r="B254">
        <v>0.99999999999855937</v>
      </c>
      <c r="C254">
        <v>0.99999999999999989</v>
      </c>
      <c r="D254">
        <v>0.99999998221863928</v>
      </c>
      <c r="E254">
        <v>0.99999865612402994</v>
      </c>
      <c r="F254">
        <v>0.99996183927090443</v>
      </c>
      <c r="G254">
        <v>0.99973966279588167</v>
      </c>
      <c r="H254">
        <v>0.99312403361789736</v>
      </c>
      <c r="I254">
        <v>0.92344122656446426</v>
      </c>
      <c r="J254" t="s">
        <v>200</v>
      </c>
      <c r="K254" t="s">
        <v>241</v>
      </c>
      <c r="L254" t="s">
        <v>210</v>
      </c>
      <c r="M254" t="s">
        <v>225</v>
      </c>
    </row>
    <row r="255" spans="1:13" x14ac:dyDescent="0.25">
      <c r="A255" t="s">
        <v>128</v>
      </c>
      <c r="B255">
        <v>0.99908931221359842</v>
      </c>
      <c r="C255">
        <v>0.99991917408265418</v>
      </c>
      <c r="D255">
        <v>0.99977674105521852</v>
      </c>
      <c r="E255">
        <v>0.99957041983914885</v>
      </c>
      <c r="F255">
        <v>0.9972368370420871</v>
      </c>
      <c r="G255">
        <v>0.99058885557579657</v>
      </c>
      <c r="H255">
        <v>0.92806120527117753</v>
      </c>
      <c r="I255">
        <v>0.81519046749167456</v>
      </c>
      <c r="J255" t="s">
        <v>200</v>
      </c>
      <c r="K255" t="s">
        <v>206</v>
      </c>
      <c r="L255" t="s">
        <v>210</v>
      </c>
      <c r="M255" t="s">
        <v>225</v>
      </c>
    </row>
    <row r="256" spans="1:13" x14ac:dyDescent="0.25">
      <c r="A256" t="s">
        <v>292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0.99999999999999889</v>
      </c>
      <c r="H256">
        <v>0.99999999999999922</v>
      </c>
      <c r="I256">
        <v>0.99999999999774203</v>
      </c>
      <c r="J256" t="s">
        <v>200</v>
      </c>
      <c r="K256" t="s">
        <v>207</v>
      </c>
      <c r="L256" t="s">
        <v>210</v>
      </c>
      <c r="M256" t="s">
        <v>225</v>
      </c>
    </row>
    <row r="257" spans="1:13" x14ac:dyDescent="0.25">
      <c r="A257" t="s">
        <v>393</v>
      </c>
      <c r="B257">
        <v>2.8630500629911126E-2</v>
      </c>
      <c r="C257">
        <v>0.31354590086065959</v>
      </c>
      <c r="D257">
        <v>0.37663139469301543</v>
      </c>
      <c r="E257">
        <v>0.75919446313487771</v>
      </c>
      <c r="F257">
        <v>0.96192708191858112</v>
      </c>
      <c r="G257">
        <v>0.96551611094666623</v>
      </c>
      <c r="H257">
        <v>0.96174906409359928</v>
      </c>
      <c r="I257">
        <v>0.95457396664706162</v>
      </c>
      <c r="J257" t="s">
        <v>200</v>
      </c>
      <c r="K257" t="s">
        <v>233</v>
      </c>
      <c r="L257" t="s">
        <v>210</v>
      </c>
      <c r="M257" t="s">
        <v>225</v>
      </c>
    </row>
    <row r="258" spans="1:13" x14ac:dyDescent="0.25">
      <c r="A258" t="s">
        <v>129</v>
      </c>
      <c r="J258" t="s">
        <v>200</v>
      </c>
      <c r="K258" t="s">
        <v>202</v>
      </c>
      <c r="L258" t="s">
        <v>211</v>
      </c>
      <c r="M258" t="s">
        <v>225</v>
      </c>
    </row>
    <row r="259" spans="1:13" x14ac:dyDescent="0.25">
      <c r="A259" t="s">
        <v>130</v>
      </c>
      <c r="B259">
        <v>0.27300281561357775</v>
      </c>
      <c r="C259">
        <v>0.37241306785222106</v>
      </c>
      <c r="D259">
        <v>0.1230972796651939</v>
      </c>
      <c r="E259">
        <v>0.13552490986911758</v>
      </c>
      <c r="F259">
        <v>0.16700157053437081</v>
      </c>
      <c r="G259">
        <v>0.18594406046582468</v>
      </c>
      <c r="H259">
        <v>0.15797729495547297</v>
      </c>
      <c r="I259">
        <v>0.21802601770637509</v>
      </c>
      <c r="J259" t="s">
        <v>200</v>
      </c>
      <c r="K259" t="s">
        <v>203</v>
      </c>
      <c r="L259" t="s">
        <v>211</v>
      </c>
      <c r="M259" t="s">
        <v>225</v>
      </c>
    </row>
    <row r="260" spans="1:13" x14ac:dyDescent="0.25">
      <c r="A260" t="s">
        <v>131</v>
      </c>
      <c r="B260">
        <v>0.46204166088691545</v>
      </c>
      <c r="C260">
        <v>0.88326740053407204</v>
      </c>
      <c r="D260">
        <v>0.55805258360237109</v>
      </c>
      <c r="E260">
        <v>0.61350302222751207</v>
      </c>
      <c r="F260">
        <v>0.60019316730187722</v>
      </c>
      <c r="G260">
        <v>0.65410565467430137</v>
      </c>
      <c r="H260">
        <v>0.81875764659487427</v>
      </c>
      <c r="I260">
        <v>0.77641967982924931</v>
      </c>
      <c r="J260" t="s">
        <v>200</v>
      </c>
      <c r="K260" t="s">
        <v>204</v>
      </c>
      <c r="L260" t="s">
        <v>211</v>
      </c>
      <c r="M260" t="s">
        <v>225</v>
      </c>
    </row>
    <row r="261" spans="1:13" x14ac:dyDescent="0.25">
      <c r="A261" t="s">
        <v>394</v>
      </c>
      <c r="B261">
        <v>0.99996175901431739</v>
      </c>
      <c r="C261">
        <v>0.99999715681994883</v>
      </c>
      <c r="D261">
        <v>0.99995132787249763</v>
      </c>
      <c r="E261">
        <v>0.99947821481764665</v>
      </c>
      <c r="F261">
        <v>0.99475373888505136</v>
      </c>
      <c r="G261">
        <v>0.97762917452492337</v>
      </c>
      <c r="H261">
        <v>0.91546229813639579</v>
      </c>
      <c r="I261">
        <v>0.80462909936412741</v>
      </c>
      <c r="J261" t="s">
        <v>200</v>
      </c>
      <c r="K261" t="s">
        <v>239</v>
      </c>
      <c r="L261" t="s">
        <v>211</v>
      </c>
      <c r="M261" t="s">
        <v>225</v>
      </c>
    </row>
    <row r="262" spans="1:13" x14ac:dyDescent="0.25">
      <c r="A262" t="s">
        <v>395</v>
      </c>
      <c r="B262">
        <v>0.99999993024943945</v>
      </c>
      <c r="C262">
        <v>0.99999999999999556</v>
      </c>
      <c r="D262">
        <v>0.9999999999621334</v>
      </c>
      <c r="E262">
        <v>0.99999998936912038</v>
      </c>
      <c r="F262">
        <v>0.99999800502208935</v>
      </c>
      <c r="G262">
        <v>0.99999338986636965</v>
      </c>
      <c r="H262">
        <v>0.99998451704791991</v>
      </c>
      <c r="I262">
        <v>0.99987989617581718</v>
      </c>
      <c r="J262" t="s">
        <v>200</v>
      </c>
      <c r="K262" t="s">
        <v>241</v>
      </c>
      <c r="L262" t="s">
        <v>211</v>
      </c>
      <c r="M262" t="s">
        <v>225</v>
      </c>
    </row>
    <row r="263" spans="1:13" x14ac:dyDescent="0.25">
      <c r="A263" t="s">
        <v>132</v>
      </c>
      <c r="B263">
        <v>0.99797303246903724</v>
      </c>
      <c r="C263">
        <v>0.99951876089524228</v>
      </c>
      <c r="D263">
        <v>0.99937718466107106</v>
      </c>
      <c r="E263">
        <v>0.99417484149202229</v>
      </c>
      <c r="F263">
        <v>0.95340691306790859</v>
      </c>
      <c r="G263">
        <v>0.89222785779285219</v>
      </c>
      <c r="H263">
        <v>0.64817252183534424</v>
      </c>
      <c r="I263">
        <v>0.16190853975753972</v>
      </c>
      <c r="J263" t="s">
        <v>200</v>
      </c>
      <c r="K263" t="s">
        <v>206</v>
      </c>
      <c r="L263" t="s">
        <v>211</v>
      </c>
      <c r="M263" t="s">
        <v>225</v>
      </c>
    </row>
    <row r="264" spans="1:13" x14ac:dyDescent="0.25">
      <c r="A264" t="s">
        <v>293</v>
      </c>
      <c r="B264">
        <v>0.99999949194896753</v>
      </c>
      <c r="C264">
        <v>0.99999972832464001</v>
      </c>
      <c r="D264">
        <v>0.99998815772219951</v>
      </c>
      <c r="E264">
        <v>0.99989856687422418</v>
      </c>
      <c r="F264">
        <v>0.99898241869909865</v>
      </c>
      <c r="G264">
        <v>0.99681502618620554</v>
      </c>
      <c r="H264">
        <v>0.9933941059742899</v>
      </c>
      <c r="I264">
        <v>0.98589326389363474</v>
      </c>
      <c r="J264" t="s">
        <v>200</v>
      </c>
      <c r="K264" t="s">
        <v>207</v>
      </c>
      <c r="L264" t="s">
        <v>211</v>
      </c>
      <c r="M264" t="s">
        <v>225</v>
      </c>
    </row>
    <row r="265" spans="1:13" x14ac:dyDescent="0.25">
      <c r="A265" t="s">
        <v>396</v>
      </c>
      <c r="B265">
        <v>0.38779871279226108</v>
      </c>
      <c r="C265">
        <v>0.41898261602082176</v>
      </c>
      <c r="D265">
        <v>0.4543718510103526</v>
      </c>
      <c r="E265">
        <v>0.40651195355302661</v>
      </c>
      <c r="F265">
        <v>0.53505286833517118</v>
      </c>
      <c r="G265">
        <v>0.62969480001215927</v>
      </c>
      <c r="H265">
        <v>0.66553186498499928</v>
      </c>
      <c r="I265">
        <v>0.70473862191957815</v>
      </c>
      <c r="J265" t="s">
        <v>200</v>
      </c>
      <c r="K265" t="s">
        <v>233</v>
      </c>
      <c r="L265" t="s">
        <v>211</v>
      </c>
      <c r="M265" t="s">
        <v>225</v>
      </c>
    </row>
    <row r="266" spans="1:13" x14ac:dyDescent="0.25">
      <c r="A266" t="s">
        <v>133</v>
      </c>
      <c r="J266" t="s">
        <v>200</v>
      </c>
      <c r="K266" t="s">
        <v>202</v>
      </c>
      <c r="L266" t="s">
        <v>212</v>
      </c>
      <c r="M266" t="s">
        <v>225</v>
      </c>
    </row>
    <row r="267" spans="1:13" x14ac:dyDescent="0.25">
      <c r="A267" t="s">
        <v>134</v>
      </c>
      <c r="B267">
        <v>0.21404306069079637</v>
      </c>
      <c r="C267">
        <v>0.44175986362751252</v>
      </c>
      <c r="D267">
        <v>0.34274004269865754</v>
      </c>
      <c r="E267">
        <v>0.30909986571348402</v>
      </c>
      <c r="F267">
        <v>0.39816103323550212</v>
      </c>
      <c r="G267">
        <v>0.43642111242268444</v>
      </c>
      <c r="H267">
        <v>0.54575760842170373</v>
      </c>
      <c r="I267">
        <v>0.58080087877943765</v>
      </c>
      <c r="J267" t="s">
        <v>200</v>
      </c>
      <c r="K267" t="s">
        <v>203</v>
      </c>
      <c r="L267" t="s">
        <v>212</v>
      </c>
      <c r="M267" t="s">
        <v>225</v>
      </c>
    </row>
    <row r="268" spans="1:13" x14ac:dyDescent="0.25">
      <c r="A268" t="s">
        <v>135</v>
      </c>
      <c r="B268">
        <v>0.36736671940271504</v>
      </c>
      <c r="C268">
        <v>0.69297177643281094</v>
      </c>
      <c r="D268">
        <v>0.18310760446826913</v>
      </c>
      <c r="E268">
        <v>1.1345378618763835E-2</v>
      </c>
      <c r="F268">
        <v>6.1740006287208993E-2</v>
      </c>
      <c r="G268">
        <v>8.6064730762312913E-2</v>
      </c>
      <c r="H268">
        <v>0.10393297616298391</v>
      </c>
      <c r="I268">
        <v>0.13946345889016998</v>
      </c>
      <c r="J268" t="s">
        <v>200</v>
      </c>
      <c r="K268" t="s">
        <v>204</v>
      </c>
      <c r="L268" t="s">
        <v>212</v>
      </c>
      <c r="M268" t="s">
        <v>225</v>
      </c>
    </row>
    <row r="269" spans="1:13" x14ac:dyDescent="0.25">
      <c r="A269" t="s">
        <v>397</v>
      </c>
      <c r="B269">
        <v>0.99999999999999989</v>
      </c>
      <c r="C269">
        <v>0.9999999999998973</v>
      </c>
      <c r="D269">
        <v>0.99999999999974898</v>
      </c>
      <c r="E269">
        <v>0.99999999692035046</v>
      </c>
      <c r="F269">
        <v>0.99999992430708007</v>
      </c>
      <c r="G269">
        <v>0.9999546463601735</v>
      </c>
      <c r="H269">
        <v>0.99905834563480189</v>
      </c>
      <c r="I269">
        <v>0.97710181823411857</v>
      </c>
      <c r="J269" t="s">
        <v>200</v>
      </c>
      <c r="K269" t="s">
        <v>239</v>
      </c>
      <c r="L269" t="s">
        <v>212</v>
      </c>
      <c r="M269" t="s">
        <v>225</v>
      </c>
    </row>
    <row r="270" spans="1:13" x14ac:dyDescent="0.25">
      <c r="A270" t="s">
        <v>398</v>
      </c>
      <c r="B270">
        <v>0.99999999689177144</v>
      </c>
      <c r="C270">
        <v>0.99999608280351526</v>
      </c>
      <c r="D270">
        <v>0.99388615442525596</v>
      </c>
      <c r="E270">
        <v>0.73074187066596541</v>
      </c>
      <c r="F270">
        <v>0.25359687397185338</v>
      </c>
      <c r="G270">
        <v>5.1621216410423831E-2</v>
      </c>
      <c r="H270">
        <v>5.0074389735622615E-3</v>
      </c>
      <c r="I270">
        <v>6.781681941137041E-4</v>
      </c>
      <c r="J270" t="s">
        <v>200</v>
      </c>
      <c r="K270" t="s">
        <v>241</v>
      </c>
      <c r="L270" t="s">
        <v>212</v>
      </c>
      <c r="M270" t="s">
        <v>225</v>
      </c>
    </row>
    <row r="271" spans="1:13" x14ac:dyDescent="0.25">
      <c r="A271" t="s">
        <v>136</v>
      </c>
      <c r="B271">
        <v>0.99981283611614913</v>
      </c>
      <c r="C271">
        <v>0.99998357702579721</v>
      </c>
      <c r="D271">
        <v>0.99963011952811165</v>
      </c>
      <c r="E271">
        <v>0.99432865550959448</v>
      </c>
      <c r="F271">
        <v>0.98306401276617472</v>
      </c>
      <c r="G271">
        <v>0.94048676523256658</v>
      </c>
      <c r="H271">
        <v>0.7890874329969193</v>
      </c>
      <c r="I271">
        <v>0.42046523812049619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1</v>
      </c>
      <c r="C272">
        <v>1</v>
      </c>
      <c r="D272">
        <v>0.99999999999997691</v>
      </c>
      <c r="E272">
        <v>0.99999999995641309</v>
      </c>
      <c r="F272">
        <v>0.99999999789033289</v>
      </c>
      <c r="G272">
        <v>0.99999994135640302</v>
      </c>
      <c r="H272">
        <v>0.9999991742421882</v>
      </c>
      <c r="I272">
        <v>0.9999956103706289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5.2973901348487562E-3</v>
      </c>
      <c r="C273">
        <v>4.5073813271307106E-2</v>
      </c>
      <c r="D273">
        <v>9.9051732933619574E-2</v>
      </c>
      <c r="E273">
        <v>2.317894303443957E-2</v>
      </c>
      <c r="F273">
        <v>2.4654383805157165E-2</v>
      </c>
      <c r="G273">
        <v>3.0475207772380331E-2</v>
      </c>
      <c r="H273">
        <v>0.15926891870752591</v>
      </c>
      <c r="I273">
        <v>0.16882768043435648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0.40710301118732095</v>
      </c>
      <c r="C275">
        <v>0.51102203600553486</v>
      </c>
      <c r="D275">
        <v>0.61964794122155697</v>
      </c>
      <c r="E275">
        <v>0.51497629808549417</v>
      </c>
      <c r="F275">
        <v>0.19407321183708126</v>
      </c>
      <c r="G275">
        <v>0.10289215347437786</v>
      </c>
      <c r="H275">
        <v>6.97907305328066E-2</v>
      </c>
      <c r="I275">
        <v>3.6163916839300536E-2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0.84976030077745246</v>
      </c>
      <c r="C276">
        <v>0.83244918577766214</v>
      </c>
      <c r="D276">
        <v>0.77236010955249046</v>
      </c>
      <c r="E276">
        <v>0.50755904872879254</v>
      </c>
      <c r="F276">
        <v>0.50862576016622096</v>
      </c>
      <c r="G276">
        <v>0.36729802491479613</v>
      </c>
      <c r="H276">
        <v>0.22150049726604704</v>
      </c>
      <c r="I276">
        <v>0.17488537832314399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0.99999609987097016</v>
      </c>
      <c r="C277">
        <v>0.99999992214289857</v>
      </c>
      <c r="D277">
        <v>0.99998446547619657</v>
      </c>
      <c r="E277">
        <v>0.99972557461314848</v>
      </c>
      <c r="F277">
        <v>0.99098110781073778</v>
      </c>
      <c r="G277">
        <v>0.91001161135301734</v>
      </c>
      <c r="H277">
        <v>0.43477378182949833</v>
      </c>
      <c r="I277">
        <v>0.21255613358231207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0.99997679016957142</v>
      </c>
      <c r="C278">
        <v>0.99999523839202153</v>
      </c>
      <c r="D278">
        <v>0.99953976725416072</v>
      </c>
      <c r="E278">
        <v>0.98978722444255496</v>
      </c>
      <c r="F278">
        <v>0.75913186518587927</v>
      </c>
      <c r="G278">
        <v>0.1306261162980924</v>
      </c>
      <c r="H278">
        <v>9.1303858476207145E-3</v>
      </c>
      <c r="I278">
        <v>1.3337794665080893E-2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0.99996048390567926</v>
      </c>
      <c r="C279">
        <v>0.99981824538058051</v>
      </c>
      <c r="D279">
        <v>0.9986166485069341</v>
      </c>
      <c r="E279">
        <v>0.92062493119766819</v>
      </c>
      <c r="F279">
        <v>0.59564969556937863</v>
      </c>
      <c r="G279">
        <v>0.23757897718090182</v>
      </c>
      <c r="H279">
        <v>2.2641441682590413E-2</v>
      </c>
      <c r="I279">
        <v>1.1702019129946728E-2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0.99999999999920186</v>
      </c>
      <c r="C280">
        <v>0.99999999999627565</v>
      </c>
      <c r="D280">
        <v>0.99999999969310926</v>
      </c>
      <c r="E280">
        <v>0.99999990450905218</v>
      </c>
      <c r="F280">
        <v>0.99999940988685043</v>
      </c>
      <c r="G280">
        <v>0.9999857228541138</v>
      </c>
      <c r="H280">
        <v>0.99990290835211537</v>
      </c>
      <c r="I280">
        <v>0.99899792408324928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0.16168072010441226</v>
      </c>
      <c r="C281">
        <v>0.12750808093777688</v>
      </c>
      <c r="D281">
        <v>9.8300116130542126E-2</v>
      </c>
      <c r="E281">
        <v>0.21343101755796701</v>
      </c>
      <c r="F281">
        <v>0.24264695875965403</v>
      </c>
      <c r="G281">
        <v>0.16686376359566557</v>
      </c>
      <c r="H281">
        <v>0.15480165413498259</v>
      </c>
      <c r="I281">
        <v>0.11787657341424884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0.78994009908279217</v>
      </c>
      <c r="C283">
        <v>0.83889624892037784</v>
      </c>
      <c r="D283">
        <v>0.86443743079247526</v>
      </c>
      <c r="E283">
        <v>0.83899911109187386</v>
      </c>
      <c r="F283">
        <v>0.67397786032235307</v>
      </c>
      <c r="G283">
        <v>0.29571822233055756</v>
      </c>
      <c r="H283">
        <v>0.20108646148259546</v>
      </c>
      <c r="I283">
        <v>0.17428771159295287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0.11753214378439458</v>
      </c>
      <c r="C284">
        <v>2.6851475359639387E-3</v>
      </c>
      <c r="D284">
        <v>4.9894759171270842E-2</v>
      </c>
      <c r="E284">
        <v>3.1639543541572834E-2</v>
      </c>
      <c r="F284">
        <v>0.10964230312627676</v>
      </c>
      <c r="G284">
        <v>7.4062232192785515E-2</v>
      </c>
      <c r="H284">
        <v>0.12793405867310093</v>
      </c>
      <c r="I284">
        <v>6.7959331100993392E-2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0.99999999962211317</v>
      </c>
      <c r="C285">
        <v>0.99999999351743163</v>
      </c>
      <c r="D285">
        <v>0.99999986548320596</v>
      </c>
      <c r="E285">
        <v>0.99997012518015027</v>
      </c>
      <c r="F285">
        <v>0.9997663075666372</v>
      </c>
      <c r="G285">
        <v>0.98841690236210811</v>
      </c>
      <c r="H285">
        <v>0.84936509753730904</v>
      </c>
      <c r="I285">
        <v>0.59835778946442475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0.99999999999216138</v>
      </c>
      <c r="C286">
        <v>0.99999999968194786</v>
      </c>
      <c r="D286">
        <v>0.99994413070324739</v>
      </c>
      <c r="E286">
        <v>0.94675813727290303</v>
      </c>
      <c r="F286">
        <v>0.56855472006127061</v>
      </c>
      <c r="G286">
        <v>0.22152586414245135</v>
      </c>
      <c r="H286">
        <v>0.1197637786240725</v>
      </c>
      <c r="I286">
        <v>7.8398119741333927E-2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0.99724447047145215</v>
      </c>
      <c r="C287">
        <v>0.99976791568266343</v>
      </c>
      <c r="D287">
        <v>0.99810441010142381</v>
      </c>
      <c r="E287">
        <v>0.96647088012554816</v>
      </c>
      <c r="F287">
        <v>0.72730586240766126</v>
      </c>
      <c r="G287">
        <v>0.40888306909700889</v>
      </c>
      <c r="H287">
        <v>0.15622786512781484</v>
      </c>
      <c r="I287">
        <v>5.5807992043227395E-2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0.99999999999963818</v>
      </c>
      <c r="C288">
        <v>1</v>
      </c>
      <c r="D288">
        <v>0.9999999999999718</v>
      </c>
      <c r="E288">
        <v>0.99999999999987044</v>
      </c>
      <c r="F288">
        <v>0.99999999999747324</v>
      </c>
      <c r="G288">
        <v>0.99999999999687073</v>
      </c>
      <c r="H288">
        <v>0.9999999999515955</v>
      </c>
      <c r="I288">
        <v>0.99999999216455149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0.51278242570207877</v>
      </c>
      <c r="C289">
        <v>0.66626382178370513</v>
      </c>
      <c r="D289">
        <v>0.91976024490736075</v>
      </c>
      <c r="E289">
        <v>0.95574389148315908</v>
      </c>
      <c r="F289">
        <v>0.98201700659135971</v>
      </c>
      <c r="G289">
        <v>0.90725137299268876</v>
      </c>
      <c r="H289">
        <v>0.81096012706958676</v>
      </c>
      <c r="I289">
        <v>0.63956528573439131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7.2844216675630014E-2</v>
      </c>
      <c r="C291">
        <v>0.65929822721666087</v>
      </c>
      <c r="D291">
        <v>0.7890613474527467</v>
      </c>
      <c r="E291">
        <v>0.87484186248298867</v>
      </c>
      <c r="F291">
        <v>0.51189052762089471</v>
      </c>
      <c r="G291">
        <v>0.9849953565488323</v>
      </c>
      <c r="H291">
        <v>0.9987274111004979</v>
      </c>
      <c r="I291">
        <v>0.97767277094708993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0.66390598123599476</v>
      </c>
      <c r="C292">
        <v>0.39203473562633617</v>
      </c>
      <c r="D292">
        <v>0.47733537502742451</v>
      </c>
      <c r="E292">
        <v>0.26632578095399717</v>
      </c>
      <c r="F292">
        <v>0.34517301655542454</v>
      </c>
      <c r="G292">
        <v>0.62139881609050185</v>
      </c>
      <c r="H292">
        <v>0.99111104137986439</v>
      </c>
      <c r="I292">
        <v>0.50413360763447779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0.82884454068916769</v>
      </c>
      <c r="C293">
        <v>0.34067963113463196</v>
      </c>
      <c r="D293">
        <v>0.89731844923145654</v>
      </c>
      <c r="E293">
        <v>0.37279757199380281</v>
      </c>
      <c r="F293">
        <v>0.11359974208272194</v>
      </c>
      <c r="G293">
        <v>0.4875902178838365</v>
      </c>
      <c r="H293">
        <v>0.15902273786863541</v>
      </c>
      <c r="I293">
        <v>1.2056379221325075E-2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0.99978863401007523</v>
      </c>
      <c r="C294">
        <v>0.99962542298385915</v>
      </c>
      <c r="D294">
        <v>0.99962910833066454</v>
      </c>
      <c r="E294">
        <v>0.97868923851080014</v>
      </c>
      <c r="F294">
        <v>0.62165147385222808</v>
      </c>
      <c r="G294">
        <v>0.8441796710601126</v>
      </c>
      <c r="H294">
        <v>0.91013015627029725</v>
      </c>
      <c r="I294">
        <v>0.55905605256265423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0.49135622877843332</v>
      </c>
      <c r="C295">
        <v>0.97825987348223298</v>
      </c>
      <c r="D295">
        <v>0.94852331785735622</v>
      </c>
      <c r="E295">
        <v>7.6203110785510231E-2</v>
      </c>
      <c r="F295">
        <v>0.25539420557719406</v>
      </c>
      <c r="G295">
        <v>0.59183116659732016</v>
      </c>
      <c r="H295">
        <v>0.10575227277002841</v>
      </c>
      <c r="I295">
        <v>3.4158656818486066E-2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0.99999999837136322</v>
      </c>
      <c r="C296">
        <v>0.99999999810092399</v>
      </c>
      <c r="D296">
        <v>0.99999997338671931</v>
      </c>
      <c r="E296">
        <v>0.9998569345478594</v>
      </c>
      <c r="F296">
        <v>0.99596436739827221</v>
      </c>
      <c r="G296">
        <v>0.999976876271367</v>
      </c>
      <c r="H296">
        <v>0.99996303307987788</v>
      </c>
      <c r="I296">
        <v>0.9998892453657463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0.2781668771154544</v>
      </c>
      <c r="C297">
        <v>0.13199159485420764</v>
      </c>
      <c r="D297">
        <v>8.2346906834479316E-2</v>
      </c>
      <c r="E297">
        <v>0.58515661632250837</v>
      </c>
      <c r="F297">
        <v>0.41185614038766971</v>
      </c>
      <c r="G297">
        <v>0.68076335190985549</v>
      </c>
      <c r="H297">
        <v>0.90445564516837251</v>
      </c>
      <c r="I297">
        <v>0.71179655763653338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7.2589110578792582E-2</v>
      </c>
      <c r="C299">
        <v>0.22220873036602407</v>
      </c>
      <c r="D299">
        <v>0.40224229495217989</v>
      </c>
      <c r="E299">
        <v>0.78499150993662303</v>
      </c>
      <c r="F299">
        <v>0.72609043196232093</v>
      </c>
      <c r="G299">
        <v>0.67351926900353898</v>
      </c>
      <c r="H299">
        <v>0.97160988394178061</v>
      </c>
      <c r="I299">
        <v>0.97418989309862636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0.33099770882115109</v>
      </c>
      <c r="C300">
        <v>0.3864211844395733</v>
      </c>
      <c r="D300">
        <v>0.49592562863432488</v>
      </c>
      <c r="E300">
        <v>0.6789102287928015</v>
      </c>
      <c r="F300">
        <v>0.30213748478849345</v>
      </c>
      <c r="G300">
        <v>0.35931717511977856</v>
      </c>
      <c r="H300">
        <v>0.78112283438139052</v>
      </c>
      <c r="I300">
        <v>0.89332860011654347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0.99999919686494665</v>
      </c>
      <c r="C301">
        <v>0.99999190176447472</v>
      </c>
      <c r="D301">
        <v>0.99564734277219913</v>
      </c>
      <c r="E301">
        <v>0.88381788290925567</v>
      </c>
      <c r="F301">
        <v>0.83466447396978471</v>
      </c>
      <c r="G301">
        <v>0.55375608939886056</v>
      </c>
      <c r="H301">
        <v>0.54775117718199318</v>
      </c>
      <c r="I301">
        <v>0.46061515518112739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0.99749447499340627</v>
      </c>
      <c r="C302">
        <v>0.99999999999515865</v>
      </c>
      <c r="D302">
        <v>0.9999999690422221</v>
      </c>
      <c r="E302">
        <v>0.99999960762894824</v>
      </c>
      <c r="F302">
        <v>0.99998803537743663</v>
      </c>
      <c r="G302">
        <v>0.99985697295708642</v>
      </c>
      <c r="H302">
        <v>0.99997642743222392</v>
      </c>
      <c r="I302">
        <v>0.99974266832338687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0.99999999999999956</v>
      </c>
      <c r="C303">
        <v>0.99999999996599032</v>
      </c>
      <c r="D303">
        <v>0.99999971578330837</v>
      </c>
      <c r="E303">
        <v>0.99999991913678465</v>
      </c>
      <c r="F303">
        <v>0.99979185962845341</v>
      </c>
      <c r="G303">
        <v>0.99652842912373818</v>
      </c>
      <c r="H303">
        <v>0.99876336336608496</v>
      </c>
      <c r="I303">
        <v>0.99829673828264742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0.99999999999969502</v>
      </c>
      <c r="H304">
        <v>0.99999999999999978</v>
      </c>
      <c r="I304">
        <v>0.99999999999989753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0.16138777587230135</v>
      </c>
      <c r="C305">
        <v>0.16502518312134629</v>
      </c>
      <c r="D305">
        <v>6.0965731983328997E-2</v>
      </c>
      <c r="E305">
        <v>0.20428286906169779</v>
      </c>
      <c r="F305">
        <v>6.1432114199530319E-2</v>
      </c>
      <c r="G305">
        <v>1.6102090963478588E-2</v>
      </c>
      <c r="H305">
        <v>0.44802439666277394</v>
      </c>
      <c r="I305">
        <v>0.21792360570661695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8.6544780319132264E-2</v>
      </c>
      <c r="C307">
        <v>0.11093257197423467</v>
      </c>
      <c r="D307">
        <v>0.38650773290581142</v>
      </c>
      <c r="E307">
        <v>0.45741220434019203</v>
      </c>
      <c r="F307">
        <v>0.94383271061217155</v>
      </c>
      <c r="G307">
        <v>0.9757569421175738</v>
      </c>
      <c r="H307">
        <v>0.39049742311344737</v>
      </c>
      <c r="I307">
        <v>0.35761294194444737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3.6557889560237089E-2</v>
      </c>
      <c r="C308">
        <v>1.7181596391596665E-3</v>
      </c>
      <c r="D308">
        <v>1.0504288924266247E-2</v>
      </c>
      <c r="E308">
        <v>2.7677475083425218E-2</v>
      </c>
      <c r="F308">
        <v>1.7282560700998206E-2</v>
      </c>
      <c r="G308">
        <v>1.5747499478427018E-2</v>
      </c>
      <c r="H308">
        <v>3.8004431766214264E-4</v>
      </c>
      <c r="I308">
        <v>9.3014138631164478E-4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0.99999999994367905</v>
      </c>
      <c r="C309">
        <v>0.99999999935091421</v>
      </c>
      <c r="D309">
        <v>0.99999988264485873</v>
      </c>
      <c r="E309">
        <v>0.99995490128540876</v>
      </c>
      <c r="F309">
        <v>0.99970779316848968</v>
      </c>
      <c r="G309">
        <v>0.99597320473293904</v>
      </c>
      <c r="H309">
        <v>0.60017466994757851</v>
      </c>
      <c r="I309">
        <v>0.35792531554783624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0.99988398394604383</v>
      </c>
      <c r="C310">
        <v>0.98869457364306901</v>
      </c>
      <c r="D310">
        <v>0.9590626495572756</v>
      </c>
      <c r="E310">
        <v>0.78295539925578916</v>
      </c>
      <c r="F310">
        <v>0.28661362628462206</v>
      </c>
      <c r="G310">
        <v>0.1381597486739008</v>
      </c>
      <c r="H310">
        <v>2.2211306262687747E-2</v>
      </c>
      <c r="I310">
        <v>1.5134526142862259E-2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0.99966202345329935</v>
      </c>
      <c r="C311">
        <v>0.99992852909054408</v>
      </c>
      <c r="D311">
        <v>0.99973026628953643</v>
      </c>
      <c r="E311">
        <v>0.99219864610850339</v>
      </c>
      <c r="F311">
        <v>0.98560960621425941</v>
      </c>
      <c r="G311">
        <v>0.879135914996926</v>
      </c>
      <c r="H311">
        <v>0.39511501322863174</v>
      </c>
      <c r="I311">
        <v>0.22258835197722626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0.99999999999998779</v>
      </c>
      <c r="H312">
        <v>0.99999999999093903</v>
      </c>
      <c r="I312">
        <v>0.99999999999999922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7.811361696328234E-3</v>
      </c>
      <c r="C313">
        <v>1.3689471429346178E-2</v>
      </c>
      <c r="D313">
        <v>2.4053371642386301E-2</v>
      </c>
      <c r="E313">
        <v>3.7098010392262903E-2</v>
      </c>
      <c r="F313">
        <v>5.5669523346201677E-2</v>
      </c>
      <c r="G313">
        <v>0.14857867126237978</v>
      </c>
      <c r="H313">
        <v>4.539300568792215E-2</v>
      </c>
      <c r="I313">
        <v>3.0839232769628744E-2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7.5422532881644577E-2</v>
      </c>
      <c r="C315">
        <v>2.5172626626224215E-3</v>
      </c>
      <c r="D315">
        <v>3.477389144572407E-3</v>
      </c>
      <c r="E315">
        <v>2.441756956756902E-2</v>
      </c>
      <c r="F315">
        <v>1.9481892260178491E-2</v>
      </c>
      <c r="G315">
        <v>1.0484703112444982E-2</v>
      </c>
      <c r="H315">
        <v>3.4788264030715665E-2</v>
      </c>
      <c r="I315">
        <v>2.7887741645626796E-2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0.53277314923680108</v>
      </c>
      <c r="C316">
        <v>0.48734626840555528</v>
      </c>
      <c r="D316">
        <v>4.9107742838905288E-3</v>
      </c>
      <c r="E316">
        <v>0.16306364654173855</v>
      </c>
      <c r="F316">
        <v>0.1654168484082148</v>
      </c>
      <c r="G316">
        <v>0.31853036128726464</v>
      </c>
      <c r="H316">
        <v>0.75031317041313927</v>
      </c>
      <c r="I316">
        <v>0.66738273049557784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0.99991977431306522</v>
      </c>
      <c r="C317">
        <v>0.99940305582911371</v>
      </c>
      <c r="D317">
        <v>0.99835793678733753</v>
      </c>
      <c r="E317">
        <v>0.99389168282336515</v>
      </c>
      <c r="F317">
        <v>0.98243378530452841</v>
      </c>
      <c r="G317">
        <v>0.93077256710306178</v>
      </c>
      <c r="H317">
        <v>0.90042520547394422</v>
      </c>
      <c r="I317">
        <v>0.7665143601481913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0.99999915944968665</v>
      </c>
      <c r="C318">
        <v>0.99797453297922301</v>
      </c>
      <c r="D318">
        <v>0.6696746272665216</v>
      </c>
      <c r="E318">
        <v>7.5379280966687778E-2</v>
      </c>
      <c r="F318">
        <v>1.7377583420623677E-2</v>
      </c>
      <c r="G318">
        <v>9.3937161688427695E-3</v>
      </c>
      <c r="H318">
        <v>8.9417601282046899E-3</v>
      </c>
      <c r="I318">
        <v>4.6528258595899263E-3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0.99999221328771193</v>
      </c>
      <c r="C319">
        <v>0.99995887583879706</v>
      </c>
      <c r="D319">
        <v>0.99962384251086756</v>
      </c>
      <c r="E319">
        <v>0.99182129254628892</v>
      </c>
      <c r="F319">
        <v>0.91452048490576676</v>
      </c>
      <c r="G319">
        <v>0.71509807081520416</v>
      </c>
      <c r="H319">
        <v>0.45591154949217461</v>
      </c>
      <c r="I319">
        <v>0.21871557205557068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0.99999973682583454</v>
      </c>
      <c r="C320">
        <v>0.9999999999894259</v>
      </c>
      <c r="D320">
        <v>0.99999999638217874</v>
      </c>
      <c r="E320">
        <v>0.99999995338731062</v>
      </c>
      <c r="F320">
        <v>0.99999904473842371</v>
      </c>
      <c r="G320">
        <v>0.99999603707056473</v>
      </c>
      <c r="H320">
        <v>0.99998979140665567</v>
      </c>
      <c r="I320">
        <v>0.99997554090438823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0.87616240564331138</v>
      </c>
      <c r="C321">
        <v>0.90564654217757867</v>
      </c>
      <c r="D321">
        <v>0.36179578097251797</v>
      </c>
      <c r="E321">
        <v>0.65434526681546101</v>
      </c>
      <c r="F321">
        <v>0.65488446007947876</v>
      </c>
      <c r="G321">
        <v>0.5149684674922328</v>
      </c>
      <c r="H321">
        <v>0.68901836411816508</v>
      </c>
      <c r="I321">
        <v>0.59805255463612816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0.99884405189208314</v>
      </c>
      <c r="C323">
        <v>0.98925637067090944</v>
      </c>
      <c r="D323">
        <v>0.98931331284948021</v>
      </c>
      <c r="E323">
        <v>0.98631488714656479</v>
      </c>
      <c r="F323">
        <v>0.99823964657848741</v>
      </c>
      <c r="G323">
        <v>0.99982189317097203</v>
      </c>
      <c r="H323">
        <v>0.99991516517830015</v>
      </c>
      <c r="I323">
        <v>0.99989037383604606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0.32432331446181228</v>
      </c>
      <c r="C324">
        <v>0.2789693178350463</v>
      </c>
      <c r="D324">
        <v>0.23247177790722828</v>
      </c>
      <c r="E324">
        <v>0.20740788315864223</v>
      </c>
      <c r="F324">
        <v>0.35114641775425581</v>
      </c>
      <c r="G324">
        <v>0.18592906958495048</v>
      </c>
      <c r="H324">
        <v>0.1041647489542068</v>
      </c>
      <c r="I324">
        <v>7.4085159178874593E-2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0.9999999984195137</v>
      </c>
      <c r="C325">
        <v>0.99998791719274005</v>
      </c>
      <c r="D325">
        <v>0.99951256029468372</v>
      </c>
      <c r="E325">
        <v>0.99357403875325945</v>
      </c>
      <c r="F325">
        <v>0.88289147178662741</v>
      </c>
      <c r="G325">
        <v>0.59828648170988918</v>
      </c>
      <c r="H325">
        <v>0.32535522082636004</v>
      </c>
      <c r="I325">
        <v>0.1189819315821905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0.99999996833698257</v>
      </c>
      <c r="C326">
        <v>1</v>
      </c>
      <c r="D326">
        <v>0.99999999999999578</v>
      </c>
      <c r="E326">
        <v>0.99999997923274797</v>
      </c>
      <c r="F326">
        <v>0.99818815723954313</v>
      </c>
      <c r="G326">
        <v>0.86327101834305298</v>
      </c>
      <c r="H326">
        <v>0.53544343768193658</v>
      </c>
      <c r="I326">
        <v>0.26604257464345049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0.99997036552556007</v>
      </c>
      <c r="C327">
        <v>0.9999245806100624</v>
      </c>
      <c r="D327">
        <v>0.988142798039916</v>
      </c>
      <c r="E327">
        <v>0.3894684511564106</v>
      </c>
      <c r="F327">
        <v>3.8789097338377543E-3</v>
      </c>
      <c r="G327">
        <v>5.119925140115722E-4</v>
      </c>
      <c r="H327">
        <v>1.4343182769627205E-4</v>
      </c>
      <c r="I327">
        <v>1.1965325843998897E-4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0.98897136335763736</v>
      </c>
      <c r="C328">
        <v>0.95591377377693187</v>
      </c>
      <c r="D328">
        <v>0.94530854785892215</v>
      </c>
      <c r="E328">
        <v>0.93646503761554734</v>
      </c>
      <c r="F328">
        <v>0.92584911964452965</v>
      </c>
      <c r="G328">
        <v>0.91798366904302331</v>
      </c>
      <c r="H328">
        <v>0.90701521798734774</v>
      </c>
      <c r="I328">
        <v>0.89435359287767646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0.94869826488249065</v>
      </c>
      <c r="C329">
        <v>0.91754466026691561</v>
      </c>
      <c r="D329">
        <v>0.90738020334163738</v>
      </c>
      <c r="E329">
        <v>0.89731145500336518</v>
      </c>
      <c r="F329">
        <v>0.8661162457300251</v>
      </c>
      <c r="G329">
        <v>0.59112818834270553</v>
      </c>
      <c r="H329">
        <v>0.36037160026826576</v>
      </c>
      <c r="I329">
        <v>0.24620663983815949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0.52584897895546034</v>
      </c>
      <c r="C331">
        <v>0.56588062045626497</v>
      </c>
      <c r="D331">
        <v>0.83955502273046789</v>
      </c>
      <c r="E331">
        <v>0.8678394609629938</v>
      </c>
      <c r="F331">
        <v>0.89236544145536922</v>
      </c>
      <c r="G331">
        <v>0.92757779590300105</v>
      </c>
      <c r="H331">
        <v>0.93639158838058423</v>
      </c>
      <c r="I331">
        <v>0.99505820574364989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0.92982233671873815</v>
      </c>
      <c r="C332">
        <v>0.55705752250339846</v>
      </c>
      <c r="D332">
        <v>0.35611292041137799</v>
      </c>
      <c r="E332">
        <v>0.65998071921380452</v>
      </c>
      <c r="F332">
        <v>0.6392733774658319</v>
      </c>
      <c r="G332">
        <v>0.85330106376784576</v>
      </c>
      <c r="H332">
        <v>0.89523733934041527</v>
      </c>
      <c r="I332">
        <v>0.87098481588863264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0.9999977602338207</v>
      </c>
      <c r="C333">
        <v>0.99999990726872368</v>
      </c>
      <c r="D333">
        <v>0.99977033569152929</v>
      </c>
      <c r="E333">
        <v>0.9922440901020998</v>
      </c>
      <c r="F333">
        <v>0.9684234247910446</v>
      </c>
      <c r="G333">
        <v>0.89050481473973364</v>
      </c>
      <c r="H333">
        <v>0.8267712694500704</v>
      </c>
      <c r="I333">
        <v>0.60879287974883489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0.99999999998969202</v>
      </c>
      <c r="C334">
        <v>1</v>
      </c>
      <c r="D334">
        <v>0.99999999999996403</v>
      </c>
      <c r="E334">
        <v>0.99999999996304367</v>
      </c>
      <c r="F334">
        <v>0.99999841531674583</v>
      </c>
      <c r="G334">
        <v>0.99999881488035314</v>
      </c>
      <c r="H334">
        <v>0.99990011622783226</v>
      </c>
      <c r="I334">
        <v>0.99980633579991229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0.996761392172273</v>
      </c>
      <c r="C335">
        <v>0.9792497519875909</v>
      </c>
      <c r="D335">
        <v>0.89170325153833718</v>
      </c>
      <c r="E335">
        <v>0.66519384399886716</v>
      </c>
      <c r="F335">
        <v>0.30791992291292591</v>
      </c>
      <c r="G335">
        <v>0.22578721539941227</v>
      </c>
      <c r="H335">
        <v>7.0533225967806756E-2</v>
      </c>
      <c r="I335">
        <v>9.10032146151043E-2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0.99999990150563034</v>
      </c>
      <c r="C336">
        <v>0.99999999999999867</v>
      </c>
      <c r="D336">
        <v>0.99999999992104338</v>
      </c>
      <c r="E336">
        <v>0.99999999995045075</v>
      </c>
      <c r="F336">
        <v>0.99999999878035972</v>
      </c>
      <c r="G336">
        <v>0.99999999754688229</v>
      </c>
      <c r="H336">
        <v>0.99999985585051043</v>
      </c>
      <c r="I336">
        <v>0.99999991448923409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0.50097038160140628</v>
      </c>
      <c r="C337">
        <v>0.46707960882586808</v>
      </c>
      <c r="D337">
        <v>0.71523163136855594</v>
      </c>
      <c r="E337">
        <v>0.8258186323381933</v>
      </c>
      <c r="F337">
        <v>0.830127676354248</v>
      </c>
      <c r="G337">
        <v>0.9750460071713194</v>
      </c>
      <c r="H337">
        <v>0.99077880118530981</v>
      </c>
      <c r="I337">
        <v>0.99995655494570268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9.5467879311975645E-3</v>
      </c>
      <c r="C339">
        <v>0.3491695664783111</v>
      </c>
      <c r="D339">
        <v>0.79917015783351997</v>
      </c>
      <c r="E339">
        <v>0.82071699493622696</v>
      </c>
      <c r="F339">
        <v>0.8119473564797044</v>
      </c>
      <c r="G339">
        <v>0.73138596326704519</v>
      </c>
      <c r="H339">
        <v>0.53389543305030074</v>
      </c>
      <c r="I339">
        <v>0.26958934597734829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9.3922090934804858E-3</v>
      </c>
      <c r="C340">
        <v>1.4045244243999777E-3</v>
      </c>
      <c r="D340">
        <v>1.1595934381686601E-2</v>
      </c>
      <c r="E340">
        <v>1.4356470565419333E-2</v>
      </c>
      <c r="F340">
        <v>2.7389913524204723E-2</v>
      </c>
      <c r="G340">
        <v>3.7314149531274543E-3</v>
      </c>
      <c r="H340">
        <v>7.827029059151891E-3</v>
      </c>
      <c r="I340">
        <v>7.7138926552641207E-3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0.99999972575341323</v>
      </c>
      <c r="C341">
        <v>0.99998778341282391</v>
      </c>
      <c r="D341">
        <v>0.99976071345020545</v>
      </c>
      <c r="E341">
        <v>0.99013587832163241</v>
      </c>
      <c r="F341">
        <v>0.95239696610767099</v>
      </c>
      <c r="G341">
        <v>0.72308253910105647</v>
      </c>
      <c r="H341">
        <v>0.41503650864151753</v>
      </c>
      <c r="I341">
        <v>0.19891788599566418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0.99999999933436134</v>
      </c>
      <c r="C342">
        <v>0.99999997543812502</v>
      </c>
      <c r="D342">
        <v>0.99998776877187046</v>
      </c>
      <c r="E342">
        <v>0.93459296636485378</v>
      </c>
      <c r="F342">
        <v>0.4614525450827085</v>
      </c>
      <c r="G342">
        <v>5.4611783644713419E-2</v>
      </c>
      <c r="H342">
        <v>6.1618384009014537E-3</v>
      </c>
      <c r="I342">
        <v>4.1424421214864005E-4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0.99963499754382101</v>
      </c>
      <c r="C343">
        <v>0.99976218402790551</v>
      </c>
      <c r="D343">
        <v>0.9949905038712995</v>
      </c>
      <c r="E343">
        <v>0.86635655896227992</v>
      </c>
      <c r="F343">
        <v>0.3921428627214214</v>
      </c>
      <c r="G343">
        <v>5.4240712199092878E-2</v>
      </c>
      <c r="H343">
        <v>5.288909670603803E-3</v>
      </c>
      <c r="I343">
        <v>1.7254685291590022E-4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1</v>
      </c>
      <c r="C344">
        <v>0.99999999999999867</v>
      </c>
      <c r="D344">
        <v>0.99999999999532674</v>
      </c>
      <c r="E344">
        <v>0.99999999948163221</v>
      </c>
      <c r="F344">
        <v>0.99999986113389405</v>
      </c>
      <c r="G344">
        <v>0.99999427009095487</v>
      </c>
      <c r="H344">
        <v>0.99973449376650114</v>
      </c>
      <c r="I344">
        <v>0.99902340846760451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2.9662516306216968E-4</v>
      </c>
      <c r="C345">
        <v>3.103771953317791E-4</v>
      </c>
      <c r="D345">
        <v>2.5460757078943352E-4</v>
      </c>
      <c r="E345">
        <v>5.3138837357247226E-5</v>
      </c>
      <c r="F345">
        <v>1.1267529431702172E-5</v>
      </c>
      <c r="G345">
        <v>5.0819581476901909E-5</v>
      </c>
      <c r="H345">
        <v>4.3863016691680912E-5</v>
      </c>
      <c r="I345">
        <v>3.3461020658820395E-5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6.0342562504684949E-3</v>
      </c>
      <c r="C347">
        <v>7.5844856878466316E-2</v>
      </c>
      <c r="D347">
        <v>7.1692426293633038E-2</v>
      </c>
      <c r="E347">
        <v>0.191624718499527</v>
      </c>
      <c r="F347">
        <v>0.26585562809596475</v>
      </c>
      <c r="G347">
        <v>0.23734413885692807</v>
      </c>
      <c r="H347">
        <v>0.26857512116919779</v>
      </c>
      <c r="I347">
        <v>0.43081279643804671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7.793846481034028E-2</v>
      </c>
      <c r="C348">
        <v>0.12696432726706885</v>
      </c>
      <c r="D348">
        <v>6.9460434506392721E-2</v>
      </c>
      <c r="E348">
        <v>0.10898896770047817</v>
      </c>
      <c r="F348">
        <v>1.9446438278117317E-2</v>
      </c>
      <c r="G348">
        <v>0.11375268345167644</v>
      </c>
      <c r="H348">
        <v>5.4746748978412696E-2</v>
      </c>
      <c r="I348">
        <v>0.49268055639141906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0.99439301934909596</v>
      </c>
      <c r="C349">
        <v>0.95774742811458846</v>
      </c>
      <c r="D349">
        <v>0.96183528192962764</v>
      </c>
      <c r="E349">
        <v>0.63770904604194434</v>
      </c>
      <c r="F349">
        <v>0.46608150980501339</v>
      </c>
      <c r="G349">
        <v>0.28149033142799174</v>
      </c>
      <c r="H349">
        <v>0.2044411628515469</v>
      </c>
      <c r="I349">
        <v>0.2043091919338762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0.96624816932447033</v>
      </c>
      <c r="C350">
        <v>0.90234777442759706</v>
      </c>
      <c r="D350">
        <v>0.61128396949338504</v>
      </c>
      <c r="E350">
        <v>0.61358742588118087</v>
      </c>
      <c r="F350">
        <v>0.59823889264827002</v>
      </c>
      <c r="G350">
        <v>0.62773007712880002</v>
      </c>
      <c r="H350">
        <v>0.65016011051645783</v>
      </c>
      <c r="I350">
        <v>0.73980147576942279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0.99808529281649294</v>
      </c>
      <c r="C351">
        <v>0.97922926234197194</v>
      </c>
      <c r="D351">
        <v>0.8925436283304814</v>
      </c>
      <c r="E351">
        <v>0.67028641530455801</v>
      </c>
      <c r="F351">
        <v>0.41355875547198384</v>
      </c>
      <c r="G351">
        <v>0.45537543075953379</v>
      </c>
      <c r="H351">
        <v>0.31327837015862403</v>
      </c>
      <c r="I351">
        <v>0.41541388390263445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0.99999516887275608</v>
      </c>
      <c r="C352">
        <v>0.99626247751024044</v>
      </c>
      <c r="D352">
        <v>0.95657395966777325</v>
      </c>
      <c r="E352">
        <v>0.89620240877667889</v>
      </c>
      <c r="F352">
        <v>0.53733834916215173</v>
      </c>
      <c r="G352">
        <v>0.30960027887321784</v>
      </c>
      <c r="H352">
        <v>7.6159310895447474E-2</v>
      </c>
      <c r="I352">
        <v>0.15566597244613822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0.35504396748545541</v>
      </c>
      <c r="C353">
        <v>0.19962821592048496</v>
      </c>
      <c r="D353">
        <v>0.11223904654351757</v>
      </c>
      <c r="E353">
        <v>0.13129198623922744</v>
      </c>
      <c r="F353">
        <v>5.4999015749908509E-2</v>
      </c>
      <c r="G353">
        <v>0.10474972336489696</v>
      </c>
      <c r="H353">
        <v>3.653352212860761E-2</v>
      </c>
      <c r="I353">
        <v>0.3668892800766741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0.48444629383729754</v>
      </c>
      <c r="C355">
        <v>0.18711933528208791</v>
      </c>
      <c r="D355">
        <v>0.39995543150053425</v>
      </c>
      <c r="E355">
        <v>0.22289994721884221</v>
      </c>
      <c r="F355">
        <v>0.76710373606356819</v>
      </c>
      <c r="G355">
        <v>0.74285060757286914</v>
      </c>
      <c r="H355">
        <v>0.91244397761738483</v>
      </c>
      <c r="I355">
        <v>0.89322761369821635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0.87877270631156812</v>
      </c>
      <c r="C356">
        <v>0.88019460361534785</v>
      </c>
      <c r="D356">
        <v>0.93509033511341788</v>
      </c>
      <c r="E356">
        <v>0.90072591331931295</v>
      </c>
      <c r="F356">
        <v>0.98547261922296858</v>
      </c>
      <c r="G356">
        <v>0.98832316305254708</v>
      </c>
      <c r="H356">
        <v>0.97883911171877169</v>
      </c>
      <c r="I356">
        <v>0.97261015865621681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0.99999999824684971</v>
      </c>
      <c r="C357">
        <v>0.99999868914920076</v>
      </c>
      <c r="D357">
        <v>0.9999352797128237</v>
      </c>
      <c r="E357">
        <v>0.99889410521331945</v>
      </c>
      <c r="F357">
        <v>0.99680845462946144</v>
      </c>
      <c r="G357">
        <v>0.96784956702151148</v>
      </c>
      <c r="H357">
        <v>0.98829950896177832</v>
      </c>
      <c r="I357">
        <v>0.98271225098717996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0.99021961465282238</v>
      </c>
      <c r="C358">
        <v>0.99949499724303259</v>
      </c>
      <c r="D358">
        <v>0.97251811998702753</v>
      </c>
      <c r="E358">
        <v>0.85914650033568529</v>
      </c>
      <c r="F358">
        <v>0.77068939343377518</v>
      </c>
      <c r="G358">
        <v>0.47244239429862778</v>
      </c>
      <c r="H358">
        <v>0.46615165208959075</v>
      </c>
      <c r="I358">
        <v>0.49541869375807701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0.99984313847162509</v>
      </c>
      <c r="C359">
        <v>0.99956439926025786</v>
      </c>
      <c r="D359">
        <v>0.99515441264326399</v>
      </c>
      <c r="E359">
        <v>0.96293795811996996</v>
      </c>
      <c r="F359">
        <v>0.85479802824561846</v>
      </c>
      <c r="G359">
        <v>0.74679262408390312</v>
      </c>
      <c r="H359">
        <v>0.68908326803955433</v>
      </c>
      <c r="I359">
        <v>0.58995706925968261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0.999999999980276</v>
      </c>
      <c r="C360">
        <v>0.99999999999997247</v>
      </c>
      <c r="D360">
        <v>0.99999998327310236</v>
      </c>
      <c r="E360">
        <v>0.99998817992027256</v>
      </c>
      <c r="F360">
        <v>0.99968730188007571</v>
      </c>
      <c r="G360">
        <v>0.99871894146836993</v>
      </c>
      <c r="H360">
        <v>0.99948821916060848</v>
      </c>
      <c r="I360">
        <v>0.99288397121805494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0.73791383788229747</v>
      </c>
      <c r="C361">
        <v>0.84134852880444511</v>
      </c>
      <c r="D361">
        <v>0.89069514858316279</v>
      </c>
      <c r="E361">
        <v>0.89147040284562551</v>
      </c>
      <c r="F361">
        <v>0.97970053003249236</v>
      </c>
      <c r="G361">
        <v>0.99854504401184452</v>
      </c>
      <c r="H361">
        <v>0.99984775558903261</v>
      </c>
      <c r="I361">
        <v>0.99967899619655876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0.99884405189208314</v>
      </c>
      <c r="C363">
        <v>0.98925637067090944</v>
      </c>
      <c r="D363">
        <v>0.98931331284948021</v>
      </c>
      <c r="E363">
        <v>0.98631488714656479</v>
      </c>
      <c r="F363">
        <v>0.99823964657848741</v>
      </c>
      <c r="G363">
        <v>0.99982189317097203</v>
      </c>
      <c r="H363">
        <v>0.99991516517830015</v>
      </c>
      <c r="I363">
        <v>0.99989037383604606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0.32432331446181228</v>
      </c>
      <c r="C364">
        <v>0.2789693178350463</v>
      </c>
      <c r="D364">
        <v>0.23247177790722828</v>
      </c>
      <c r="E364">
        <v>0.20740788315864223</v>
      </c>
      <c r="F364">
        <v>0.35114641775425581</v>
      </c>
      <c r="G364">
        <v>0.18592906958495048</v>
      </c>
      <c r="H364">
        <v>0.1041647489542068</v>
      </c>
      <c r="I364">
        <v>7.4085159178874593E-2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0.9999999984195137</v>
      </c>
      <c r="C365">
        <v>0.99998791719274005</v>
      </c>
      <c r="D365">
        <v>0.99951256029468372</v>
      </c>
      <c r="E365">
        <v>0.99357403875325945</v>
      </c>
      <c r="F365">
        <v>0.88289147178662741</v>
      </c>
      <c r="G365">
        <v>0.59828648170988918</v>
      </c>
      <c r="H365">
        <v>0.32535522082636004</v>
      </c>
      <c r="I365">
        <v>0.1189819315821905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0.99999996833698257</v>
      </c>
      <c r="C366">
        <v>1</v>
      </c>
      <c r="D366">
        <v>0.99999999999999578</v>
      </c>
      <c r="E366">
        <v>0.99999997923274797</v>
      </c>
      <c r="F366">
        <v>0.99818815723954313</v>
      </c>
      <c r="G366">
        <v>0.86327101834305298</v>
      </c>
      <c r="H366">
        <v>0.53544343768193658</v>
      </c>
      <c r="I366">
        <v>0.26604257464345049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0.99997036552556007</v>
      </c>
      <c r="C367">
        <v>0.9999245806100624</v>
      </c>
      <c r="D367">
        <v>0.988142798039916</v>
      </c>
      <c r="E367">
        <v>0.3894684511564106</v>
      </c>
      <c r="F367">
        <v>3.8789097338377543E-3</v>
      </c>
      <c r="G367">
        <v>5.119925140115722E-4</v>
      </c>
      <c r="H367">
        <v>1.4343182769627205E-4</v>
      </c>
      <c r="I367">
        <v>1.1965325843998897E-4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0.98897136335763736</v>
      </c>
      <c r="C368">
        <v>0.95591377377693187</v>
      </c>
      <c r="D368">
        <v>0.94530854785892215</v>
      </c>
      <c r="E368">
        <v>0.93646503761554734</v>
      </c>
      <c r="F368">
        <v>0.92584911964452965</v>
      </c>
      <c r="G368">
        <v>0.91798366904302331</v>
      </c>
      <c r="H368">
        <v>0.90701521798734774</v>
      </c>
      <c r="I368">
        <v>0.89435359287767646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0.94869826488249065</v>
      </c>
      <c r="C369">
        <v>0.91754466026691561</v>
      </c>
      <c r="D369">
        <v>0.90738020334163738</v>
      </c>
      <c r="E369">
        <v>0.89731145500336518</v>
      </c>
      <c r="F369">
        <v>0.8661162457300251</v>
      </c>
      <c r="G369">
        <v>0.59112818834270553</v>
      </c>
      <c r="H369">
        <v>0.36037160026826576</v>
      </c>
      <c r="I369">
        <v>0.24620663983815949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0.34771431985497059</v>
      </c>
      <c r="C370">
        <v>0.27695353761940766</v>
      </c>
      <c r="D370">
        <v>0.13337684865704647</v>
      </c>
      <c r="E370">
        <v>6.0147936256164547E-2</v>
      </c>
      <c r="F370">
        <v>3.2008789214957978E-2</v>
      </c>
      <c r="G370">
        <v>1.719380544869209E-2</v>
      </c>
      <c r="H370">
        <v>1.0101585616048792E-2</v>
      </c>
      <c r="I370">
        <v>6.4516515789084794E-3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0.52584897895546034</v>
      </c>
      <c r="C372">
        <v>0.56588062045626497</v>
      </c>
      <c r="D372">
        <v>0.83955502273046789</v>
      </c>
      <c r="E372">
        <v>0.8678394609629938</v>
      </c>
      <c r="F372">
        <v>0.89236544145536922</v>
      </c>
      <c r="G372">
        <v>0.92757779590300105</v>
      </c>
      <c r="H372">
        <v>0.93639158838058423</v>
      </c>
      <c r="I372">
        <v>0.99505820574364989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0.92982233671873815</v>
      </c>
      <c r="C373">
        <v>0.55705752250339846</v>
      </c>
      <c r="D373">
        <v>0.35611292041137799</v>
      </c>
      <c r="E373">
        <v>0.65998071921380452</v>
      </c>
      <c r="F373">
        <v>0.6392733774658319</v>
      </c>
      <c r="G373">
        <v>0.85330106376784576</v>
      </c>
      <c r="H373">
        <v>0.89523733934041527</v>
      </c>
      <c r="I373">
        <v>0.87098481588863264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0.9999977602338207</v>
      </c>
      <c r="C374">
        <v>0.99999990726872368</v>
      </c>
      <c r="D374">
        <v>0.99977033569152929</v>
      </c>
      <c r="E374">
        <v>0.9922440901020998</v>
      </c>
      <c r="F374">
        <v>0.9684234247910446</v>
      </c>
      <c r="G374">
        <v>0.89050481473973364</v>
      </c>
      <c r="H374">
        <v>0.8267712694500704</v>
      </c>
      <c r="I374">
        <v>0.60879287974883489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0.99999999998969202</v>
      </c>
      <c r="C375">
        <v>1</v>
      </c>
      <c r="D375">
        <v>0.99999999999996403</v>
      </c>
      <c r="E375">
        <v>0.99999999996304367</v>
      </c>
      <c r="F375">
        <v>0.99999841531674583</v>
      </c>
      <c r="G375">
        <v>0.99999881488035314</v>
      </c>
      <c r="H375">
        <v>0.99990011622783226</v>
      </c>
      <c r="I375">
        <v>0.99980633579991229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0.996761392172273</v>
      </c>
      <c r="C376">
        <v>0.9792497519875909</v>
      </c>
      <c r="D376">
        <v>0.89170325153833718</v>
      </c>
      <c r="E376">
        <v>0.66519384399886716</v>
      </c>
      <c r="F376">
        <v>0.30791992291292591</v>
      </c>
      <c r="G376">
        <v>0.22578721539941227</v>
      </c>
      <c r="H376">
        <v>7.0533225967806756E-2</v>
      </c>
      <c r="I376">
        <v>9.10032146151043E-2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0.99999990150563034</v>
      </c>
      <c r="C377">
        <v>0.99999999999999867</v>
      </c>
      <c r="D377">
        <v>0.99999999992104338</v>
      </c>
      <c r="E377">
        <v>0.99999999995045075</v>
      </c>
      <c r="F377">
        <v>0.99999999878035972</v>
      </c>
      <c r="G377">
        <v>0.99999999754688229</v>
      </c>
      <c r="H377">
        <v>0.99999985585051043</v>
      </c>
      <c r="I377">
        <v>0.99999991448923409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0.50097038160140628</v>
      </c>
      <c r="C378">
        <v>0.46707960882586808</v>
      </c>
      <c r="D378">
        <v>0.71523163136855594</v>
      </c>
      <c r="E378">
        <v>0.8258186323381933</v>
      </c>
      <c r="F378">
        <v>0.830127676354248</v>
      </c>
      <c r="G378">
        <v>0.9750460071713194</v>
      </c>
      <c r="H378">
        <v>0.99077880118530981</v>
      </c>
      <c r="I378">
        <v>0.99995655494570268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7.5106121125233516E-3</v>
      </c>
      <c r="C379">
        <v>0.12660479232459287</v>
      </c>
      <c r="D379">
        <v>3.323676450537294E-2</v>
      </c>
      <c r="E379">
        <v>8.4467177229255785E-2</v>
      </c>
      <c r="F379">
        <v>8.9704882833802291E-2</v>
      </c>
      <c r="G379">
        <v>0.11021720545966307</v>
      </c>
      <c r="H379">
        <v>2.4608405881003437E-2</v>
      </c>
      <c r="I379">
        <v>2.3282531721052435E-2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9.5467879311975645E-3</v>
      </c>
      <c r="C381">
        <v>0.3491695664783111</v>
      </c>
      <c r="D381">
        <v>0.79917015783351997</v>
      </c>
      <c r="E381">
        <v>0.82071699493622696</v>
      </c>
      <c r="F381">
        <v>0.8119473564797044</v>
      </c>
      <c r="G381">
        <v>0.73138596326704519</v>
      </c>
      <c r="H381">
        <v>0.53389543305030074</v>
      </c>
      <c r="I381">
        <v>0.26958934597734829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9.3922090934804858E-3</v>
      </c>
      <c r="C382">
        <v>1.4045244243999777E-3</v>
      </c>
      <c r="D382">
        <v>1.1595934381686601E-2</v>
      </c>
      <c r="E382">
        <v>1.4356470565419333E-2</v>
      </c>
      <c r="F382">
        <v>2.7389913524204723E-2</v>
      </c>
      <c r="G382">
        <v>3.7314149531274543E-3</v>
      </c>
      <c r="H382">
        <v>7.827029059151891E-3</v>
      </c>
      <c r="I382">
        <v>7.7138926552641207E-3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0.99999972575341323</v>
      </c>
      <c r="C383">
        <v>0.99998778341282391</v>
      </c>
      <c r="D383">
        <v>0.99976071345020545</v>
      </c>
      <c r="E383">
        <v>0.99013587832163241</v>
      </c>
      <c r="F383">
        <v>0.95239696610767099</v>
      </c>
      <c r="G383">
        <v>0.72308253910105647</v>
      </c>
      <c r="H383">
        <v>0.41503650864151753</v>
      </c>
      <c r="I383">
        <v>0.19891788599566418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0.99999999933436134</v>
      </c>
      <c r="C384">
        <v>0.99999997543812502</v>
      </c>
      <c r="D384">
        <v>0.99998776877187046</v>
      </c>
      <c r="E384">
        <v>0.93459296636485378</v>
      </c>
      <c r="F384">
        <v>0.4614525450827085</v>
      </c>
      <c r="G384">
        <v>5.4611783644713419E-2</v>
      </c>
      <c r="H384">
        <v>6.1618384009014537E-3</v>
      </c>
      <c r="I384">
        <v>4.1424421214864005E-4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0.99963499754382101</v>
      </c>
      <c r="C385">
        <v>0.99976218402790551</v>
      </c>
      <c r="D385">
        <v>0.9949905038712995</v>
      </c>
      <c r="E385">
        <v>0.86635655896227992</v>
      </c>
      <c r="F385">
        <v>0.3921428627214214</v>
      </c>
      <c r="G385">
        <v>5.4240712199092878E-2</v>
      </c>
      <c r="H385">
        <v>5.288909670603803E-3</v>
      </c>
      <c r="I385">
        <v>1.7254685291590022E-4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1</v>
      </c>
      <c r="C386">
        <v>0.99999999999999867</v>
      </c>
      <c r="D386">
        <v>0.99999999999532674</v>
      </c>
      <c r="E386">
        <v>0.99999999948163221</v>
      </c>
      <c r="F386">
        <v>0.99999986113389405</v>
      </c>
      <c r="G386">
        <v>0.99999427009095487</v>
      </c>
      <c r="H386">
        <v>0.99973449376650114</v>
      </c>
      <c r="I386">
        <v>0.99902340846760451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2.9662516306216968E-4</v>
      </c>
      <c r="C387">
        <v>3.103771953317791E-4</v>
      </c>
      <c r="D387">
        <v>2.5460757078943352E-4</v>
      </c>
      <c r="E387">
        <v>5.3138837357247226E-5</v>
      </c>
      <c r="F387">
        <v>1.1267529431702172E-5</v>
      </c>
      <c r="G387">
        <v>5.0819581476901909E-5</v>
      </c>
      <c r="H387">
        <v>4.3863016691680912E-5</v>
      </c>
      <c r="I387">
        <v>3.3461020658820395E-5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1.2678995094828061E-5</v>
      </c>
      <c r="C388">
        <v>2.1198448144332804E-4</v>
      </c>
      <c r="D388">
        <v>4.4212421627110032E-5</v>
      </c>
      <c r="E388">
        <v>3.6612987861506241E-6</v>
      </c>
      <c r="F388">
        <v>1.1126368213432158E-6</v>
      </c>
      <c r="G388">
        <v>5.8790404555697506E-7</v>
      </c>
      <c r="H388">
        <v>1.8829931736075167E-7</v>
      </c>
      <c r="I388">
        <v>3.9328889034351278E-9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6.0342562504684949E-3</v>
      </c>
      <c r="C390">
        <v>7.5844856878466316E-2</v>
      </c>
      <c r="D390">
        <v>7.1692426293633038E-2</v>
      </c>
      <c r="E390">
        <v>0.191624718499527</v>
      </c>
      <c r="F390">
        <v>0.26585562809596475</v>
      </c>
      <c r="G390">
        <v>0.23734413885692807</v>
      </c>
      <c r="H390">
        <v>0.26857512116919779</v>
      </c>
      <c r="I390">
        <v>0.43081279643804671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7.793846481034028E-2</v>
      </c>
      <c r="C391">
        <v>0.12696432726706885</v>
      </c>
      <c r="D391">
        <v>6.9460434506392721E-2</v>
      </c>
      <c r="E391">
        <v>0.10898896770047817</v>
      </c>
      <c r="F391">
        <v>1.9446438278117317E-2</v>
      </c>
      <c r="G391">
        <v>0.11375268345167644</v>
      </c>
      <c r="H391">
        <v>5.4746748978412696E-2</v>
      </c>
      <c r="I391">
        <v>0.49268055639141906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0.99439301934909596</v>
      </c>
      <c r="C392">
        <v>0.95774742811458846</v>
      </c>
      <c r="D392">
        <v>0.96183528192962764</v>
      </c>
      <c r="E392">
        <v>0.63770904604194434</v>
      </c>
      <c r="F392">
        <v>0.46608150980501339</v>
      </c>
      <c r="G392">
        <v>0.28149033142799174</v>
      </c>
      <c r="H392">
        <v>0.2044411628515469</v>
      </c>
      <c r="I392">
        <v>0.2043091919338762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0.96624816932447033</v>
      </c>
      <c r="C393">
        <v>0.90234777442759706</v>
      </c>
      <c r="D393">
        <v>0.61128396949338504</v>
      </c>
      <c r="E393">
        <v>0.61358742588118087</v>
      </c>
      <c r="F393">
        <v>0.59823889264827002</v>
      </c>
      <c r="G393">
        <v>0.62773007712880002</v>
      </c>
      <c r="H393">
        <v>0.65016011051645783</v>
      </c>
      <c r="I393">
        <v>0.73980147576942279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0.99808529281649294</v>
      </c>
      <c r="C394">
        <v>0.97922926234197194</v>
      </c>
      <c r="D394">
        <v>0.8925436283304814</v>
      </c>
      <c r="E394">
        <v>0.67028641530455801</v>
      </c>
      <c r="F394">
        <v>0.41355875547198384</v>
      </c>
      <c r="G394">
        <v>0.45537543075953379</v>
      </c>
      <c r="H394">
        <v>0.31327837015862403</v>
      </c>
      <c r="I394">
        <v>0.41541388390263445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0.99999516887275608</v>
      </c>
      <c r="C395">
        <v>0.99626247751024044</v>
      </c>
      <c r="D395">
        <v>0.95657395966777325</v>
      </c>
      <c r="E395">
        <v>0.89620240877667889</v>
      </c>
      <c r="F395">
        <v>0.53733834916215173</v>
      </c>
      <c r="G395">
        <v>0.30960027887321784</v>
      </c>
      <c r="H395">
        <v>7.6159310895447474E-2</v>
      </c>
      <c r="I395">
        <v>0.15566597244613822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0.35504396748545541</v>
      </c>
      <c r="C396">
        <v>0.19962821592048496</v>
      </c>
      <c r="D396">
        <v>0.11223904654351757</v>
      </c>
      <c r="E396">
        <v>0.13129198623922744</v>
      </c>
      <c r="F396">
        <v>5.4999015749908509E-2</v>
      </c>
      <c r="G396">
        <v>0.10474972336489696</v>
      </c>
      <c r="H396">
        <v>3.653352212860761E-2</v>
      </c>
      <c r="I396">
        <v>0.3668892800766741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0.24766835515412799</v>
      </c>
      <c r="C397">
        <v>3.4186801491730145E-3</v>
      </c>
      <c r="D397">
        <v>1.3513303830751777E-2</v>
      </c>
      <c r="E397">
        <v>2.8685556541097501E-2</v>
      </c>
      <c r="F397">
        <v>4.3931038322695182E-2</v>
      </c>
      <c r="G397">
        <v>5.6072460158543169E-2</v>
      </c>
      <c r="H397">
        <v>8.3613012764468087E-2</v>
      </c>
      <c r="I397">
        <v>0.11974051142975117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0.48444629383729754</v>
      </c>
      <c r="C399">
        <v>0.18711933528208791</v>
      </c>
      <c r="D399">
        <v>0.39995543150053425</v>
      </c>
      <c r="E399">
        <v>0.22289994721884221</v>
      </c>
      <c r="F399">
        <v>0.76710373606356819</v>
      </c>
      <c r="G399">
        <v>0.74285060757286914</v>
      </c>
      <c r="H399">
        <v>0.91244397761738483</v>
      </c>
      <c r="I399">
        <v>0.89322761369821635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0.87877270631156812</v>
      </c>
      <c r="C400">
        <v>0.88019460361534785</v>
      </c>
      <c r="D400">
        <v>0.93509033511341788</v>
      </c>
      <c r="E400">
        <v>0.90072591331931295</v>
      </c>
      <c r="F400">
        <v>0.98547261922296858</v>
      </c>
      <c r="G400">
        <v>0.98832316305254708</v>
      </c>
      <c r="H400">
        <v>0.97883911171877169</v>
      </c>
      <c r="I400">
        <v>0.97261015865621681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0.99999999824684971</v>
      </c>
      <c r="C401">
        <v>0.99999868914920076</v>
      </c>
      <c r="D401">
        <v>0.9999352797128237</v>
      </c>
      <c r="E401">
        <v>0.99889410521331945</v>
      </c>
      <c r="F401">
        <v>0.99680845462946144</v>
      </c>
      <c r="G401">
        <v>0.96784956702151148</v>
      </c>
      <c r="H401">
        <v>0.98829950896177832</v>
      </c>
      <c r="I401">
        <v>0.98271225098717996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0.99021961465282238</v>
      </c>
      <c r="C402">
        <v>0.99949499724303259</v>
      </c>
      <c r="D402">
        <v>0.97251811998702753</v>
      </c>
      <c r="E402">
        <v>0.85914650033568529</v>
      </c>
      <c r="F402">
        <v>0.77068939343377518</v>
      </c>
      <c r="G402">
        <v>0.47244239429862778</v>
      </c>
      <c r="H402">
        <v>0.46615165208959075</v>
      </c>
      <c r="I402">
        <v>0.49541869375807701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0.99984313847162509</v>
      </c>
      <c r="C403">
        <v>0.99956439926025786</v>
      </c>
      <c r="D403">
        <v>0.99515441264326399</v>
      </c>
      <c r="E403">
        <v>0.96293795811996996</v>
      </c>
      <c r="F403">
        <v>0.85479802824561846</v>
      </c>
      <c r="G403">
        <v>0.74679262408390312</v>
      </c>
      <c r="H403">
        <v>0.68908326803955433</v>
      </c>
      <c r="I403">
        <v>0.58995706925968261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0.999999999980276</v>
      </c>
      <c r="C404">
        <v>0.99999999999997247</v>
      </c>
      <c r="D404">
        <v>0.99999998327310236</v>
      </c>
      <c r="E404">
        <v>0.99998817992027256</v>
      </c>
      <c r="F404">
        <v>0.99968730188007571</v>
      </c>
      <c r="G404">
        <v>0.99871894146836993</v>
      </c>
      <c r="H404">
        <v>0.99948821916060848</v>
      </c>
      <c r="I404">
        <v>0.99288397121805494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0.73791383788229747</v>
      </c>
      <c r="C405">
        <v>0.84134852880444511</v>
      </c>
      <c r="D405">
        <v>0.89069514858316279</v>
      </c>
      <c r="E405">
        <v>0.89147040284562551</v>
      </c>
      <c r="F405">
        <v>0.97970053003249236</v>
      </c>
      <c r="G405">
        <v>0.99854504401184452</v>
      </c>
      <c r="H405">
        <v>0.99984775558903261</v>
      </c>
      <c r="I405">
        <v>0.99967899619655876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0.35043597818496908</v>
      </c>
      <c r="C406">
        <v>0.37175908911010724</v>
      </c>
      <c r="D406">
        <v>0.49555821210915951</v>
      </c>
      <c r="E406">
        <v>0.32067463513385297</v>
      </c>
      <c r="F406">
        <v>0.34971031898003935</v>
      </c>
      <c r="G406">
        <v>0.33899602799557815</v>
      </c>
      <c r="H406">
        <v>0.41388335243274688</v>
      </c>
      <c r="I406">
        <v>0.33947124638641613</v>
      </c>
      <c r="J406" t="s">
        <v>200</v>
      </c>
      <c r="K406" t="s">
        <v>226</v>
      </c>
      <c r="L406" t="s">
        <v>223</v>
      </c>
      <c r="M406" t="s">
        <v>225</v>
      </c>
    </row>
  </sheetData>
  <autoFilter ref="A1:M271" xr:uid="{00000000-0009-0000-0000-000002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6"/>
  <sheetViews>
    <sheetView workbookViewId="0">
      <selection activeCell="G27" sqref="G27"/>
    </sheetView>
  </sheetViews>
  <sheetFormatPr defaultRowHeight="15" x14ac:dyDescent="0.25"/>
  <cols>
    <col min="1" max="1" width="22.140625" bestFit="1" customWidth="1"/>
    <col min="2" max="9" width="12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x14ac:dyDescent="0.25">
      <c r="A2" t="s">
        <v>1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0.65055445482566276</v>
      </c>
      <c r="C3">
        <v>0.30353949923702278</v>
      </c>
      <c r="D3">
        <v>0.7137424161192325</v>
      </c>
      <c r="E3">
        <v>0.8204896303453848</v>
      </c>
      <c r="F3">
        <v>0.47478122053549066</v>
      </c>
      <c r="G3">
        <v>0.65389510692193775</v>
      </c>
      <c r="H3">
        <v>0.75816986988098556</v>
      </c>
      <c r="I3">
        <v>0.82471184829505551</v>
      </c>
      <c r="J3" t="s">
        <v>198</v>
      </c>
      <c r="K3" t="s">
        <v>203</v>
      </c>
      <c r="L3" t="s">
        <v>209</v>
      </c>
      <c r="M3" t="s">
        <v>225</v>
      </c>
    </row>
    <row r="4" spans="1:13" x14ac:dyDescent="0.25">
      <c r="A4" t="s">
        <v>3</v>
      </c>
      <c r="B4">
        <v>0.73755513315675858</v>
      </c>
      <c r="C4">
        <v>9.1349036186176888E-2</v>
      </c>
      <c r="D4">
        <v>0.50567156742081931</v>
      </c>
      <c r="E4">
        <v>0.83997876415121497</v>
      </c>
      <c r="F4">
        <v>0.42204124811954452</v>
      </c>
      <c r="G4">
        <v>0.6447034537269134</v>
      </c>
      <c r="H4">
        <v>0.86058632219247366</v>
      </c>
      <c r="I4">
        <v>0.15881672055862439</v>
      </c>
      <c r="J4" t="s">
        <v>198</v>
      </c>
      <c r="K4" t="s">
        <v>204</v>
      </c>
      <c r="L4" t="s">
        <v>209</v>
      </c>
      <c r="M4" t="s">
        <v>225</v>
      </c>
    </row>
    <row r="5" spans="1:13" x14ac:dyDescent="0.25">
      <c r="A5" t="s">
        <v>298</v>
      </c>
      <c r="B5">
        <v>0.16415777513248853</v>
      </c>
      <c r="C5">
        <v>0.1252024432639196</v>
      </c>
      <c r="D5">
        <v>0.16679644095009027</v>
      </c>
      <c r="E5">
        <v>5.7737215772707212E-2</v>
      </c>
      <c r="F5">
        <v>8.2426162234203959E-2</v>
      </c>
      <c r="G5">
        <v>7.3501481253199774E-2</v>
      </c>
      <c r="H5">
        <v>3.3712589726573754E-2</v>
      </c>
      <c r="I5">
        <v>5.0727779156994474E-2</v>
      </c>
      <c r="J5" t="s">
        <v>198</v>
      </c>
      <c r="K5" t="s">
        <v>239</v>
      </c>
      <c r="L5" t="s">
        <v>209</v>
      </c>
      <c r="M5" t="s">
        <v>225</v>
      </c>
    </row>
    <row r="6" spans="1:13" x14ac:dyDescent="0.25">
      <c r="A6" t="s">
        <v>299</v>
      </c>
      <c r="B6">
        <v>0.75836193900734961</v>
      </c>
      <c r="C6">
        <v>0.1445407275020279</v>
      </c>
      <c r="D6">
        <v>0.39118356118146547</v>
      </c>
      <c r="E6">
        <v>0.90190512511799792</v>
      </c>
      <c r="F6">
        <v>0.79201096704897056</v>
      </c>
      <c r="G6">
        <v>0.90188357309691081</v>
      </c>
      <c r="H6">
        <v>0.88554697302168672</v>
      </c>
      <c r="I6">
        <v>0.3746017057591205</v>
      </c>
      <c r="J6" t="s">
        <v>198</v>
      </c>
      <c r="K6" t="s">
        <v>241</v>
      </c>
      <c r="L6" t="s">
        <v>209</v>
      </c>
      <c r="M6" t="s">
        <v>225</v>
      </c>
    </row>
    <row r="7" spans="1:13" x14ac:dyDescent="0.25">
      <c r="A7" t="s">
        <v>4</v>
      </c>
      <c r="B7">
        <v>0.95254479314448637</v>
      </c>
      <c r="C7">
        <v>0.37931241407120664</v>
      </c>
      <c r="D7">
        <v>0.69591725579261676</v>
      </c>
      <c r="E7">
        <v>0.57222873040987232</v>
      </c>
      <c r="F7">
        <v>0.55843307298629696</v>
      </c>
      <c r="G7">
        <v>0.15979653912296071</v>
      </c>
      <c r="H7">
        <v>8.6028311797429438E-2</v>
      </c>
      <c r="I7">
        <v>0.33737755374367723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0.61425804214656021</v>
      </c>
      <c r="C8">
        <v>0.10057873889614666</v>
      </c>
      <c r="D8">
        <v>0.11082109883507535</v>
      </c>
      <c r="E8">
        <v>9.3067217747537484E-2</v>
      </c>
      <c r="F8">
        <v>0.1013712286814854</v>
      </c>
      <c r="G8">
        <v>0.1013111478723938</v>
      </c>
      <c r="H8">
        <v>7.2423026904735455E-2</v>
      </c>
      <c r="I8">
        <v>8.7439004771021928E-2</v>
      </c>
      <c r="J8" t="s">
        <v>198</v>
      </c>
      <c r="K8" t="s">
        <v>207</v>
      </c>
      <c r="L8" t="s">
        <v>209</v>
      </c>
      <c r="M8" t="s">
        <v>225</v>
      </c>
    </row>
    <row r="9" spans="1:13" x14ac:dyDescent="0.25">
      <c r="A9" t="s">
        <v>300</v>
      </c>
      <c r="B9">
        <v>0.29847949649257305</v>
      </c>
      <c r="C9">
        <v>3.0111102852662334E-2</v>
      </c>
      <c r="D9">
        <v>0.18839798475919889</v>
      </c>
      <c r="E9">
        <v>0.618559268224111</v>
      </c>
      <c r="F9">
        <v>0.77640045051727635</v>
      </c>
      <c r="G9">
        <v>0.72368612566160428</v>
      </c>
      <c r="H9">
        <v>0.61805192359743955</v>
      </c>
      <c r="I9">
        <v>0.62754872393530892</v>
      </c>
      <c r="J9" t="s">
        <v>198</v>
      </c>
      <c r="K9" t="s">
        <v>233</v>
      </c>
      <c r="L9" t="s">
        <v>209</v>
      </c>
      <c r="M9" t="s">
        <v>225</v>
      </c>
    </row>
    <row r="10" spans="1:13" x14ac:dyDescent="0.25">
      <c r="A10" t="s">
        <v>5</v>
      </c>
      <c r="J10" t="s">
        <v>198</v>
      </c>
      <c r="K10" t="s">
        <v>202</v>
      </c>
      <c r="L10" t="s">
        <v>210</v>
      </c>
      <c r="M10" t="s">
        <v>225</v>
      </c>
    </row>
    <row r="11" spans="1:13" x14ac:dyDescent="0.25">
      <c r="A11" t="s">
        <v>6</v>
      </c>
      <c r="B11">
        <v>0.3898260918229885</v>
      </c>
      <c r="C11">
        <v>0.37389197150052511</v>
      </c>
      <c r="D11">
        <v>8.1265335280478732E-2</v>
      </c>
      <c r="E11">
        <v>0.44417775143840976</v>
      </c>
      <c r="F11">
        <v>0.86754793601684932</v>
      </c>
      <c r="G11">
        <v>0.44037211568795442</v>
      </c>
      <c r="H11">
        <v>0.95099811236989851</v>
      </c>
      <c r="I11">
        <v>0.75530974456024591</v>
      </c>
      <c r="J11" t="s">
        <v>198</v>
      </c>
      <c r="K11" t="s">
        <v>203</v>
      </c>
      <c r="L11" t="s">
        <v>210</v>
      </c>
      <c r="M11" t="s">
        <v>225</v>
      </c>
    </row>
    <row r="12" spans="1:13" x14ac:dyDescent="0.25">
      <c r="A12" t="s">
        <v>7</v>
      </c>
      <c r="B12">
        <v>0.68647239190741849</v>
      </c>
      <c r="C12">
        <v>8.9963919377984647E-2</v>
      </c>
      <c r="D12">
        <v>5.4429981621197596E-3</v>
      </c>
      <c r="E12">
        <v>0.4030621612768811</v>
      </c>
      <c r="F12">
        <v>0.86072956550214763</v>
      </c>
      <c r="G12">
        <v>0.16421612008163741</v>
      </c>
      <c r="H12">
        <v>0.32830046650369182</v>
      </c>
      <c r="I12">
        <v>0.25284202418802587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2.9599019350887417E-2</v>
      </c>
      <c r="C13">
        <v>2.8116493469129904E-2</v>
      </c>
      <c r="D13">
        <v>2.1839546094887752E-2</v>
      </c>
      <c r="E13">
        <v>8.2693979357364548E-3</v>
      </c>
      <c r="F13">
        <v>1.1063688794177648E-2</v>
      </c>
      <c r="G13">
        <v>8.696169829903894E-3</v>
      </c>
      <c r="H13">
        <v>2.4624803589270269E-2</v>
      </c>
      <c r="I13">
        <v>2.5486969058471143E-2</v>
      </c>
      <c r="J13" t="s">
        <v>198</v>
      </c>
      <c r="K13" t="s">
        <v>239</v>
      </c>
      <c r="L13" t="s">
        <v>210</v>
      </c>
      <c r="M13" t="s">
        <v>225</v>
      </c>
    </row>
    <row r="14" spans="1:13" x14ac:dyDescent="0.25">
      <c r="A14" t="s">
        <v>302</v>
      </c>
      <c r="B14">
        <v>4.5927863598297003E-5</v>
      </c>
      <c r="C14">
        <v>1.8222824057920574E-3</v>
      </c>
      <c r="D14">
        <v>1.5168381979660517E-4</v>
      </c>
      <c r="E14">
        <v>5.1939049457836817E-4</v>
      </c>
      <c r="F14">
        <v>7.3326801486157294E-3</v>
      </c>
      <c r="G14">
        <v>4.2108519828565477E-3</v>
      </c>
      <c r="H14">
        <v>3.7197559142617465E-2</v>
      </c>
      <c r="I14">
        <v>6.083486471685628E-3</v>
      </c>
      <c r="J14" t="s">
        <v>198</v>
      </c>
      <c r="K14" t="s">
        <v>241</v>
      </c>
      <c r="L14" t="s">
        <v>210</v>
      </c>
      <c r="M14" t="s">
        <v>225</v>
      </c>
    </row>
    <row r="15" spans="1:13" x14ac:dyDescent="0.25">
      <c r="A15" t="s">
        <v>8</v>
      </c>
      <c r="B15">
        <v>0.31038980207907074</v>
      </c>
      <c r="C15">
        <v>0.16125100485931337</v>
      </c>
      <c r="D15">
        <v>3.0433587162291491E-2</v>
      </c>
      <c r="E15">
        <v>0.14685881252760399</v>
      </c>
      <c r="F15">
        <v>0.16236140436273516</v>
      </c>
      <c r="G15">
        <v>2.2369820867322841E-2</v>
      </c>
      <c r="H15">
        <v>4.1423033475500755E-2</v>
      </c>
      <c r="I15">
        <v>0.1765052526728236</v>
      </c>
      <c r="J15" t="s">
        <v>198</v>
      </c>
      <c r="K15" t="s">
        <v>206</v>
      </c>
      <c r="L15" t="s">
        <v>210</v>
      </c>
      <c r="M15" t="s">
        <v>225</v>
      </c>
    </row>
    <row r="16" spans="1:13" x14ac:dyDescent="0.25">
      <c r="A16" t="s">
        <v>262</v>
      </c>
      <c r="B16">
        <v>7.743225498211663E-2</v>
      </c>
      <c r="C16">
        <v>8.1153925217072695E-2</v>
      </c>
      <c r="D16">
        <v>9.1915690868712457E-2</v>
      </c>
      <c r="E16">
        <v>9.4796934721620874E-2</v>
      </c>
      <c r="F16">
        <v>8.8022168405208753E-2</v>
      </c>
      <c r="G16">
        <v>8.4822342209425153E-2</v>
      </c>
      <c r="H16">
        <v>8.9701769108221863E-2</v>
      </c>
      <c r="I16">
        <v>8.4000670156898063E-2</v>
      </c>
      <c r="J16" t="s">
        <v>198</v>
      </c>
      <c r="K16" t="s">
        <v>207</v>
      </c>
      <c r="L16" t="s">
        <v>210</v>
      </c>
      <c r="M16" t="s">
        <v>225</v>
      </c>
    </row>
    <row r="17" spans="1:13" x14ac:dyDescent="0.25">
      <c r="A17" t="s">
        <v>303</v>
      </c>
      <c r="B17">
        <v>0.27816765009112254</v>
      </c>
      <c r="C17">
        <v>5.3099502457930256E-2</v>
      </c>
      <c r="D17">
        <v>6.7251336876555851E-2</v>
      </c>
      <c r="E17">
        <v>7.8775290322800187E-2</v>
      </c>
      <c r="F17">
        <v>0.38410378766271253</v>
      </c>
      <c r="G17">
        <v>0.17703367541513454</v>
      </c>
      <c r="H17">
        <v>0.29056507173702156</v>
      </c>
      <c r="I17">
        <v>0.32877026334513315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J18" t="s">
        <v>198</v>
      </c>
      <c r="K18" t="s">
        <v>202</v>
      </c>
      <c r="L18" t="s">
        <v>211</v>
      </c>
      <c r="M18" t="s">
        <v>225</v>
      </c>
    </row>
    <row r="19" spans="1:13" x14ac:dyDescent="0.25">
      <c r="A19" t="s">
        <v>10</v>
      </c>
      <c r="B19">
        <v>0.59544554105606162</v>
      </c>
      <c r="C19">
        <v>0.39172112816750609</v>
      </c>
      <c r="D19">
        <v>0.14053933467673832</v>
      </c>
      <c r="E19">
        <v>0.83529242693691708</v>
      </c>
      <c r="F19">
        <v>0.22939027941168497</v>
      </c>
      <c r="G19">
        <v>0.29246324576388444</v>
      </c>
      <c r="H19">
        <v>0.14744274295150184</v>
      </c>
      <c r="I19">
        <v>0.63555099825701633</v>
      </c>
      <c r="J19" t="s">
        <v>198</v>
      </c>
      <c r="K19" t="s">
        <v>203</v>
      </c>
      <c r="L19" t="s">
        <v>211</v>
      </c>
      <c r="M19" t="s">
        <v>225</v>
      </c>
    </row>
    <row r="20" spans="1:13" x14ac:dyDescent="0.25">
      <c r="A20" t="s">
        <v>11</v>
      </c>
      <c r="B20">
        <v>0.1395323653353252</v>
      </c>
      <c r="C20">
        <v>0.74030403130024136</v>
      </c>
      <c r="D20">
        <v>0.69823746628377559</v>
      </c>
      <c r="E20">
        <v>0.96252318481641352</v>
      </c>
      <c r="F20">
        <v>0.40635459824149139</v>
      </c>
      <c r="G20">
        <v>0.78481899928920318</v>
      </c>
      <c r="H20">
        <v>0.14478919352127273</v>
      </c>
      <c r="I20">
        <v>0.86616714398474226</v>
      </c>
      <c r="J20" t="s">
        <v>198</v>
      </c>
      <c r="K20" t="s">
        <v>204</v>
      </c>
      <c r="L20" t="s">
        <v>211</v>
      </c>
      <c r="M20" t="s">
        <v>225</v>
      </c>
    </row>
    <row r="21" spans="1:13" x14ac:dyDescent="0.25">
      <c r="A21" t="s">
        <v>304</v>
      </c>
      <c r="B21">
        <v>5.5102674300127052E-2</v>
      </c>
      <c r="C21">
        <v>2.4259014713106826E-2</v>
      </c>
      <c r="D21">
        <v>3.6781942395451919E-2</v>
      </c>
      <c r="E21">
        <v>2.2781589766618194E-2</v>
      </c>
      <c r="F21">
        <v>1.1932214321189367E-2</v>
      </c>
      <c r="G21">
        <v>1.6092527441377659E-2</v>
      </c>
      <c r="H21">
        <v>1.4774868027433767E-2</v>
      </c>
      <c r="I21">
        <v>2.3947278399461754E-2</v>
      </c>
      <c r="J21" t="s">
        <v>198</v>
      </c>
      <c r="K21" t="s">
        <v>239</v>
      </c>
      <c r="L21" t="s">
        <v>211</v>
      </c>
      <c r="M21" t="s">
        <v>225</v>
      </c>
    </row>
    <row r="22" spans="1:13" x14ac:dyDescent="0.25">
      <c r="A22" t="s">
        <v>305</v>
      </c>
      <c r="B22">
        <v>4.089682959391312E-6</v>
      </c>
      <c r="C22">
        <v>3.2319852063096825E-6</v>
      </c>
      <c r="D22">
        <v>3.4267866948923711E-7</v>
      </c>
      <c r="E22">
        <v>4.7630348639095689E-7</v>
      </c>
      <c r="F22">
        <v>8.0170408926371513E-8</v>
      </c>
      <c r="G22">
        <v>3.2233756947596349E-6</v>
      </c>
      <c r="H22">
        <v>7.1569231982694828E-7</v>
      </c>
      <c r="I22">
        <v>3.0183676756941528E-7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6.8618793688206225E-2</v>
      </c>
      <c r="C23">
        <v>0.79553035344449596</v>
      </c>
      <c r="D23">
        <v>0.16804909724104439</v>
      </c>
      <c r="E23">
        <v>0.71775571432439489</v>
      </c>
      <c r="F23">
        <v>1.0633281252166929E-2</v>
      </c>
      <c r="G23">
        <v>0.36826967446522352</v>
      </c>
      <c r="H23">
        <v>5.5700928384684462E-2</v>
      </c>
      <c r="I23">
        <v>0.27578458962010133</v>
      </c>
      <c r="J23" t="s">
        <v>198</v>
      </c>
      <c r="K23" t="s">
        <v>206</v>
      </c>
      <c r="L23" t="s">
        <v>211</v>
      </c>
      <c r="M23" t="s">
        <v>225</v>
      </c>
    </row>
    <row r="24" spans="1:13" x14ac:dyDescent="0.25">
      <c r="A24" t="s">
        <v>263</v>
      </c>
      <c r="B24">
        <v>0.25054886281691596</v>
      </c>
      <c r="C24">
        <v>6.4357084572167822E-2</v>
      </c>
      <c r="D24">
        <v>7.5775899081482634E-2</v>
      </c>
      <c r="E24">
        <v>8.1234554292966221E-2</v>
      </c>
      <c r="F24">
        <v>8.250348921479303E-2</v>
      </c>
      <c r="G24">
        <v>8.2774617492863883E-2</v>
      </c>
      <c r="H24">
        <v>7.7261119326805974E-2</v>
      </c>
      <c r="I24">
        <v>7.130616871370403E-2</v>
      </c>
      <c r="J24" t="s">
        <v>198</v>
      </c>
      <c r="K24" t="s">
        <v>207</v>
      </c>
      <c r="L24" t="s">
        <v>211</v>
      </c>
      <c r="M24" t="s">
        <v>225</v>
      </c>
    </row>
    <row r="25" spans="1:13" x14ac:dyDescent="0.25">
      <c r="A25" t="s">
        <v>306</v>
      </c>
      <c r="B25">
        <v>0.96594486440996785</v>
      </c>
      <c r="C25">
        <v>0.92993600881998106</v>
      </c>
      <c r="D25">
        <v>0.69399149042023334</v>
      </c>
      <c r="E25">
        <v>0.95438361518790527</v>
      </c>
      <c r="F25">
        <v>0.88708874911285696</v>
      </c>
      <c r="G25">
        <v>0.93836064691107701</v>
      </c>
      <c r="H25">
        <v>0.92736817577193875</v>
      </c>
      <c r="I25">
        <v>0.98110976882270295</v>
      </c>
      <c r="J25" t="s">
        <v>198</v>
      </c>
      <c r="K25" t="s">
        <v>233</v>
      </c>
      <c r="L25" t="s">
        <v>211</v>
      </c>
      <c r="M25" t="s">
        <v>225</v>
      </c>
    </row>
    <row r="26" spans="1:13" x14ac:dyDescent="0.25">
      <c r="A26" t="s">
        <v>13</v>
      </c>
      <c r="J26" t="s">
        <v>198</v>
      </c>
      <c r="K26" t="s">
        <v>202</v>
      </c>
      <c r="L26" t="s">
        <v>212</v>
      </c>
      <c r="M26" t="s">
        <v>225</v>
      </c>
    </row>
    <row r="27" spans="1:13" x14ac:dyDescent="0.25">
      <c r="A27" t="s">
        <v>14</v>
      </c>
      <c r="B27">
        <v>0.93630131912324455</v>
      </c>
      <c r="C27">
        <v>0.93036201060186385</v>
      </c>
      <c r="D27">
        <v>0.98038822207505927</v>
      </c>
      <c r="E27">
        <v>0.71862198189521032</v>
      </c>
      <c r="F27">
        <v>0.46717313108366326</v>
      </c>
      <c r="G27">
        <v>0.50658971789379348</v>
      </c>
      <c r="H27">
        <v>4.3564911878823054E-2</v>
      </c>
      <c r="I27">
        <v>0.66081036427618989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0.61715399813589722</v>
      </c>
      <c r="C28">
        <v>0.18431153895542368</v>
      </c>
      <c r="D28">
        <v>0.85537038407028243</v>
      </c>
      <c r="E28">
        <v>0.27082710008440086</v>
      </c>
      <c r="F28">
        <v>0.43455318160701806</v>
      </c>
      <c r="G28">
        <v>0.13524056113708871</v>
      </c>
      <c r="H28">
        <v>0.51587569224570962</v>
      </c>
      <c r="I28">
        <v>0.4816649557066221</v>
      </c>
      <c r="J28" t="s">
        <v>198</v>
      </c>
      <c r="K28" t="s">
        <v>204</v>
      </c>
      <c r="L28" t="s">
        <v>212</v>
      </c>
      <c r="M28" t="s">
        <v>225</v>
      </c>
    </row>
    <row r="29" spans="1:13" x14ac:dyDescent="0.25">
      <c r="A29" t="s">
        <v>307</v>
      </c>
      <c r="B29">
        <v>4.4764994112598072E-2</v>
      </c>
      <c r="C29">
        <v>0.10031997953661442</v>
      </c>
      <c r="D29">
        <v>6.5406080708670863E-2</v>
      </c>
      <c r="E29">
        <v>1.7496902403062155E-2</v>
      </c>
      <c r="F29">
        <v>6.1694988099945626E-3</v>
      </c>
      <c r="G29">
        <v>1.039801052725535E-2</v>
      </c>
      <c r="H29">
        <v>3.93907367027621E-4</v>
      </c>
      <c r="I29">
        <v>2.2396588573491666E-2</v>
      </c>
      <c r="J29" t="s">
        <v>198</v>
      </c>
      <c r="K29" t="s">
        <v>239</v>
      </c>
      <c r="L29" t="s">
        <v>212</v>
      </c>
      <c r="M29" t="s">
        <v>225</v>
      </c>
    </row>
    <row r="30" spans="1:13" x14ac:dyDescent="0.25">
      <c r="A30" t="s">
        <v>308</v>
      </c>
      <c r="B30">
        <v>6.7829066520531375E-2</v>
      </c>
      <c r="C30">
        <v>2.9551372706150766E-2</v>
      </c>
      <c r="D30">
        <v>0.20900526558034277</v>
      </c>
      <c r="E30">
        <v>1.5666785992521689E-2</v>
      </c>
      <c r="F30">
        <v>3.5575588811966523E-3</v>
      </c>
      <c r="G30">
        <v>0.15965441949640546</v>
      </c>
      <c r="H30">
        <v>7.6812745519834441E-2</v>
      </c>
      <c r="I30">
        <v>0.11358865828173489</v>
      </c>
      <c r="J30" t="s">
        <v>198</v>
      </c>
      <c r="K30" t="s">
        <v>241</v>
      </c>
      <c r="L30" t="s">
        <v>212</v>
      </c>
      <c r="M30" t="s">
        <v>225</v>
      </c>
    </row>
    <row r="31" spans="1:13" x14ac:dyDescent="0.25">
      <c r="A31" t="s">
        <v>16</v>
      </c>
      <c r="B31">
        <v>0.35519296444749004</v>
      </c>
      <c r="C31">
        <v>0.18896675658591947</v>
      </c>
      <c r="D31">
        <v>0.87801065832258707</v>
      </c>
      <c r="E31">
        <v>0.20142667747723056</v>
      </c>
      <c r="F31">
        <v>9.8973163822998311E-2</v>
      </c>
      <c r="G31">
        <v>6.7826555877767572E-3</v>
      </c>
      <c r="H31">
        <v>7.9962436226340382E-3</v>
      </c>
      <c r="I31">
        <v>0.37401129454420756</v>
      </c>
      <c r="J31" t="s">
        <v>198</v>
      </c>
      <c r="K31" t="s">
        <v>206</v>
      </c>
      <c r="L31" t="s">
        <v>212</v>
      </c>
      <c r="M31" t="s">
        <v>225</v>
      </c>
    </row>
    <row r="32" spans="1:13" x14ac:dyDescent="0.25">
      <c r="A32" t="s">
        <v>264</v>
      </c>
      <c r="B32">
        <v>4.2223832747016292E-2</v>
      </c>
      <c r="C32">
        <v>7.2357287174711057E-2</v>
      </c>
      <c r="D32">
        <v>7.5299787964843989E-2</v>
      </c>
      <c r="E32">
        <v>7.5407921310777296E-2</v>
      </c>
      <c r="F32">
        <v>6.0201594944114298E-2</v>
      </c>
      <c r="G32">
        <v>7.1325768450914512E-2</v>
      </c>
      <c r="H32">
        <v>4.2782407680728517E-2</v>
      </c>
      <c r="I32">
        <v>5.6517267914461627E-2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0.68804713295508635</v>
      </c>
      <c r="C33">
        <v>0.29704360084564913</v>
      </c>
      <c r="D33">
        <v>0.86489124946269369</v>
      </c>
      <c r="E33">
        <v>0.26492623450747343</v>
      </c>
      <c r="F33">
        <v>0.4671238632779468</v>
      </c>
      <c r="G33">
        <v>0.73970263602959196</v>
      </c>
      <c r="H33">
        <v>8.5445652779831072E-2</v>
      </c>
      <c r="I33">
        <v>0.72187951551667662</v>
      </c>
      <c r="J33" t="s">
        <v>198</v>
      </c>
      <c r="K33" t="s">
        <v>233</v>
      </c>
      <c r="L33" t="s">
        <v>212</v>
      </c>
      <c r="M33" t="s">
        <v>225</v>
      </c>
    </row>
    <row r="34" spans="1:13" x14ac:dyDescent="0.25">
      <c r="A34" t="s">
        <v>17</v>
      </c>
      <c r="J34" t="s">
        <v>198</v>
      </c>
      <c r="K34" t="s">
        <v>202</v>
      </c>
      <c r="L34" t="s">
        <v>213</v>
      </c>
      <c r="M34" t="s">
        <v>225</v>
      </c>
    </row>
    <row r="35" spans="1:13" x14ac:dyDescent="0.25">
      <c r="A35" t="s">
        <v>18</v>
      </c>
      <c r="B35">
        <v>0.77813134569860876</v>
      </c>
      <c r="C35">
        <v>0.50744312038712003</v>
      </c>
      <c r="D35">
        <v>0.4212597108955658</v>
      </c>
      <c r="E35">
        <v>0.33662671787895643</v>
      </c>
      <c r="F35">
        <v>0.93405688105414353</v>
      </c>
      <c r="G35">
        <v>0.86753647127726341</v>
      </c>
      <c r="H35">
        <v>0.78260780494980886</v>
      </c>
      <c r="I35">
        <v>0.10963313724942686</v>
      </c>
      <c r="J35" t="s">
        <v>198</v>
      </c>
      <c r="K35" t="s">
        <v>203</v>
      </c>
      <c r="L35" t="s">
        <v>213</v>
      </c>
      <c r="M35" t="s">
        <v>225</v>
      </c>
    </row>
    <row r="36" spans="1:13" x14ac:dyDescent="0.25">
      <c r="A36" t="s">
        <v>19</v>
      </c>
      <c r="B36">
        <v>6.8084465217138998E-2</v>
      </c>
      <c r="C36">
        <v>0.19594637588019873</v>
      </c>
      <c r="D36">
        <v>0.22912033055133946</v>
      </c>
      <c r="E36">
        <v>7.9316379486470537E-2</v>
      </c>
      <c r="F36">
        <v>0.92434875066930466</v>
      </c>
      <c r="G36">
        <v>0.59205806175737652</v>
      </c>
      <c r="H36">
        <v>0.39625648458242801</v>
      </c>
      <c r="I36">
        <v>0.36393674296570522</v>
      </c>
      <c r="J36" t="s">
        <v>198</v>
      </c>
      <c r="K36" t="s">
        <v>204</v>
      </c>
      <c r="L36" t="s">
        <v>213</v>
      </c>
      <c r="M36" t="s">
        <v>225</v>
      </c>
    </row>
    <row r="37" spans="1:13" x14ac:dyDescent="0.25">
      <c r="A37" t="s">
        <v>310</v>
      </c>
      <c r="B37">
        <v>6.3236023200418434E-2</v>
      </c>
      <c r="C37">
        <v>8.9486915678611084E-2</v>
      </c>
      <c r="D37">
        <v>1.0337260360426453E-2</v>
      </c>
      <c r="E37">
        <v>1.1564684123276658E-2</v>
      </c>
      <c r="F37">
        <v>2.5311135513612054E-2</v>
      </c>
      <c r="G37">
        <v>1.3588703515192705E-2</v>
      </c>
      <c r="H37">
        <v>8.8259261920431362E-3</v>
      </c>
      <c r="I37">
        <v>8.0564630157837422E-3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1.1570297886886434E-2</v>
      </c>
      <c r="C38">
        <v>9.2395711146073499E-3</v>
      </c>
      <c r="D38">
        <v>3.2537458062766755E-2</v>
      </c>
      <c r="E38">
        <v>7.458272849953386E-2</v>
      </c>
      <c r="F38">
        <v>0.35065067640702124</v>
      </c>
      <c r="G38">
        <v>0.51628177677359277</v>
      </c>
      <c r="H38">
        <v>0.56341131568929004</v>
      </c>
      <c r="I38">
        <v>0.109624003257234</v>
      </c>
      <c r="J38" t="s">
        <v>198</v>
      </c>
      <c r="K38" t="s">
        <v>241</v>
      </c>
      <c r="L38" t="s">
        <v>213</v>
      </c>
      <c r="M38" t="s">
        <v>225</v>
      </c>
    </row>
    <row r="39" spans="1:13" x14ac:dyDescent="0.25">
      <c r="A39" t="s">
        <v>20</v>
      </c>
      <c r="B39">
        <v>6.9267609339639482E-4</v>
      </c>
      <c r="C39">
        <v>0.14319753879014072</v>
      </c>
      <c r="D39">
        <v>9.3548110969861233E-3</v>
      </c>
      <c r="E39">
        <v>0.11110717945623255</v>
      </c>
      <c r="F39">
        <v>0.1711896913292221</v>
      </c>
      <c r="G39">
        <v>1.9416998822387375E-2</v>
      </c>
      <c r="H39">
        <v>0.16341043542904227</v>
      </c>
      <c r="I39">
        <v>6.5599551408076828E-2</v>
      </c>
      <c r="J39" t="s">
        <v>198</v>
      </c>
      <c r="K39" t="s">
        <v>206</v>
      </c>
      <c r="L39" t="s">
        <v>213</v>
      </c>
      <c r="M39" t="s">
        <v>225</v>
      </c>
    </row>
    <row r="40" spans="1:13" x14ac:dyDescent="0.25">
      <c r="A40" t="s">
        <v>265</v>
      </c>
      <c r="B40">
        <v>1.1491867967568825E-2</v>
      </c>
      <c r="C40">
        <v>7.9526144721978387E-2</v>
      </c>
      <c r="D40">
        <v>8.282369226506428E-2</v>
      </c>
      <c r="E40">
        <v>9.6402300139496855E-2</v>
      </c>
      <c r="F40">
        <v>8.8993982274329891E-2</v>
      </c>
      <c r="G40">
        <v>9.6633064887653497E-2</v>
      </c>
      <c r="H40">
        <v>8.6681006368481167E-2</v>
      </c>
      <c r="I40">
        <v>7.5288427692444856E-2</v>
      </c>
      <c r="J40" t="s">
        <v>198</v>
      </c>
      <c r="K40" t="s">
        <v>207</v>
      </c>
      <c r="L40" t="s">
        <v>213</v>
      </c>
      <c r="M40" t="s">
        <v>225</v>
      </c>
    </row>
    <row r="41" spans="1:13" x14ac:dyDescent="0.25">
      <c r="A41" t="s">
        <v>312</v>
      </c>
      <c r="B41">
        <v>7.3923625125791551E-2</v>
      </c>
      <c r="C41">
        <v>7.0274588139866062E-2</v>
      </c>
      <c r="D41">
        <v>8.2794797319073202E-2</v>
      </c>
      <c r="E41">
        <v>0.1962481271283045</v>
      </c>
      <c r="F41">
        <v>0.34455977961174389</v>
      </c>
      <c r="G41">
        <v>0.27447160940321874</v>
      </c>
      <c r="H41">
        <v>0.1805362383269708</v>
      </c>
      <c r="I41">
        <v>0.43890598426927047</v>
      </c>
      <c r="J41" t="s">
        <v>198</v>
      </c>
      <c r="K41" t="s">
        <v>233</v>
      </c>
      <c r="L41" t="s">
        <v>213</v>
      </c>
      <c r="M41" t="s">
        <v>225</v>
      </c>
    </row>
    <row r="42" spans="1:13" x14ac:dyDescent="0.25">
      <c r="A42" t="s">
        <v>21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0.93607546737059399</v>
      </c>
      <c r="C43">
        <v>0.77700393661897393</v>
      </c>
      <c r="D43">
        <v>0.96565188105061583</v>
      </c>
      <c r="E43">
        <v>0.97037988324776447</v>
      </c>
      <c r="F43">
        <v>0.86746708976764164</v>
      </c>
      <c r="G43">
        <v>0.98458429659922375</v>
      </c>
      <c r="H43">
        <v>0.76438916620860464</v>
      </c>
      <c r="I43">
        <v>0.97813124429930409</v>
      </c>
      <c r="J43" t="s">
        <v>198</v>
      </c>
      <c r="K43" t="s">
        <v>203</v>
      </c>
      <c r="L43" t="s">
        <v>214</v>
      </c>
      <c r="M43" t="s">
        <v>225</v>
      </c>
    </row>
    <row r="44" spans="1:13" x14ac:dyDescent="0.25">
      <c r="A44" t="s">
        <v>23</v>
      </c>
      <c r="B44">
        <v>0.97041779079514368</v>
      </c>
      <c r="C44">
        <v>0.44905089744066007</v>
      </c>
      <c r="D44">
        <v>0.42137134633809137</v>
      </c>
      <c r="E44">
        <v>0.65272448438304898</v>
      </c>
      <c r="F44">
        <v>3.2968196395062474E-2</v>
      </c>
      <c r="G44">
        <v>3.8280628903196438E-2</v>
      </c>
      <c r="H44">
        <v>0.22739366168724248</v>
      </c>
      <c r="I44">
        <v>0.39538265737374562</v>
      </c>
      <c r="J44" t="s">
        <v>198</v>
      </c>
      <c r="K44" t="s">
        <v>204</v>
      </c>
      <c r="L44" t="s">
        <v>214</v>
      </c>
      <c r="M44" t="s">
        <v>225</v>
      </c>
    </row>
    <row r="45" spans="1:13" x14ac:dyDescent="0.25">
      <c r="A45" t="s">
        <v>313</v>
      </c>
      <c r="B45">
        <v>0.57651307925255635</v>
      </c>
      <c r="C45">
        <v>0.13001296122438613</v>
      </c>
      <c r="D45">
        <v>0.15142594530798811</v>
      </c>
      <c r="E45">
        <v>0.14065000757764237</v>
      </c>
      <c r="F45">
        <v>6.6765231016899587E-2</v>
      </c>
      <c r="G45">
        <v>4.2397966596543803E-2</v>
      </c>
      <c r="H45">
        <v>3.8217092017781243E-2</v>
      </c>
      <c r="I45">
        <v>1.6364491511816456E-2</v>
      </c>
      <c r="J45" t="s">
        <v>198</v>
      </c>
      <c r="K45" t="s">
        <v>239</v>
      </c>
      <c r="L45" t="s">
        <v>214</v>
      </c>
      <c r="M45" t="s">
        <v>225</v>
      </c>
    </row>
    <row r="46" spans="1:13" x14ac:dyDescent="0.25">
      <c r="A46" t="s">
        <v>314</v>
      </c>
      <c r="B46">
        <v>1.7501180180021694E-2</v>
      </c>
      <c r="C46">
        <v>6.4020751776208591E-3</v>
      </c>
      <c r="D46">
        <v>0.10549088537135262</v>
      </c>
      <c r="E46">
        <v>6.8887166372181341E-2</v>
      </c>
      <c r="F46">
        <v>1.3285871728027428E-3</v>
      </c>
      <c r="G46">
        <v>4.8936922000128481E-2</v>
      </c>
      <c r="H46">
        <v>6.4300687522908051E-4</v>
      </c>
      <c r="I46">
        <v>3.1293907972702865E-2</v>
      </c>
      <c r="J46" t="s">
        <v>198</v>
      </c>
      <c r="K46" t="s">
        <v>241</v>
      </c>
      <c r="L46" t="s">
        <v>214</v>
      </c>
      <c r="M46" t="s">
        <v>225</v>
      </c>
    </row>
    <row r="47" spans="1:13" x14ac:dyDescent="0.25">
      <c r="A47" t="s">
        <v>24</v>
      </c>
      <c r="B47">
        <v>0.93634671042987594</v>
      </c>
      <c r="C47">
        <v>2.3935786885144642E-2</v>
      </c>
      <c r="D47">
        <v>0.17332457536271451</v>
      </c>
      <c r="E47">
        <v>0.57398510119496537</v>
      </c>
      <c r="F47">
        <v>0.10020168021453114</v>
      </c>
      <c r="G47">
        <v>1.7939976847061495E-3</v>
      </c>
      <c r="H47">
        <v>1.1720722681541567E-5</v>
      </c>
      <c r="I47">
        <v>4.8964857130944853E-2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0.60683502130740397</v>
      </c>
      <c r="C48">
        <v>8.7453508802596669E-2</v>
      </c>
      <c r="D48">
        <v>0.10205543243814913</v>
      </c>
      <c r="E48">
        <v>0.11397395388740517</v>
      </c>
      <c r="F48">
        <v>0.11016741579767164</v>
      </c>
      <c r="G48">
        <v>0.11326560083924155</v>
      </c>
      <c r="H48">
        <v>0.10946334326971532</v>
      </c>
      <c r="I48">
        <v>0.10117152669779018</v>
      </c>
      <c r="J48" t="s">
        <v>198</v>
      </c>
      <c r="K48" t="s">
        <v>207</v>
      </c>
      <c r="L48" t="s">
        <v>214</v>
      </c>
      <c r="M48" t="s">
        <v>225</v>
      </c>
    </row>
    <row r="49" spans="1:13" x14ac:dyDescent="0.25">
      <c r="A49" t="s">
        <v>315</v>
      </c>
      <c r="B49">
        <v>0.81938103009760344</v>
      </c>
      <c r="C49">
        <v>7.6970807512143427E-2</v>
      </c>
      <c r="D49">
        <v>0.33362915677931326</v>
      </c>
      <c r="E49">
        <v>0.47987955396925192</v>
      </c>
      <c r="F49">
        <v>0.18222659048163525</v>
      </c>
      <c r="G49">
        <v>0.72234991651250025</v>
      </c>
      <c r="H49">
        <v>0.26585187106141933</v>
      </c>
      <c r="I49">
        <v>0.31682054704943374</v>
      </c>
      <c r="J49" t="s">
        <v>198</v>
      </c>
      <c r="K49" t="s">
        <v>233</v>
      </c>
      <c r="L49" t="s">
        <v>214</v>
      </c>
      <c r="M49" t="s">
        <v>225</v>
      </c>
    </row>
    <row r="50" spans="1:13" x14ac:dyDescent="0.25">
      <c r="A50" t="s">
        <v>25</v>
      </c>
      <c r="J50" t="s">
        <v>198</v>
      </c>
      <c r="K50" t="s">
        <v>202</v>
      </c>
      <c r="L50" t="s">
        <v>215</v>
      </c>
      <c r="M50" t="s">
        <v>225</v>
      </c>
    </row>
    <row r="51" spans="1:13" x14ac:dyDescent="0.25">
      <c r="A51" t="s">
        <v>26</v>
      </c>
      <c r="B51">
        <v>0.86018315309744164</v>
      </c>
      <c r="C51">
        <v>0.82454204514706886</v>
      </c>
      <c r="D51">
        <v>0.93074963233173713</v>
      </c>
      <c r="E51">
        <v>0.58058417874480184</v>
      </c>
      <c r="F51">
        <v>0.11713774020690618</v>
      </c>
      <c r="G51">
        <v>0.29720586963294549</v>
      </c>
      <c r="H51">
        <v>0.90011822804811437</v>
      </c>
      <c r="I51">
        <v>0.65992644672760026</v>
      </c>
      <c r="J51" t="s">
        <v>198</v>
      </c>
      <c r="K51" t="s">
        <v>203</v>
      </c>
      <c r="L51" t="s">
        <v>215</v>
      </c>
      <c r="M51" t="s">
        <v>225</v>
      </c>
    </row>
    <row r="52" spans="1:13" x14ac:dyDescent="0.25">
      <c r="A52" t="s">
        <v>27</v>
      </c>
      <c r="B52">
        <v>0.69955785889844146</v>
      </c>
      <c r="C52">
        <v>0.69164905964510748</v>
      </c>
      <c r="D52">
        <v>0.88001129015905599</v>
      </c>
      <c r="E52">
        <v>0.74833761729146597</v>
      </c>
      <c r="F52">
        <v>0.41163696946632611</v>
      </c>
      <c r="G52">
        <v>0.58633152348962414</v>
      </c>
      <c r="H52">
        <v>0.8341412514160832</v>
      </c>
      <c r="I52">
        <v>0.53470331602710319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1.0882438166010325E-2</v>
      </c>
      <c r="C53">
        <v>7.2198350853749484E-3</v>
      </c>
      <c r="D53">
        <v>2.3933303143447267E-2</v>
      </c>
      <c r="E53">
        <v>6.170616577416901E-3</v>
      </c>
      <c r="F53">
        <v>2.5309971727230998E-3</v>
      </c>
      <c r="G53">
        <v>6.2985992389257102E-3</v>
      </c>
      <c r="H53">
        <v>3.443297182269725E-2</v>
      </c>
      <c r="I53">
        <v>2.9707694837344336E-2</v>
      </c>
      <c r="J53" t="s">
        <v>198</v>
      </c>
      <c r="K53" t="s">
        <v>239</v>
      </c>
      <c r="L53" t="s">
        <v>215</v>
      </c>
      <c r="M53" t="s">
        <v>225</v>
      </c>
    </row>
    <row r="54" spans="1:13" x14ac:dyDescent="0.25">
      <c r="A54" t="s">
        <v>317</v>
      </c>
      <c r="B54">
        <v>0.16892420097081612</v>
      </c>
      <c r="C54">
        <v>5.6700706169206957E-2</v>
      </c>
      <c r="D54">
        <v>5.9787895623214633E-2</v>
      </c>
      <c r="E54">
        <v>5.3331431192430029E-2</v>
      </c>
      <c r="F54">
        <v>7.120871783387199E-2</v>
      </c>
      <c r="G54">
        <v>8.564562592184248E-2</v>
      </c>
      <c r="H54">
        <v>0.14709783140870572</v>
      </c>
      <c r="I54">
        <v>4.2786722520779689E-2</v>
      </c>
      <c r="J54" t="s">
        <v>198</v>
      </c>
      <c r="K54" t="s">
        <v>241</v>
      </c>
      <c r="L54" t="s">
        <v>215</v>
      </c>
      <c r="M54" t="s">
        <v>225</v>
      </c>
    </row>
    <row r="55" spans="1:13" x14ac:dyDescent="0.25">
      <c r="A55" t="s">
        <v>28</v>
      </c>
      <c r="B55">
        <v>2.6074280415163759E-2</v>
      </c>
      <c r="C55">
        <v>0.17728032762670098</v>
      </c>
      <c r="D55">
        <v>0.250100584522643</v>
      </c>
      <c r="E55">
        <v>6.9788236141655524E-2</v>
      </c>
      <c r="F55">
        <v>0.14145851881354132</v>
      </c>
      <c r="G55">
        <v>0.14898906178036903</v>
      </c>
      <c r="H55">
        <v>0.25249718173019425</v>
      </c>
      <c r="I55">
        <v>8.8857952525921768E-2</v>
      </c>
      <c r="J55" t="s">
        <v>198</v>
      </c>
      <c r="K55" t="s">
        <v>206</v>
      </c>
      <c r="L55" t="s">
        <v>215</v>
      </c>
      <c r="M55" t="s">
        <v>225</v>
      </c>
    </row>
    <row r="56" spans="1:13" x14ac:dyDescent="0.25">
      <c r="A56" t="s">
        <v>267</v>
      </c>
      <c r="B56">
        <v>3.9141920150704862E-4</v>
      </c>
      <c r="C56">
        <v>5.3635994742390882E-3</v>
      </c>
      <c r="D56">
        <v>1.040275578538352E-2</v>
      </c>
      <c r="E56">
        <v>1.0642886469775211E-2</v>
      </c>
      <c r="F56">
        <v>7.8963047247329488E-3</v>
      </c>
      <c r="G56">
        <v>1.2310192158715689E-2</v>
      </c>
      <c r="H56">
        <v>3.6523886681198561E-2</v>
      </c>
      <c r="I56">
        <v>2.3798458231991074E-2</v>
      </c>
      <c r="J56" t="s">
        <v>198</v>
      </c>
      <c r="K56" t="s">
        <v>207</v>
      </c>
      <c r="L56" t="s">
        <v>215</v>
      </c>
      <c r="M56" t="s">
        <v>225</v>
      </c>
    </row>
    <row r="57" spans="1:13" x14ac:dyDescent="0.25">
      <c r="A57" t="s">
        <v>318</v>
      </c>
      <c r="B57">
        <v>0.20986697265830376</v>
      </c>
      <c r="C57">
        <v>0.47559107066606382</v>
      </c>
      <c r="D57">
        <v>0.69623965168725577</v>
      </c>
      <c r="E57">
        <v>2.3798124564614494E-2</v>
      </c>
      <c r="F57">
        <v>0.1429534549927273</v>
      </c>
      <c r="G57">
        <v>0.36544965985346423</v>
      </c>
      <c r="H57">
        <v>0.82850405550155104</v>
      </c>
      <c r="I57">
        <v>0.62168197037020989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J58" t="s">
        <v>198</v>
      </c>
      <c r="K58" t="s">
        <v>202</v>
      </c>
      <c r="L58" t="s">
        <v>216</v>
      </c>
      <c r="M58" t="s">
        <v>225</v>
      </c>
    </row>
    <row r="59" spans="1:13" x14ac:dyDescent="0.25">
      <c r="A59" t="s">
        <v>30</v>
      </c>
      <c r="B59">
        <v>0.24356868217964703</v>
      </c>
      <c r="C59">
        <v>8.3873552481479999E-2</v>
      </c>
      <c r="D59">
        <v>0.84984530123018198</v>
      </c>
      <c r="E59">
        <v>0.77969548980562786</v>
      </c>
      <c r="F59">
        <v>0.3117542799042296</v>
      </c>
      <c r="G59">
        <v>0.15606246190125039</v>
      </c>
      <c r="H59">
        <v>0.19464628039266352</v>
      </c>
      <c r="I59">
        <v>0.50203839553464336</v>
      </c>
      <c r="J59" t="s">
        <v>198</v>
      </c>
      <c r="K59" t="s">
        <v>203</v>
      </c>
      <c r="L59" t="s">
        <v>216</v>
      </c>
      <c r="M59" t="s">
        <v>225</v>
      </c>
    </row>
    <row r="60" spans="1:13" x14ac:dyDescent="0.25">
      <c r="A60" t="s">
        <v>31</v>
      </c>
      <c r="B60">
        <v>2.6428289557248397E-2</v>
      </c>
      <c r="C60">
        <v>0.21309078588887392</v>
      </c>
      <c r="D60">
        <v>0.71202464562562118</v>
      </c>
      <c r="E60">
        <v>0.33245065760964948</v>
      </c>
      <c r="F60">
        <v>0.49725358109731876</v>
      </c>
      <c r="G60">
        <v>6.7952937265996369E-2</v>
      </c>
      <c r="H60">
        <v>0.49237534537304517</v>
      </c>
      <c r="I60">
        <v>0.52467732013853885</v>
      </c>
      <c r="J60" t="s">
        <v>198</v>
      </c>
      <c r="K60" t="s">
        <v>204</v>
      </c>
      <c r="L60" t="s">
        <v>216</v>
      </c>
      <c r="M60" t="s">
        <v>225</v>
      </c>
    </row>
    <row r="61" spans="1:13" x14ac:dyDescent="0.25">
      <c r="A61" t="s">
        <v>319</v>
      </c>
      <c r="B61">
        <v>1.5591638798762578E-5</v>
      </c>
      <c r="C61">
        <v>9.9658672548866262E-5</v>
      </c>
      <c r="D61">
        <v>2.3036925852563945E-3</v>
      </c>
      <c r="E61">
        <v>1.5234697913925467E-3</v>
      </c>
      <c r="F61">
        <v>1.385207243488276E-3</v>
      </c>
      <c r="G61">
        <v>4.3378435171563014E-3</v>
      </c>
      <c r="H61">
        <v>7.0370642276073011E-3</v>
      </c>
      <c r="I61">
        <v>2.665478338873567E-2</v>
      </c>
      <c r="J61" t="s">
        <v>198</v>
      </c>
      <c r="K61" t="s">
        <v>239</v>
      </c>
      <c r="L61" t="s">
        <v>216</v>
      </c>
      <c r="M61" t="s">
        <v>225</v>
      </c>
    </row>
    <row r="62" spans="1:13" x14ac:dyDescent="0.25">
      <c r="A62" t="s">
        <v>320</v>
      </c>
      <c r="B62">
        <v>1.1245719412310754E-23</v>
      </c>
      <c r="C62">
        <v>4.9292048499375489E-13</v>
      </c>
      <c r="D62">
        <v>3.1028542519938023E-11</v>
      </c>
      <c r="E62">
        <v>2.4075981955933124E-9</v>
      </c>
      <c r="F62">
        <v>7.6733845413286024E-9</v>
      </c>
      <c r="G62">
        <v>2.7302961213754191E-8</v>
      </c>
      <c r="H62">
        <v>1.9205027171137099E-7</v>
      </c>
      <c r="I62">
        <v>5.406682179754691E-8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3.5613731906269457E-3</v>
      </c>
      <c r="C63">
        <v>7.6558904355184823E-2</v>
      </c>
      <c r="D63">
        <v>0.31470537558195671</v>
      </c>
      <c r="E63">
        <v>4.4859087368773892E-2</v>
      </c>
      <c r="F63">
        <v>0.23724543631506798</v>
      </c>
      <c r="G63">
        <v>3.4987210299743929E-4</v>
      </c>
      <c r="H63">
        <v>0.17284406502665767</v>
      </c>
      <c r="I63">
        <v>4.544996517888867E-2</v>
      </c>
      <c r="J63" t="s">
        <v>198</v>
      </c>
      <c r="K63" t="s">
        <v>206</v>
      </c>
      <c r="L63" t="s">
        <v>216</v>
      </c>
      <c r="M63" t="s">
        <v>225</v>
      </c>
    </row>
    <row r="64" spans="1:13" x14ac:dyDescent="0.25">
      <c r="A64" t="s">
        <v>268</v>
      </c>
      <c r="B64">
        <v>3.5339079589978361E-5</v>
      </c>
      <c r="C64">
        <v>3.0669196949984832E-3</v>
      </c>
      <c r="D64">
        <v>1.3566143790320147E-2</v>
      </c>
      <c r="E64">
        <v>9.8195771989739757E-3</v>
      </c>
      <c r="F64">
        <v>1.2773919922825297E-2</v>
      </c>
      <c r="G64">
        <v>1.4693976789247823E-2</v>
      </c>
      <c r="H64">
        <v>8.55002848774861E-3</v>
      </c>
      <c r="I64">
        <v>1.1059928559736148E-2</v>
      </c>
      <c r="J64" t="s">
        <v>198</v>
      </c>
      <c r="K64" t="s">
        <v>207</v>
      </c>
      <c r="L64" t="s">
        <v>216</v>
      </c>
      <c r="M64" t="s">
        <v>225</v>
      </c>
    </row>
    <row r="65" spans="1:13" x14ac:dyDescent="0.25">
      <c r="A65" t="s">
        <v>321</v>
      </c>
      <c r="B65">
        <v>0.23576649740736211</v>
      </c>
      <c r="C65">
        <v>3.317924835943023E-2</v>
      </c>
      <c r="D65">
        <v>0.85233075163039551</v>
      </c>
      <c r="E65">
        <v>0.46342075258914145</v>
      </c>
      <c r="F65">
        <v>0.37050264105852726</v>
      </c>
      <c r="G65">
        <v>9.8048117035963181E-2</v>
      </c>
      <c r="H65">
        <v>0.70323794566762676</v>
      </c>
      <c r="I65">
        <v>0.50815441750794199</v>
      </c>
      <c r="J65" t="s">
        <v>198</v>
      </c>
      <c r="K65" t="s">
        <v>233</v>
      </c>
      <c r="L65" t="s">
        <v>216</v>
      </c>
      <c r="M65" t="s">
        <v>225</v>
      </c>
    </row>
    <row r="66" spans="1:13" x14ac:dyDescent="0.25">
      <c r="A66" t="s">
        <v>33</v>
      </c>
      <c r="J66" t="s">
        <v>198</v>
      </c>
      <c r="K66" t="s">
        <v>202</v>
      </c>
      <c r="L66" t="s">
        <v>217</v>
      </c>
      <c r="M66" t="s">
        <v>225</v>
      </c>
    </row>
    <row r="67" spans="1:13" x14ac:dyDescent="0.25">
      <c r="A67" t="s">
        <v>34</v>
      </c>
      <c r="B67">
        <v>0.42984309014727007</v>
      </c>
      <c r="C67">
        <v>0.35073894363993818</v>
      </c>
      <c r="D67">
        <v>0.2265814383461392</v>
      </c>
      <c r="E67">
        <v>0.45445374908004205</v>
      </c>
      <c r="F67">
        <v>0.10686845536851969</v>
      </c>
      <c r="G67">
        <v>0.6277533184028562</v>
      </c>
      <c r="H67">
        <v>0.46533759565546823</v>
      </c>
      <c r="I67">
        <v>0.71834607389233551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0.10178725974075578</v>
      </c>
      <c r="C68">
        <v>5.3946642100903774E-2</v>
      </c>
      <c r="D68">
        <v>7.7918705274081831E-2</v>
      </c>
      <c r="E68">
        <v>0.59585255888231603</v>
      </c>
      <c r="F68">
        <v>3.5747088519313824E-2</v>
      </c>
      <c r="G68">
        <v>7.6030753018856131E-2</v>
      </c>
      <c r="H68">
        <v>0.1754543524863123</v>
      </c>
      <c r="I68">
        <v>0.43504740762764738</v>
      </c>
      <c r="J68" t="s">
        <v>198</v>
      </c>
      <c r="K68" t="s">
        <v>204</v>
      </c>
      <c r="L68" t="s">
        <v>217</v>
      </c>
      <c r="M68" t="s">
        <v>225</v>
      </c>
    </row>
    <row r="69" spans="1:13" x14ac:dyDescent="0.25">
      <c r="A69" t="s">
        <v>322</v>
      </c>
      <c r="B69">
        <v>5.1648481790200268E-3</v>
      </c>
      <c r="C69">
        <v>1.9403622268138151E-3</v>
      </c>
      <c r="D69">
        <v>7.4206666776435891E-3</v>
      </c>
      <c r="E69">
        <v>1.1148339592080183E-3</v>
      </c>
      <c r="F69">
        <v>1.2082512149366907E-3</v>
      </c>
      <c r="G69">
        <v>1.8563068785564273E-3</v>
      </c>
      <c r="H69">
        <v>1.1740487347360079E-3</v>
      </c>
      <c r="I69">
        <v>6.8809464001971981E-3</v>
      </c>
      <c r="J69" t="s">
        <v>198</v>
      </c>
      <c r="K69" t="s">
        <v>239</v>
      </c>
      <c r="L69" t="s">
        <v>217</v>
      </c>
      <c r="M69" t="s">
        <v>225</v>
      </c>
    </row>
    <row r="70" spans="1:13" x14ac:dyDescent="0.25">
      <c r="A70" t="s">
        <v>323</v>
      </c>
      <c r="B70">
        <v>2.5528473315513345E-11</v>
      </c>
      <c r="C70">
        <v>2.9046074546114978E-8</v>
      </c>
      <c r="D70">
        <v>9.8858949581009921E-9</v>
      </c>
      <c r="E70">
        <v>8.1423371535610309E-9</v>
      </c>
      <c r="F70">
        <v>1.5690713327769246E-10</v>
      </c>
      <c r="G70">
        <v>4.1085768233594019E-8</v>
      </c>
      <c r="H70">
        <v>3.5246856091855891E-8</v>
      </c>
      <c r="I70">
        <v>2.0425891652288472E-6</v>
      </c>
      <c r="J70" t="s">
        <v>198</v>
      </c>
      <c r="K70" t="s">
        <v>241</v>
      </c>
      <c r="L70" t="s">
        <v>217</v>
      </c>
      <c r="M70" t="s">
        <v>225</v>
      </c>
    </row>
    <row r="71" spans="1:13" x14ac:dyDescent="0.25">
      <c r="A71" t="s">
        <v>36</v>
      </c>
      <c r="B71">
        <v>0.55875285892657633</v>
      </c>
      <c r="C71">
        <v>0.30267036864877711</v>
      </c>
      <c r="D71">
        <v>0.27733257179078746</v>
      </c>
      <c r="E71">
        <v>0.69331988315446402</v>
      </c>
      <c r="F71">
        <v>0.1388084708203253</v>
      </c>
      <c r="G71">
        <v>8.180596526419049E-3</v>
      </c>
      <c r="H71">
        <v>2.9001770968563777E-2</v>
      </c>
      <c r="I71">
        <v>0.20063725100723248</v>
      </c>
      <c r="J71" t="s">
        <v>198</v>
      </c>
      <c r="K71" t="s">
        <v>206</v>
      </c>
      <c r="L71" t="s">
        <v>217</v>
      </c>
      <c r="M71" t="s">
        <v>225</v>
      </c>
    </row>
    <row r="72" spans="1:13" x14ac:dyDescent="0.25">
      <c r="A72" t="s">
        <v>269</v>
      </c>
      <c r="B72">
        <v>1.7062230455000174E-2</v>
      </c>
      <c r="C72">
        <v>7.8841794096366144E-3</v>
      </c>
      <c r="D72">
        <v>1.7859960900294659E-2</v>
      </c>
      <c r="E72">
        <v>2.9179229368831973E-2</v>
      </c>
      <c r="F72">
        <v>1.6846501001585489E-2</v>
      </c>
      <c r="G72">
        <v>2.3401767349360239E-2</v>
      </c>
      <c r="H72">
        <v>1.2205365531046659E-2</v>
      </c>
      <c r="I72">
        <v>2.0327656212125712E-2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5.8464365221628841E-3</v>
      </c>
      <c r="C73">
        <v>8.3159769794406882E-2</v>
      </c>
      <c r="D73">
        <v>0.10931520067480843</v>
      </c>
      <c r="E73">
        <v>0.13295047302398011</v>
      </c>
      <c r="F73">
        <v>2.5805330469525305E-2</v>
      </c>
      <c r="G73">
        <v>0.1270441377770764</v>
      </c>
      <c r="H73">
        <v>0.22027304287407032</v>
      </c>
      <c r="I73">
        <v>0.33599792694177433</v>
      </c>
      <c r="J73" t="s">
        <v>198</v>
      </c>
      <c r="K73" t="s">
        <v>233</v>
      </c>
      <c r="L73" t="s">
        <v>217</v>
      </c>
      <c r="M73" t="s">
        <v>225</v>
      </c>
    </row>
    <row r="74" spans="1:13" x14ac:dyDescent="0.25">
      <c r="A74" t="s">
        <v>37</v>
      </c>
      <c r="J74" t="s">
        <v>198</v>
      </c>
      <c r="K74" t="s">
        <v>202</v>
      </c>
      <c r="L74" t="s">
        <v>218</v>
      </c>
      <c r="M74" t="s">
        <v>225</v>
      </c>
    </row>
    <row r="75" spans="1:13" x14ac:dyDescent="0.25">
      <c r="A75" t="s">
        <v>38</v>
      </c>
      <c r="B75">
        <v>0.32589761965063269</v>
      </c>
      <c r="C75">
        <v>0.68978692378238093</v>
      </c>
      <c r="D75">
        <v>0.94395085959520642</v>
      </c>
      <c r="E75">
        <v>0.26384493499583628</v>
      </c>
      <c r="F75">
        <v>0.36368145768783333</v>
      </c>
      <c r="G75">
        <v>0.11954284155025621</v>
      </c>
      <c r="H75">
        <v>0.20432597677976039</v>
      </c>
      <c r="I75">
        <v>0.40432923743604432</v>
      </c>
      <c r="J75" t="s">
        <v>198</v>
      </c>
      <c r="K75" t="s">
        <v>203</v>
      </c>
      <c r="L75" t="s">
        <v>218</v>
      </c>
      <c r="M75" t="s">
        <v>225</v>
      </c>
    </row>
    <row r="76" spans="1:13" x14ac:dyDescent="0.25">
      <c r="A76" t="s">
        <v>39</v>
      </c>
      <c r="B76">
        <v>0.88889309031440367</v>
      </c>
      <c r="C76">
        <v>0.49762417201524972</v>
      </c>
      <c r="D76">
        <v>0.98363522849154972</v>
      </c>
      <c r="E76">
        <v>0.25424680084055318</v>
      </c>
      <c r="F76">
        <v>0.28556901883818908</v>
      </c>
      <c r="G76">
        <v>0.17240612209528866</v>
      </c>
      <c r="H76">
        <v>6.4427293657421517E-2</v>
      </c>
      <c r="I76">
        <v>0.38351927264523106</v>
      </c>
      <c r="J76" t="s">
        <v>198</v>
      </c>
      <c r="K76" t="s">
        <v>204</v>
      </c>
      <c r="L76" t="s">
        <v>218</v>
      </c>
      <c r="M76" t="s">
        <v>225</v>
      </c>
    </row>
    <row r="77" spans="1:13" x14ac:dyDescent="0.25">
      <c r="A77" t="s">
        <v>325</v>
      </c>
      <c r="B77">
        <v>0.23695991287253862</v>
      </c>
      <c r="C77">
        <v>0.13624986893966601</v>
      </c>
      <c r="D77">
        <v>0.24262867621385997</v>
      </c>
      <c r="E77">
        <v>5.0788209567290146E-2</v>
      </c>
      <c r="F77">
        <v>0.14248459828800966</v>
      </c>
      <c r="G77">
        <v>7.583929387230208E-2</v>
      </c>
      <c r="H77">
        <v>0.11685041556128442</v>
      </c>
      <c r="I77">
        <v>8.5910005611467735E-2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1.3546590880623439E-3</v>
      </c>
      <c r="C78">
        <v>1.9283516936554654E-2</v>
      </c>
      <c r="D78">
        <v>0.42877888393194036</v>
      </c>
      <c r="E78">
        <v>0.11897209355148966</v>
      </c>
      <c r="F78">
        <v>0.38264319838081623</v>
      </c>
      <c r="G78">
        <v>0.15653352796751302</v>
      </c>
      <c r="H78">
        <v>0.42970286070562713</v>
      </c>
      <c r="I78">
        <v>0.15246855512969906</v>
      </c>
      <c r="J78" t="s">
        <v>198</v>
      </c>
      <c r="K78" t="s">
        <v>241</v>
      </c>
      <c r="L78" t="s">
        <v>218</v>
      </c>
      <c r="M78" t="s">
        <v>225</v>
      </c>
    </row>
    <row r="79" spans="1:13" x14ac:dyDescent="0.25">
      <c r="A79" t="s">
        <v>40</v>
      </c>
      <c r="B79">
        <v>1.5800818252475507E-2</v>
      </c>
      <c r="C79">
        <v>2.9176069101332008E-2</v>
      </c>
      <c r="D79">
        <v>0.34562819856325255</v>
      </c>
      <c r="E79">
        <v>5.2234904571250547E-3</v>
      </c>
      <c r="F79">
        <v>4.5208064826856659E-2</v>
      </c>
      <c r="G79">
        <v>4.6633332597509791E-2</v>
      </c>
      <c r="H79">
        <v>0.20064609815330858</v>
      </c>
      <c r="I79">
        <v>9.8997698085528538E-2</v>
      </c>
      <c r="J79" t="s">
        <v>198</v>
      </c>
      <c r="K79" t="s">
        <v>206</v>
      </c>
      <c r="L79" t="s">
        <v>218</v>
      </c>
      <c r="M79" t="s">
        <v>225</v>
      </c>
    </row>
    <row r="80" spans="1:13" x14ac:dyDescent="0.25">
      <c r="A80" t="s">
        <v>270</v>
      </c>
      <c r="B80">
        <v>0.23712395461687208</v>
      </c>
      <c r="C80">
        <v>0.11344629192319675</v>
      </c>
      <c r="D80">
        <v>0.12360141229572869</v>
      </c>
      <c r="E80">
        <v>9.6250859025167765E-2</v>
      </c>
      <c r="F80">
        <v>0.12210778701624203</v>
      </c>
      <c r="G80">
        <v>0.11294432090598605</v>
      </c>
      <c r="H80">
        <v>0.12448845215048351</v>
      </c>
      <c r="I80">
        <v>8.2967360080144825E-2</v>
      </c>
      <c r="J80" t="s">
        <v>198</v>
      </c>
      <c r="K80" t="s">
        <v>207</v>
      </c>
      <c r="L80" t="s">
        <v>218</v>
      </c>
      <c r="M80" t="s">
        <v>225</v>
      </c>
    </row>
    <row r="81" spans="1:13" x14ac:dyDescent="0.25">
      <c r="A81" t="s">
        <v>327</v>
      </c>
      <c r="B81">
        <v>0.84810684689329463</v>
      </c>
      <c r="C81">
        <v>0.94454106150385153</v>
      </c>
      <c r="D81">
        <v>0.98267315227299823</v>
      </c>
      <c r="E81">
        <v>0.18403564850710596</v>
      </c>
      <c r="F81">
        <v>0.21184963844028329</v>
      </c>
      <c r="G81">
        <v>0.17066065735743291</v>
      </c>
      <c r="H81">
        <v>0.10968946781695679</v>
      </c>
      <c r="I81">
        <v>0.51142084245148045</v>
      </c>
      <c r="J81" t="s">
        <v>198</v>
      </c>
      <c r="K81" t="s">
        <v>233</v>
      </c>
      <c r="L81" t="s">
        <v>218</v>
      </c>
      <c r="M81" t="s">
        <v>225</v>
      </c>
    </row>
    <row r="82" spans="1:13" x14ac:dyDescent="0.25">
      <c r="A82" t="s">
        <v>41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0.91523467557486815</v>
      </c>
      <c r="C83">
        <v>0.57155347103943965</v>
      </c>
      <c r="D83">
        <v>0.7809311877914642</v>
      </c>
      <c r="E83">
        <v>0.75275394104918392</v>
      </c>
      <c r="F83">
        <v>0.88574329525319007</v>
      </c>
      <c r="G83">
        <v>0.67718623909719233</v>
      </c>
      <c r="H83">
        <v>0.83744333395638748</v>
      </c>
      <c r="I83">
        <v>0.20187841618935587</v>
      </c>
      <c r="J83" t="s">
        <v>198</v>
      </c>
      <c r="K83" t="s">
        <v>203</v>
      </c>
      <c r="L83" t="s">
        <v>219</v>
      </c>
      <c r="M83" t="s">
        <v>225</v>
      </c>
    </row>
    <row r="84" spans="1:13" x14ac:dyDescent="0.25">
      <c r="A84" t="s">
        <v>43</v>
      </c>
      <c r="B84">
        <v>0.88498205009516506</v>
      </c>
      <c r="C84">
        <v>0.80124217978941581</v>
      </c>
      <c r="D84">
        <v>0.97721706642929873</v>
      </c>
      <c r="E84">
        <v>0.5087881711921054</v>
      </c>
      <c r="F84">
        <v>0.72803021011836788</v>
      </c>
      <c r="G84">
        <v>0.72662624147829002</v>
      </c>
      <c r="H84">
        <v>0.41472899168422572</v>
      </c>
      <c r="I84">
        <v>0.23496546875272947</v>
      </c>
      <c r="J84" t="s">
        <v>198</v>
      </c>
      <c r="K84" t="s">
        <v>204</v>
      </c>
      <c r="L84" t="s">
        <v>219</v>
      </c>
      <c r="M84" t="s">
        <v>225</v>
      </c>
    </row>
    <row r="85" spans="1:13" x14ac:dyDescent="0.25">
      <c r="A85" t="s">
        <v>328</v>
      </c>
      <c r="B85">
        <v>0.65468958959587753</v>
      </c>
      <c r="C85">
        <v>0.25151945773221296</v>
      </c>
      <c r="D85">
        <v>9.7116323486153969E-2</v>
      </c>
      <c r="E85">
        <v>4.8722793480725935E-3</v>
      </c>
      <c r="F85">
        <v>1.8184925442875508E-2</v>
      </c>
      <c r="G85">
        <v>7.8464172463582449E-2</v>
      </c>
      <c r="H85">
        <v>1.6595186011706002E-2</v>
      </c>
      <c r="I85">
        <v>3.269409910147666E-3</v>
      </c>
      <c r="J85" t="s">
        <v>198</v>
      </c>
      <c r="K85" t="s">
        <v>239</v>
      </c>
      <c r="L85" t="s">
        <v>219</v>
      </c>
      <c r="M85" t="s">
        <v>225</v>
      </c>
    </row>
    <row r="86" spans="1:13" x14ac:dyDescent="0.25">
      <c r="A86" t="s">
        <v>329</v>
      </c>
      <c r="B86">
        <v>0.5126128022677463</v>
      </c>
      <c r="C86">
        <v>0.68956994336322008</v>
      </c>
      <c r="D86">
        <v>0.88621935245380912</v>
      </c>
      <c r="E86">
        <v>0.73544942978999106</v>
      </c>
      <c r="F86">
        <v>0.82809896371473135</v>
      </c>
      <c r="G86">
        <v>0.91184770806087867</v>
      </c>
      <c r="H86">
        <v>0.565075928376228</v>
      </c>
      <c r="I86">
        <v>0.24175031111225592</v>
      </c>
      <c r="J86" t="s">
        <v>198</v>
      </c>
      <c r="K86" t="s">
        <v>241</v>
      </c>
      <c r="L86" t="s">
        <v>219</v>
      </c>
      <c r="M86" t="s">
        <v>225</v>
      </c>
    </row>
    <row r="87" spans="1:13" x14ac:dyDescent="0.25">
      <c r="A87" t="s">
        <v>44</v>
      </c>
      <c r="B87">
        <v>0.35673657757085803</v>
      </c>
      <c r="C87">
        <v>0.72488235311627358</v>
      </c>
      <c r="D87">
        <v>0.84640023334694425</v>
      </c>
      <c r="E87">
        <v>0.93606470426470723</v>
      </c>
      <c r="F87">
        <v>0.78892979166731059</v>
      </c>
      <c r="G87">
        <v>0.91707328221259865</v>
      </c>
      <c r="H87">
        <v>0.48986011761915854</v>
      </c>
      <c r="I87">
        <v>8.3948361260727467E-2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0.33334768824102251</v>
      </c>
      <c r="C88">
        <v>8.4797323346571349E-2</v>
      </c>
      <c r="D88">
        <v>8.7738768691802568E-2</v>
      </c>
      <c r="E88">
        <v>8.809702406021315E-2</v>
      </c>
      <c r="F88">
        <v>9.810643842221671E-2</v>
      </c>
      <c r="G88">
        <v>0.1119062511669527</v>
      </c>
      <c r="H88">
        <v>9.9361360186431685E-2</v>
      </c>
      <c r="I88">
        <v>6.2455890479439682E-2</v>
      </c>
      <c r="J88" t="s">
        <v>198</v>
      </c>
      <c r="K88" t="s">
        <v>207</v>
      </c>
      <c r="L88" t="s">
        <v>219</v>
      </c>
      <c r="M88" t="s">
        <v>225</v>
      </c>
    </row>
    <row r="89" spans="1:13" x14ac:dyDescent="0.25">
      <c r="A89" t="s">
        <v>330</v>
      </c>
      <c r="B89">
        <v>0.9072595145047625</v>
      </c>
      <c r="C89">
        <v>0.71130177818219875</v>
      </c>
      <c r="D89">
        <v>0.96060138429561315</v>
      </c>
      <c r="E89">
        <v>0.8036992960038235</v>
      </c>
      <c r="F89">
        <v>0.97913770773045816</v>
      </c>
      <c r="G89">
        <v>0.74956342871032777</v>
      </c>
      <c r="H89">
        <v>0.62645915960336396</v>
      </c>
      <c r="I89">
        <v>0.77356627188947424</v>
      </c>
      <c r="J89" t="s">
        <v>198</v>
      </c>
      <c r="K89" t="s">
        <v>233</v>
      </c>
      <c r="L89" t="s">
        <v>219</v>
      </c>
      <c r="M89" t="s">
        <v>225</v>
      </c>
    </row>
    <row r="90" spans="1:13" x14ac:dyDescent="0.25">
      <c r="A90" t="s">
        <v>45</v>
      </c>
      <c r="J90" t="s">
        <v>198</v>
      </c>
      <c r="K90" t="s">
        <v>202</v>
      </c>
      <c r="L90" t="s">
        <v>220</v>
      </c>
      <c r="M90" t="s">
        <v>225</v>
      </c>
    </row>
    <row r="91" spans="1:13" x14ac:dyDescent="0.25">
      <c r="A91" t="s">
        <v>46</v>
      </c>
      <c r="B91">
        <v>0.82734577308641288</v>
      </c>
      <c r="C91">
        <v>0.74909384596225725</v>
      </c>
      <c r="D91">
        <v>0.41769883643763306</v>
      </c>
      <c r="E91">
        <v>0.99150868209542753</v>
      </c>
      <c r="F91">
        <v>0.25652099493313546</v>
      </c>
      <c r="G91">
        <v>0.33764326975139403</v>
      </c>
      <c r="H91">
        <v>0.62649384347003922</v>
      </c>
      <c r="I91">
        <v>0.44711606536545795</v>
      </c>
      <c r="J91" t="s">
        <v>198</v>
      </c>
      <c r="K91" t="s">
        <v>203</v>
      </c>
      <c r="L91" t="s">
        <v>220</v>
      </c>
      <c r="M91" t="s">
        <v>225</v>
      </c>
    </row>
    <row r="92" spans="1:13" x14ac:dyDescent="0.25">
      <c r="A92" t="s">
        <v>47</v>
      </c>
      <c r="B92">
        <v>0.69522604453582892</v>
      </c>
      <c r="C92">
        <v>0.83986566992035117</v>
      </c>
      <c r="D92">
        <v>8.7879157182499015E-2</v>
      </c>
      <c r="E92">
        <v>0.75887203004204851</v>
      </c>
      <c r="F92">
        <v>0.15928774351449845</v>
      </c>
      <c r="G92">
        <v>0.1142352967818752</v>
      </c>
      <c r="H92">
        <v>0.15726273452693301</v>
      </c>
      <c r="I92">
        <v>6.9108868245891741E-2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6.3626001413697231E-2</v>
      </c>
      <c r="C93">
        <v>1.7107397442175133E-2</v>
      </c>
      <c r="D93">
        <v>4.3556738177449091E-3</v>
      </c>
      <c r="E93">
        <v>1.6897090071981706E-3</v>
      </c>
      <c r="F93">
        <v>5.0156005739368723E-3</v>
      </c>
      <c r="G93">
        <v>1.0288506342019457E-2</v>
      </c>
      <c r="H93">
        <v>4.8960435634283155E-5</v>
      </c>
      <c r="I93">
        <v>2.6237412453423081E-4</v>
      </c>
      <c r="J93" t="s">
        <v>198</v>
      </c>
      <c r="K93" t="s">
        <v>239</v>
      </c>
      <c r="L93" t="s">
        <v>220</v>
      </c>
      <c r="M93" t="s">
        <v>225</v>
      </c>
    </row>
    <row r="94" spans="1:13" x14ac:dyDescent="0.25">
      <c r="A94" t="s">
        <v>332</v>
      </c>
      <c r="B94">
        <v>3.5345348363314681E-6</v>
      </c>
      <c r="C94">
        <v>2.0827623428415721E-3</v>
      </c>
      <c r="D94">
        <v>3.0919408321395187E-2</v>
      </c>
      <c r="E94">
        <v>0.54075170518859261</v>
      </c>
      <c r="F94">
        <v>1.1491456172290932E-2</v>
      </c>
      <c r="G94">
        <v>1.2441724474811212E-3</v>
      </c>
      <c r="H94">
        <v>7.0926277974509141E-3</v>
      </c>
      <c r="I94">
        <v>6.4239344049953195E-3</v>
      </c>
      <c r="J94" t="s">
        <v>198</v>
      </c>
      <c r="K94" t="s">
        <v>241</v>
      </c>
      <c r="L94" t="s">
        <v>220</v>
      </c>
      <c r="M94" t="s">
        <v>225</v>
      </c>
    </row>
    <row r="95" spans="1:13" x14ac:dyDescent="0.25">
      <c r="A95" t="s">
        <v>48</v>
      </c>
      <c r="B95">
        <v>1.0538736801181487E-3</v>
      </c>
      <c r="C95">
        <v>4.714790018248166E-3</v>
      </c>
      <c r="D95">
        <v>1.2094944474310931E-4</v>
      </c>
      <c r="E95">
        <v>9.0497094255663196E-3</v>
      </c>
      <c r="F95">
        <v>1.2753978703065175E-4</v>
      </c>
      <c r="G95">
        <v>2.0461121859465919E-4</v>
      </c>
      <c r="H95">
        <v>1.7391062056436298E-6</v>
      </c>
      <c r="I95">
        <v>1.2290253043893538E-6</v>
      </c>
      <c r="J95" t="s">
        <v>198</v>
      </c>
      <c r="K95" t="s">
        <v>206</v>
      </c>
      <c r="L95" t="s">
        <v>220</v>
      </c>
      <c r="M95" t="s">
        <v>225</v>
      </c>
    </row>
    <row r="96" spans="1:13" x14ac:dyDescent="0.25">
      <c r="A96" t="s">
        <v>272</v>
      </c>
      <c r="B96">
        <v>7.4928394720397473E-2</v>
      </c>
      <c r="C96">
        <v>7.8532903959925557E-2</v>
      </c>
      <c r="D96">
        <v>7.8299584389155366E-2</v>
      </c>
      <c r="E96">
        <v>9.4700402532207517E-2</v>
      </c>
      <c r="F96">
        <v>0.10179505889514789</v>
      </c>
      <c r="G96">
        <v>9.9229911716503763E-2</v>
      </c>
      <c r="H96">
        <v>8.8466675990877958E-2</v>
      </c>
      <c r="I96">
        <v>8.9305573826647972E-2</v>
      </c>
      <c r="J96" t="s">
        <v>198</v>
      </c>
      <c r="K96" t="s">
        <v>207</v>
      </c>
      <c r="L96" t="s">
        <v>220</v>
      </c>
      <c r="M96" t="s">
        <v>225</v>
      </c>
    </row>
    <row r="97" spans="1:13" x14ac:dyDescent="0.25">
      <c r="A97" t="s">
        <v>333</v>
      </c>
      <c r="B97">
        <v>0.45448716291957364</v>
      </c>
      <c r="C97">
        <v>0.29473692169721705</v>
      </c>
      <c r="D97">
        <v>3.994402166565496E-3</v>
      </c>
      <c r="E97">
        <v>0.58641818641741916</v>
      </c>
      <c r="F97">
        <v>0.17058716347702946</v>
      </c>
      <c r="G97">
        <v>4.460519635148953E-3</v>
      </c>
      <c r="H97">
        <v>1.1349477724669394E-2</v>
      </c>
      <c r="I97">
        <v>0.22624095385632237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J98" t="s">
        <v>198</v>
      </c>
      <c r="K98" t="s">
        <v>202</v>
      </c>
      <c r="L98" t="s">
        <v>221</v>
      </c>
      <c r="M98" t="s">
        <v>225</v>
      </c>
    </row>
    <row r="99" spans="1:13" x14ac:dyDescent="0.25">
      <c r="A99" t="s">
        <v>50</v>
      </c>
      <c r="B99">
        <v>0.46918724781069782</v>
      </c>
      <c r="C99">
        <v>0.79833942643609723</v>
      </c>
      <c r="D99">
        <v>0.22848550664736877</v>
      </c>
      <c r="E99">
        <v>0.60922644662912417</v>
      </c>
      <c r="F99">
        <v>4.7378381194395289E-2</v>
      </c>
      <c r="G99">
        <v>0.65443620645241163</v>
      </c>
      <c r="H99">
        <v>0.88640540216508978</v>
      </c>
      <c r="I99">
        <v>1.4675354704359012E-2</v>
      </c>
      <c r="J99" t="s">
        <v>198</v>
      </c>
      <c r="K99" t="s">
        <v>203</v>
      </c>
      <c r="L99" t="s">
        <v>221</v>
      </c>
      <c r="M99" t="s">
        <v>225</v>
      </c>
    </row>
    <row r="100" spans="1:13" x14ac:dyDescent="0.25">
      <c r="A100" t="s">
        <v>51</v>
      </c>
      <c r="B100">
        <v>0.35532572751824215</v>
      </c>
      <c r="C100">
        <v>0.95617195689996626</v>
      </c>
      <c r="D100">
        <v>9.7539235458348625E-2</v>
      </c>
      <c r="E100">
        <v>0.59625139648317516</v>
      </c>
      <c r="F100">
        <v>0.78586798792974477</v>
      </c>
      <c r="G100">
        <v>0.55600150214167532</v>
      </c>
      <c r="H100">
        <v>0.92111386028124742</v>
      </c>
      <c r="I100">
        <v>0.49319872315919627</v>
      </c>
      <c r="J100" t="s">
        <v>198</v>
      </c>
      <c r="K100" t="s">
        <v>204</v>
      </c>
      <c r="L100" t="s">
        <v>221</v>
      </c>
      <c r="M100" t="s">
        <v>225</v>
      </c>
    </row>
    <row r="101" spans="1:13" x14ac:dyDescent="0.25">
      <c r="A101" t="s">
        <v>334</v>
      </c>
      <c r="B101">
        <v>0.48154257372194242</v>
      </c>
      <c r="C101">
        <v>0.1326572977151784</v>
      </c>
      <c r="D101">
        <v>4.5316097843853521E-2</v>
      </c>
      <c r="E101">
        <v>7.3507611108150378E-2</v>
      </c>
      <c r="F101">
        <v>3.8931913948546851E-2</v>
      </c>
      <c r="G101">
        <v>4.8972291863753181E-2</v>
      </c>
      <c r="H101">
        <v>4.2704199496399614E-2</v>
      </c>
      <c r="I101">
        <v>3.3160312453420396E-2</v>
      </c>
      <c r="J101" t="s">
        <v>198</v>
      </c>
      <c r="K101" t="s">
        <v>239</v>
      </c>
      <c r="L101" t="s">
        <v>221</v>
      </c>
      <c r="M101" t="s">
        <v>225</v>
      </c>
    </row>
    <row r="102" spans="1:13" x14ac:dyDescent="0.25">
      <c r="A102" t="s">
        <v>335</v>
      </c>
      <c r="B102">
        <v>0.58341027580793792</v>
      </c>
      <c r="C102">
        <v>0.46331376573824762</v>
      </c>
      <c r="D102">
        <v>0.3264894103895829</v>
      </c>
      <c r="E102">
        <v>2.6169522538570474E-2</v>
      </c>
      <c r="F102">
        <v>0.53768844609538269</v>
      </c>
      <c r="G102">
        <v>0.80327399608583772</v>
      </c>
      <c r="H102">
        <v>0.60868733225269134</v>
      </c>
      <c r="I102">
        <v>0.20850352104437667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0.33741228844707899</v>
      </c>
      <c r="C103">
        <v>0.73355518424657951</v>
      </c>
      <c r="D103">
        <v>0.16801020241331879</v>
      </c>
      <c r="E103">
        <v>0.49187857566429688</v>
      </c>
      <c r="F103">
        <v>1.5179706369432179E-2</v>
      </c>
      <c r="G103">
        <v>0.53437439148470611</v>
      </c>
      <c r="H103">
        <v>0.64025802144672994</v>
      </c>
      <c r="I103">
        <v>0.37701417304037388</v>
      </c>
      <c r="J103" t="s">
        <v>198</v>
      </c>
      <c r="K103" t="s">
        <v>206</v>
      </c>
      <c r="L103" t="s">
        <v>221</v>
      </c>
      <c r="M103" t="s">
        <v>225</v>
      </c>
    </row>
    <row r="104" spans="1:13" x14ac:dyDescent="0.25">
      <c r="A104" t="s">
        <v>273</v>
      </c>
      <c r="B104">
        <v>0.37910750877567079</v>
      </c>
      <c r="C104">
        <v>0.10008297204669087</v>
      </c>
      <c r="D104">
        <v>0.11734576976398214</v>
      </c>
      <c r="E104">
        <v>0.10794107026676947</v>
      </c>
      <c r="F104">
        <v>5.7731458390277324E-2</v>
      </c>
      <c r="G104">
        <v>8.4277655215193814E-2</v>
      </c>
      <c r="H104">
        <v>0.10474096111975556</v>
      </c>
      <c r="I104">
        <v>8.055113155859886E-2</v>
      </c>
      <c r="J104" t="s">
        <v>198</v>
      </c>
      <c r="K104" t="s">
        <v>207</v>
      </c>
      <c r="L104" t="s">
        <v>221</v>
      </c>
      <c r="M104" t="s">
        <v>225</v>
      </c>
    </row>
    <row r="105" spans="1:13" x14ac:dyDescent="0.25">
      <c r="A105" t="s">
        <v>336</v>
      </c>
      <c r="B105">
        <v>0.40373462115381287</v>
      </c>
      <c r="C105">
        <v>0.33510233881346724</v>
      </c>
      <c r="D105">
        <v>0.78379424302537881</v>
      </c>
      <c r="E105">
        <v>0.75811675366589348</v>
      </c>
      <c r="F105">
        <v>0.49293712621117108</v>
      </c>
      <c r="G105">
        <v>0.50355727256188787</v>
      </c>
      <c r="H105">
        <v>0.9474693047257865</v>
      </c>
      <c r="I105">
        <v>5.7262024141041826E-2</v>
      </c>
      <c r="J105" t="s">
        <v>198</v>
      </c>
      <c r="K105" t="s">
        <v>233</v>
      </c>
      <c r="L105" t="s">
        <v>221</v>
      </c>
      <c r="M105" t="s">
        <v>225</v>
      </c>
    </row>
    <row r="106" spans="1:13" x14ac:dyDescent="0.25">
      <c r="A106" t="s">
        <v>53</v>
      </c>
      <c r="J106" t="s">
        <v>198</v>
      </c>
      <c r="K106" t="s">
        <v>202</v>
      </c>
      <c r="L106" t="s">
        <v>222</v>
      </c>
      <c r="M106" t="s">
        <v>225</v>
      </c>
    </row>
    <row r="107" spans="1:13" x14ac:dyDescent="0.25">
      <c r="A107" t="s">
        <v>54</v>
      </c>
      <c r="B107">
        <v>0.31300805458521563</v>
      </c>
      <c r="C107">
        <v>0.43833537982908194</v>
      </c>
      <c r="D107">
        <v>0.74877106168373531</v>
      </c>
      <c r="E107">
        <v>0.98405741623741594</v>
      </c>
      <c r="F107">
        <v>0.6168643680342758</v>
      </c>
      <c r="G107">
        <v>0.2911668484212297</v>
      </c>
      <c r="H107">
        <v>0.91901993702353435</v>
      </c>
      <c r="I107">
        <v>0.94755811195919382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0.41114273570746934</v>
      </c>
      <c r="C108">
        <v>0.12599468063796276</v>
      </c>
      <c r="D108">
        <v>0.5480172088533144</v>
      </c>
      <c r="E108">
        <v>0.79214349826643771</v>
      </c>
      <c r="F108">
        <v>0.50855668402701215</v>
      </c>
      <c r="G108">
        <v>0.57410870974272432</v>
      </c>
      <c r="H108">
        <v>0.79016513849197589</v>
      </c>
      <c r="I108">
        <v>0.99665646490779958</v>
      </c>
      <c r="J108" t="s">
        <v>198</v>
      </c>
      <c r="K108" t="s">
        <v>204</v>
      </c>
      <c r="L108" t="s">
        <v>222</v>
      </c>
      <c r="M108" t="s">
        <v>225</v>
      </c>
    </row>
    <row r="109" spans="1:13" x14ac:dyDescent="0.25">
      <c r="A109" t="s">
        <v>337</v>
      </c>
      <c r="B109">
        <v>0.27189998241538105</v>
      </c>
      <c r="C109">
        <v>0.14931282252806333</v>
      </c>
      <c r="D109">
        <v>0.19967470671303864</v>
      </c>
      <c r="E109">
        <v>0.14983345799198153</v>
      </c>
      <c r="F109">
        <v>0.23031338001282448</v>
      </c>
      <c r="G109">
        <v>0.10727357075318522</v>
      </c>
      <c r="H109">
        <v>6.394758204157458E-2</v>
      </c>
      <c r="I109">
        <v>0.43648287230464</v>
      </c>
      <c r="J109" t="s">
        <v>198</v>
      </c>
      <c r="K109" t="s">
        <v>239</v>
      </c>
      <c r="L109" t="s">
        <v>222</v>
      </c>
      <c r="M109" t="s">
        <v>225</v>
      </c>
    </row>
    <row r="110" spans="1:13" x14ac:dyDescent="0.25">
      <c r="A110" t="s">
        <v>338</v>
      </c>
      <c r="B110">
        <v>2.1230852415180025E-3</v>
      </c>
      <c r="C110">
        <v>1.4899114204840889E-2</v>
      </c>
      <c r="D110">
        <v>6.9775083714840114E-3</v>
      </c>
      <c r="E110">
        <v>8.654409217393542E-4</v>
      </c>
      <c r="F110">
        <v>1.6761142365128321E-3</v>
      </c>
      <c r="G110">
        <v>1.0571448703737493E-3</v>
      </c>
      <c r="H110">
        <v>7.3397294330428836E-4</v>
      </c>
      <c r="I110">
        <v>2.7959424179175584E-2</v>
      </c>
      <c r="J110" t="s">
        <v>198</v>
      </c>
      <c r="K110" t="s">
        <v>241</v>
      </c>
      <c r="L110" t="s">
        <v>222</v>
      </c>
      <c r="M110" t="s">
        <v>225</v>
      </c>
    </row>
    <row r="111" spans="1:13" x14ac:dyDescent="0.25">
      <c r="A111" t="s">
        <v>56</v>
      </c>
      <c r="B111">
        <v>0.63098801325966902</v>
      </c>
      <c r="C111">
        <v>8.3036610352275525E-2</v>
      </c>
      <c r="D111">
        <v>0.13594219658262874</v>
      </c>
      <c r="E111">
        <v>0.93980446349784064</v>
      </c>
      <c r="F111">
        <v>0.94826411757089968</v>
      </c>
      <c r="G111">
        <v>6.7316523090639527E-2</v>
      </c>
      <c r="H111">
        <v>0.78146166616978119</v>
      </c>
      <c r="I111">
        <v>0.84357390640666896</v>
      </c>
      <c r="J111" t="s">
        <v>198</v>
      </c>
      <c r="K111" t="s">
        <v>206</v>
      </c>
      <c r="L111" t="s">
        <v>222</v>
      </c>
      <c r="M111" t="s">
        <v>225</v>
      </c>
    </row>
    <row r="112" spans="1:13" x14ac:dyDescent="0.25">
      <c r="A112" t="s">
        <v>274</v>
      </c>
      <c r="B112">
        <v>0.39912608116302967</v>
      </c>
      <c r="C112">
        <v>0.11721631458975237</v>
      </c>
      <c r="D112">
        <v>0.13138787193236887</v>
      </c>
      <c r="E112">
        <v>0.1359555611100994</v>
      </c>
      <c r="F112">
        <v>0.12644947129980189</v>
      </c>
      <c r="G112">
        <v>7.6804636028685078E-2</v>
      </c>
      <c r="H112">
        <v>6.4555935712425155E-2</v>
      </c>
      <c r="I112">
        <v>0.14595944178230841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0.58802535426737557</v>
      </c>
      <c r="C113">
        <v>5.6291122731654639E-2</v>
      </c>
      <c r="D113">
        <v>0.73805219040550618</v>
      </c>
      <c r="E113">
        <v>0.66933796608132246</v>
      </c>
      <c r="F113">
        <v>0.92733035543927023</v>
      </c>
      <c r="G113">
        <v>6.242621185583376E-2</v>
      </c>
      <c r="H113">
        <v>0.71689166816785588</v>
      </c>
      <c r="I113">
        <v>0.9887340888690801</v>
      </c>
      <c r="J113" t="s">
        <v>198</v>
      </c>
      <c r="K113" t="s">
        <v>233</v>
      </c>
      <c r="L113" t="s">
        <v>222</v>
      </c>
      <c r="M113" t="s">
        <v>225</v>
      </c>
    </row>
    <row r="114" spans="1:13" x14ac:dyDescent="0.25">
      <c r="A114" t="s">
        <v>57</v>
      </c>
      <c r="J114" t="s">
        <v>198</v>
      </c>
      <c r="K114" t="s">
        <v>202</v>
      </c>
      <c r="L114" t="s">
        <v>223</v>
      </c>
      <c r="M114" t="s">
        <v>225</v>
      </c>
    </row>
    <row r="115" spans="1:13" x14ac:dyDescent="0.25">
      <c r="A115" t="s">
        <v>58</v>
      </c>
      <c r="B115">
        <v>8.4110146055622739E-2</v>
      </c>
      <c r="C115">
        <v>7.9098511358630538E-2</v>
      </c>
      <c r="D115">
        <v>0.56587621419540279</v>
      </c>
      <c r="E115">
        <v>0.26948788255553463</v>
      </c>
      <c r="F115">
        <v>0.91722177197518229</v>
      </c>
      <c r="G115">
        <v>0.67117922641481553</v>
      </c>
      <c r="H115">
        <v>0.80803637263136652</v>
      </c>
      <c r="I115">
        <v>0.54084022319767155</v>
      </c>
      <c r="J115" t="s">
        <v>198</v>
      </c>
      <c r="K115" t="s">
        <v>203</v>
      </c>
      <c r="L115" t="s">
        <v>223</v>
      </c>
      <c r="M115" t="s">
        <v>225</v>
      </c>
    </row>
    <row r="116" spans="1:13" x14ac:dyDescent="0.25">
      <c r="A116" t="s">
        <v>59</v>
      </c>
      <c r="B116">
        <v>0.30815838536929374</v>
      </c>
      <c r="C116">
        <v>8.1740608364662029E-2</v>
      </c>
      <c r="D116">
        <v>0.60682557002884885</v>
      </c>
      <c r="E116">
        <v>0.18611874107571746</v>
      </c>
      <c r="F116">
        <v>0.91673004214170573</v>
      </c>
      <c r="G116">
        <v>0.3485112277508467</v>
      </c>
      <c r="H116">
        <v>0.46484565365214781</v>
      </c>
      <c r="I116">
        <v>0.26432287233745122</v>
      </c>
      <c r="J116" t="s">
        <v>198</v>
      </c>
      <c r="K116" t="s">
        <v>204</v>
      </c>
      <c r="L116" t="s">
        <v>223</v>
      </c>
      <c r="M116" t="s">
        <v>225</v>
      </c>
    </row>
    <row r="117" spans="1:13" x14ac:dyDescent="0.25">
      <c r="A117" t="s">
        <v>340</v>
      </c>
      <c r="B117">
        <v>0.16246682763265888</v>
      </c>
      <c r="C117">
        <v>8.4164911469128009E-2</v>
      </c>
      <c r="D117">
        <v>6.8960995056316556E-3</v>
      </c>
      <c r="E117">
        <v>4.0933073245040211E-2</v>
      </c>
      <c r="F117">
        <v>7.3763775276447438E-2</v>
      </c>
      <c r="G117">
        <v>3.4827509942132476E-2</v>
      </c>
      <c r="H117">
        <v>1.891181133970914E-2</v>
      </c>
      <c r="I117">
        <v>1.2763600363309865E-2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6.7340769596429692E-2</v>
      </c>
      <c r="C118">
        <v>3.7685267427030107E-2</v>
      </c>
      <c r="D118">
        <v>0.55452541632824348</v>
      </c>
      <c r="E118">
        <v>0.11252647277519041</v>
      </c>
      <c r="F118">
        <v>0.94651711472062106</v>
      </c>
      <c r="G118">
        <v>0.38726268914697937</v>
      </c>
      <c r="H118">
        <v>0.94278934183718821</v>
      </c>
      <c r="I118">
        <v>3.9977057588914726E-2</v>
      </c>
      <c r="J118" t="s">
        <v>198</v>
      </c>
      <c r="K118" t="s">
        <v>241</v>
      </c>
      <c r="L118" t="s">
        <v>223</v>
      </c>
      <c r="M118" t="s">
        <v>225</v>
      </c>
    </row>
    <row r="119" spans="1:13" x14ac:dyDescent="0.25">
      <c r="A119" t="s">
        <v>60</v>
      </c>
      <c r="B119">
        <v>8.1577515759358144E-4</v>
      </c>
      <c r="C119">
        <v>5.9594395562046626E-2</v>
      </c>
      <c r="D119">
        <v>0.11231019525967623</v>
      </c>
      <c r="E119">
        <v>3.1292335717453865E-2</v>
      </c>
      <c r="F119">
        <v>0.40582114914217232</v>
      </c>
      <c r="G119">
        <v>0.10848100956544381</v>
      </c>
      <c r="H119">
        <v>8.1151606550971228E-2</v>
      </c>
      <c r="I119">
        <v>5.1355413762704617E-2</v>
      </c>
      <c r="J119" t="s">
        <v>198</v>
      </c>
      <c r="K119" t="s">
        <v>206</v>
      </c>
      <c r="L119" t="s">
        <v>223</v>
      </c>
      <c r="M119" t="s">
        <v>225</v>
      </c>
    </row>
    <row r="120" spans="1:13" x14ac:dyDescent="0.25">
      <c r="A120" t="s">
        <v>275</v>
      </c>
      <c r="B120">
        <v>4.8602534063162943E-2</v>
      </c>
      <c r="C120">
        <v>0.10107535076955206</v>
      </c>
      <c r="D120">
        <v>9.1453650697617336E-2</v>
      </c>
      <c r="E120">
        <v>8.0147961389599356E-2</v>
      </c>
      <c r="F120">
        <v>0.10715326758419007</v>
      </c>
      <c r="G120">
        <v>0.10874530399313144</v>
      </c>
      <c r="H120">
        <v>7.4116836907810235E-2</v>
      </c>
      <c r="I120">
        <v>5.4352340389222917E-2</v>
      </c>
      <c r="J120" t="s">
        <v>198</v>
      </c>
      <c r="K120" t="s">
        <v>207</v>
      </c>
      <c r="L120" t="s">
        <v>223</v>
      </c>
      <c r="M120" t="s">
        <v>225</v>
      </c>
    </row>
    <row r="121" spans="1:13" x14ac:dyDescent="0.25">
      <c r="A121" t="s">
        <v>342</v>
      </c>
      <c r="B121">
        <v>0.25942927195471394</v>
      </c>
      <c r="C121">
        <v>0.1296433978988476</v>
      </c>
      <c r="D121">
        <v>0.17462915487139608</v>
      </c>
      <c r="E121">
        <v>0.13619672581933906</v>
      </c>
      <c r="F121">
        <v>0.5338454317166148</v>
      </c>
      <c r="G121">
        <v>9.2302673945078698E-2</v>
      </c>
      <c r="H121">
        <v>0.75726058831930765</v>
      </c>
      <c r="I121">
        <v>0.19339242080384308</v>
      </c>
      <c r="J121" t="s">
        <v>198</v>
      </c>
      <c r="K121" t="s">
        <v>233</v>
      </c>
      <c r="L121" t="s">
        <v>223</v>
      </c>
      <c r="M121" t="s">
        <v>225</v>
      </c>
    </row>
    <row r="122" spans="1:13" x14ac:dyDescent="0.25">
      <c r="A122" t="s">
        <v>61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5.5129833258568336E-3</v>
      </c>
      <c r="C123">
        <v>0.23468892082214357</v>
      </c>
      <c r="D123">
        <v>0.48549591751664473</v>
      </c>
      <c r="E123">
        <v>0.87256014252049852</v>
      </c>
      <c r="F123">
        <v>0.6062620835854261</v>
      </c>
      <c r="G123">
        <v>0.93825670733719879</v>
      </c>
      <c r="H123">
        <v>0.9824761155776649</v>
      </c>
      <c r="I123">
        <v>0.92796253325153244</v>
      </c>
      <c r="J123" t="s">
        <v>199</v>
      </c>
      <c r="K123" t="s">
        <v>203</v>
      </c>
      <c r="L123" t="s">
        <v>209</v>
      </c>
      <c r="M123" t="s">
        <v>225</v>
      </c>
    </row>
    <row r="124" spans="1:13" x14ac:dyDescent="0.25">
      <c r="A124" t="s">
        <v>63</v>
      </c>
      <c r="B124">
        <v>3.0998012844229584E-2</v>
      </c>
      <c r="C124">
        <v>0.1485210806471427</v>
      </c>
      <c r="D124">
        <v>0.44422095787358251</v>
      </c>
      <c r="E124">
        <v>0.20145272733479963</v>
      </c>
      <c r="F124">
        <v>0.36063895134409008</v>
      </c>
      <c r="G124">
        <v>0.89184201453228851</v>
      </c>
      <c r="H124">
        <v>0.89458990275961192</v>
      </c>
      <c r="I124">
        <v>0.86121592523473489</v>
      </c>
      <c r="J124" t="s">
        <v>199</v>
      </c>
      <c r="K124" t="s">
        <v>204</v>
      </c>
      <c r="L124" t="s">
        <v>209</v>
      </c>
      <c r="M124" t="s">
        <v>225</v>
      </c>
    </row>
    <row r="125" spans="1:13" x14ac:dyDescent="0.25">
      <c r="A125" t="s">
        <v>343</v>
      </c>
      <c r="B125">
        <v>3.1069544336311769E-3</v>
      </c>
      <c r="C125">
        <v>0.11624984889483317</v>
      </c>
      <c r="D125">
        <v>1.9217869332645816E-2</v>
      </c>
      <c r="E125">
        <v>1.0648004101760979E-2</v>
      </c>
      <c r="F125">
        <v>3.5287626420910038E-2</v>
      </c>
      <c r="G125">
        <v>7.5430350715432706E-2</v>
      </c>
      <c r="H125">
        <v>0.39042182827428645</v>
      </c>
      <c r="I125">
        <v>7.786350427075972E-2</v>
      </c>
      <c r="J125" t="s">
        <v>199</v>
      </c>
      <c r="K125" t="s">
        <v>239</v>
      </c>
      <c r="L125" t="s">
        <v>209</v>
      </c>
      <c r="M125" t="s">
        <v>225</v>
      </c>
    </row>
    <row r="126" spans="1:13" x14ac:dyDescent="0.25">
      <c r="A126" t="s">
        <v>344</v>
      </c>
      <c r="B126">
        <v>4.2021267142987534E-4</v>
      </c>
      <c r="C126">
        <v>2.4178479321746806E-3</v>
      </c>
      <c r="D126">
        <v>2.6634164878907698E-2</v>
      </c>
      <c r="E126">
        <v>1.9847971782955495E-2</v>
      </c>
      <c r="F126">
        <v>1.2123252760474558E-2</v>
      </c>
      <c r="G126">
        <v>6.1936497106963917E-2</v>
      </c>
      <c r="H126">
        <v>6.7899288954266002E-2</v>
      </c>
      <c r="I126">
        <v>6.541509963457548E-2</v>
      </c>
      <c r="J126" t="s">
        <v>199</v>
      </c>
      <c r="K126" t="s">
        <v>241</v>
      </c>
      <c r="L126" t="s">
        <v>209</v>
      </c>
      <c r="M126" t="s">
        <v>225</v>
      </c>
    </row>
    <row r="127" spans="1:13" x14ac:dyDescent="0.25">
      <c r="A127" t="s">
        <v>64</v>
      </c>
      <c r="B127">
        <v>0.26480192892835075</v>
      </c>
      <c r="C127">
        <v>0.67578336441950149</v>
      </c>
      <c r="D127">
        <v>0.62868869160743601</v>
      </c>
      <c r="E127">
        <v>0.84938510450810933</v>
      </c>
      <c r="F127">
        <v>0.71065751650196785</v>
      </c>
      <c r="G127">
        <v>0.88661292236503808</v>
      </c>
      <c r="H127">
        <v>0.98467407603322377</v>
      </c>
      <c r="I127">
        <v>0.96195388876924526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3.752086086436814E-5</v>
      </c>
      <c r="C128">
        <v>4.8168106020278045E-2</v>
      </c>
      <c r="D128">
        <v>0.14990437660109027</v>
      </c>
      <c r="E128">
        <v>7.2066856018009273E-2</v>
      </c>
      <c r="F128">
        <v>6.7816427954738148E-2</v>
      </c>
      <c r="G128">
        <v>0.1323649147994109</v>
      </c>
      <c r="H128">
        <v>0.32055500311312823</v>
      </c>
      <c r="I128">
        <v>8.3239104628351782E-2</v>
      </c>
      <c r="J128" t="s">
        <v>199</v>
      </c>
      <c r="K128" t="s">
        <v>207</v>
      </c>
      <c r="L128" t="s">
        <v>209</v>
      </c>
      <c r="M128" t="s">
        <v>225</v>
      </c>
    </row>
    <row r="129" spans="1:13" x14ac:dyDescent="0.25">
      <c r="A129" t="s">
        <v>345</v>
      </c>
      <c r="B129">
        <v>1.2152929649102006E-2</v>
      </c>
      <c r="C129">
        <v>0.20793936842485411</v>
      </c>
      <c r="D129">
        <v>0.12523794413942399</v>
      </c>
      <c r="E129">
        <v>8.839064169992529E-2</v>
      </c>
      <c r="F129">
        <v>0.38479921806164374</v>
      </c>
      <c r="G129">
        <v>8.8874612281686402E-2</v>
      </c>
      <c r="H129">
        <v>0.67155031291425005</v>
      </c>
      <c r="I129">
        <v>0.3450445046537044</v>
      </c>
      <c r="J129" t="s">
        <v>199</v>
      </c>
      <c r="K129" t="s">
        <v>233</v>
      </c>
      <c r="L129" t="s">
        <v>209</v>
      </c>
      <c r="M129" t="s">
        <v>225</v>
      </c>
    </row>
    <row r="130" spans="1:13" x14ac:dyDescent="0.25">
      <c r="A130" t="s">
        <v>65</v>
      </c>
      <c r="J130" t="s">
        <v>199</v>
      </c>
      <c r="K130" t="s">
        <v>202</v>
      </c>
      <c r="L130" t="s">
        <v>210</v>
      </c>
      <c r="M130" t="s">
        <v>225</v>
      </c>
    </row>
    <row r="131" spans="1:13" x14ac:dyDescent="0.25">
      <c r="A131" t="s">
        <v>66</v>
      </c>
      <c r="B131">
        <v>0.9714525062501731</v>
      </c>
      <c r="C131">
        <v>0.60184012622701033</v>
      </c>
      <c r="D131">
        <v>0.9233443445130447</v>
      </c>
      <c r="E131">
        <v>0.99649904292189984</v>
      </c>
      <c r="F131">
        <v>0.99206315987207916</v>
      </c>
      <c r="G131">
        <v>0.51057169322815732</v>
      </c>
      <c r="H131">
        <v>0.57237935453356226</v>
      </c>
      <c r="I131">
        <v>0.9414951125888249</v>
      </c>
      <c r="J131" t="s">
        <v>199</v>
      </c>
      <c r="K131" t="s">
        <v>203</v>
      </c>
      <c r="L131" t="s">
        <v>210</v>
      </c>
      <c r="M131" t="s">
        <v>225</v>
      </c>
    </row>
    <row r="132" spans="1:13" x14ac:dyDescent="0.25">
      <c r="A132" t="s">
        <v>67</v>
      </c>
      <c r="B132">
        <v>0.92820952454468109</v>
      </c>
      <c r="C132">
        <v>0.14160350907031963</v>
      </c>
      <c r="D132">
        <v>0.16683135255534498</v>
      </c>
      <c r="E132">
        <v>0.72318304669619671</v>
      </c>
      <c r="F132">
        <v>0.53444689205225504</v>
      </c>
      <c r="G132">
        <v>0.16991386829544511</v>
      </c>
      <c r="H132">
        <v>9.632368790573953E-2</v>
      </c>
      <c r="I132">
        <v>0.17943388317769854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0.16146087421655286</v>
      </c>
      <c r="C133">
        <v>0.32362689000363182</v>
      </c>
      <c r="D133">
        <v>0.18042152062041611</v>
      </c>
      <c r="E133">
        <v>0.1479892815914696</v>
      </c>
      <c r="F133">
        <v>0.14605958332593089</v>
      </c>
      <c r="G133">
        <v>0.10074927811253559</v>
      </c>
      <c r="H133">
        <v>0.18680035367856576</v>
      </c>
      <c r="I133">
        <v>0.46085870749798608</v>
      </c>
      <c r="J133" t="s">
        <v>199</v>
      </c>
      <c r="K133" t="s">
        <v>239</v>
      </c>
      <c r="L133" t="s">
        <v>210</v>
      </c>
      <c r="M133" t="s">
        <v>225</v>
      </c>
    </row>
    <row r="134" spans="1:13" x14ac:dyDescent="0.25">
      <c r="A134" t="s">
        <v>347</v>
      </c>
      <c r="B134">
        <v>2.5019108194086388E-2</v>
      </c>
      <c r="C134">
        <v>8.1306950827886946E-3</v>
      </c>
      <c r="D134">
        <v>9.3829193216010444E-3</v>
      </c>
      <c r="E134">
        <v>1.5745216671909906E-2</v>
      </c>
      <c r="F134">
        <v>7.1984245424824402E-3</v>
      </c>
      <c r="G134">
        <v>1.8664126884014819E-2</v>
      </c>
      <c r="H134">
        <v>1.5058959701451421E-2</v>
      </c>
      <c r="I134">
        <v>1.0788310287171879E-2</v>
      </c>
      <c r="J134" t="s">
        <v>199</v>
      </c>
      <c r="K134" t="s">
        <v>241</v>
      </c>
      <c r="L134" t="s">
        <v>210</v>
      </c>
      <c r="M134" t="s">
        <v>225</v>
      </c>
    </row>
    <row r="135" spans="1:13" x14ac:dyDescent="0.25">
      <c r="A135" t="s">
        <v>68</v>
      </c>
      <c r="B135">
        <v>0.89033629061677333</v>
      </c>
      <c r="C135">
        <v>0.61416024754085385</v>
      </c>
      <c r="D135">
        <v>0.79959496579990763</v>
      </c>
      <c r="E135">
        <v>0.86995161263929344</v>
      </c>
      <c r="F135">
        <v>0.97843269278704692</v>
      </c>
      <c r="G135">
        <v>0.82262329678728174</v>
      </c>
      <c r="H135">
        <v>0.76674201829017719</v>
      </c>
      <c r="I135">
        <v>0.69885955342983086</v>
      </c>
      <c r="J135" t="s">
        <v>199</v>
      </c>
      <c r="K135" t="s">
        <v>206</v>
      </c>
      <c r="L135" t="s">
        <v>210</v>
      </c>
      <c r="M135" t="s">
        <v>225</v>
      </c>
    </row>
    <row r="136" spans="1:13" x14ac:dyDescent="0.25">
      <c r="A136" t="s">
        <v>277</v>
      </c>
      <c r="B136">
        <v>9.9566473487043033E-2</v>
      </c>
      <c r="C136">
        <v>5.3556867693962867E-2</v>
      </c>
      <c r="D136">
        <v>0.2544288791101163</v>
      </c>
      <c r="E136">
        <v>7.1143956521619631E-2</v>
      </c>
      <c r="F136">
        <v>0.10238699864326881</v>
      </c>
      <c r="G136">
        <v>5.7795496135259597E-2</v>
      </c>
      <c r="H136">
        <v>8.6226055886163541E-2</v>
      </c>
      <c r="I136">
        <v>0.13134162810466102</v>
      </c>
      <c r="J136" t="s">
        <v>199</v>
      </c>
      <c r="K136" t="s">
        <v>207</v>
      </c>
      <c r="L136" t="s">
        <v>210</v>
      </c>
      <c r="M136" t="s">
        <v>225</v>
      </c>
    </row>
    <row r="137" spans="1:13" x14ac:dyDescent="0.25">
      <c r="A137" t="s">
        <v>348</v>
      </c>
      <c r="B137">
        <v>0.43558248765832613</v>
      </c>
      <c r="C137">
        <v>0.46013325308566355</v>
      </c>
      <c r="D137">
        <v>0.69878882157072963</v>
      </c>
      <c r="E137">
        <v>0.37035893902006067</v>
      </c>
      <c r="F137">
        <v>0.89357121853667942</v>
      </c>
      <c r="G137">
        <v>0.1213401572905437</v>
      </c>
      <c r="H137">
        <v>0.3002702877656192</v>
      </c>
      <c r="I137">
        <v>0.36189574311835249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J138" t="s">
        <v>199</v>
      </c>
      <c r="K138" t="s">
        <v>202</v>
      </c>
      <c r="L138" t="s">
        <v>211</v>
      </c>
      <c r="M138" t="s">
        <v>225</v>
      </c>
    </row>
    <row r="139" spans="1:13" x14ac:dyDescent="0.25">
      <c r="A139" t="s">
        <v>70</v>
      </c>
      <c r="B139">
        <v>0.85243976470049343</v>
      </c>
      <c r="C139">
        <v>0.98307408751994929</v>
      </c>
      <c r="D139">
        <v>0.96646011077508698</v>
      </c>
      <c r="E139">
        <v>0.98984419403188295</v>
      </c>
      <c r="F139">
        <v>0.92125474112754846</v>
      </c>
      <c r="G139">
        <v>0.96059062078683255</v>
      </c>
      <c r="H139">
        <v>0.96842033068147382</v>
      </c>
      <c r="I139">
        <v>0.99966441444199239</v>
      </c>
      <c r="J139" t="s">
        <v>199</v>
      </c>
      <c r="K139" t="s">
        <v>203</v>
      </c>
      <c r="L139" t="s">
        <v>211</v>
      </c>
      <c r="M139" t="s">
        <v>225</v>
      </c>
    </row>
    <row r="140" spans="1:13" x14ac:dyDescent="0.25">
      <c r="A140" t="s">
        <v>71</v>
      </c>
      <c r="B140">
        <v>0.13832240959553671</v>
      </c>
      <c r="C140">
        <v>0.26021317503690516</v>
      </c>
      <c r="D140">
        <v>0.17385650803610087</v>
      </c>
      <c r="E140">
        <v>0.32301429808162951</v>
      </c>
      <c r="F140">
        <v>2.0774815769052372E-2</v>
      </c>
      <c r="G140">
        <v>0.11879900726947135</v>
      </c>
      <c r="H140">
        <v>0.25054976944147012</v>
      </c>
      <c r="I140">
        <v>4.886613892201451E-2</v>
      </c>
      <c r="J140" t="s">
        <v>199</v>
      </c>
      <c r="K140" t="s">
        <v>204</v>
      </c>
      <c r="L140" t="s">
        <v>211</v>
      </c>
      <c r="M140" t="s">
        <v>225</v>
      </c>
    </row>
    <row r="141" spans="1:13" x14ac:dyDescent="0.25">
      <c r="A141" t="s">
        <v>349</v>
      </c>
      <c r="B141">
        <v>7.4635786450657458E-3</v>
      </c>
      <c r="C141">
        <v>1.1922690892259024E-3</v>
      </c>
      <c r="D141">
        <v>6.0019741344665648E-4</v>
      </c>
      <c r="E141">
        <v>2.4704247840602982E-2</v>
      </c>
      <c r="F141">
        <v>3.2922701942333148E-2</v>
      </c>
      <c r="G141">
        <v>8.6520556517876296E-2</v>
      </c>
      <c r="H141">
        <v>0.36072640721827254</v>
      </c>
      <c r="I141">
        <v>0.28880453721108063</v>
      </c>
      <c r="J141" t="s">
        <v>199</v>
      </c>
      <c r="K141" t="s">
        <v>239</v>
      </c>
      <c r="L141" t="s">
        <v>211</v>
      </c>
      <c r="M141" t="s">
        <v>225</v>
      </c>
    </row>
    <row r="142" spans="1:13" x14ac:dyDescent="0.25">
      <c r="A142" t="s">
        <v>350</v>
      </c>
      <c r="B142">
        <v>1.5981355537931189E-3</v>
      </c>
      <c r="C142">
        <v>3.2110460438137044E-3</v>
      </c>
      <c r="D142">
        <v>1.2891190713381548E-3</v>
      </c>
      <c r="E142">
        <v>3.3698260200309238E-3</v>
      </c>
      <c r="F142">
        <v>2.9758236014319254E-3</v>
      </c>
      <c r="G142">
        <v>3.9391994603270499E-3</v>
      </c>
      <c r="H142">
        <v>3.6270782727300705E-3</v>
      </c>
      <c r="I142">
        <v>1.2669662481772951E-2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4.4912383804038732E-2</v>
      </c>
      <c r="C143">
        <v>3.6736355196068833E-2</v>
      </c>
      <c r="D143">
        <v>4.8154553700165227E-2</v>
      </c>
      <c r="E143">
        <v>0.22216310227695249</v>
      </c>
      <c r="F143">
        <v>0.18845131905794854</v>
      </c>
      <c r="G143">
        <v>0.57133761363629321</v>
      </c>
      <c r="H143">
        <v>0.47711556802477773</v>
      </c>
      <c r="I143">
        <v>0.68789050323936496</v>
      </c>
      <c r="J143" t="s">
        <v>199</v>
      </c>
      <c r="K143" t="s">
        <v>206</v>
      </c>
      <c r="L143" t="s">
        <v>211</v>
      </c>
      <c r="M143" t="s">
        <v>225</v>
      </c>
    </row>
    <row r="144" spans="1:13" x14ac:dyDescent="0.25">
      <c r="A144" t="s">
        <v>278</v>
      </c>
      <c r="B144">
        <v>4.8757809078655415E-2</v>
      </c>
      <c r="C144">
        <v>6.6506036551689351E-2</v>
      </c>
      <c r="D144">
        <v>9.765023106743137E-2</v>
      </c>
      <c r="E144">
        <v>0.12341492659582282</v>
      </c>
      <c r="F144">
        <v>0.17054544459550094</v>
      </c>
      <c r="G144">
        <v>0.2470454612550726</v>
      </c>
      <c r="H144">
        <v>0.2574248081494786</v>
      </c>
      <c r="I144">
        <v>0.23757082483116687</v>
      </c>
      <c r="J144" t="s">
        <v>199</v>
      </c>
      <c r="K144" t="s">
        <v>207</v>
      </c>
      <c r="L144" t="s">
        <v>211</v>
      </c>
      <c r="M144" t="s">
        <v>225</v>
      </c>
    </row>
    <row r="145" spans="1:13" x14ac:dyDescent="0.25">
      <c r="A145" t="s">
        <v>351</v>
      </c>
      <c r="B145">
        <v>0.84471682928341374</v>
      </c>
      <c r="C145">
        <v>0.77426503898790422</v>
      </c>
      <c r="D145">
        <v>0.31568804093168756</v>
      </c>
      <c r="E145">
        <v>0.4975612703559586</v>
      </c>
      <c r="F145">
        <v>0.23707412623874805</v>
      </c>
      <c r="G145">
        <v>0.10450304861485846</v>
      </c>
      <c r="H145">
        <v>4.3572556775246643E-2</v>
      </c>
      <c r="I145">
        <v>4.1518663294836E-2</v>
      </c>
      <c r="J145" t="s">
        <v>199</v>
      </c>
      <c r="K145" t="s">
        <v>233</v>
      </c>
      <c r="L145" t="s">
        <v>211</v>
      </c>
      <c r="M145" t="s">
        <v>225</v>
      </c>
    </row>
    <row r="146" spans="1:13" x14ac:dyDescent="0.25">
      <c r="A146" t="s">
        <v>73</v>
      </c>
      <c r="J146" t="s">
        <v>199</v>
      </c>
      <c r="K146" t="s">
        <v>202</v>
      </c>
      <c r="L146" t="s">
        <v>212</v>
      </c>
      <c r="M146" t="s">
        <v>225</v>
      </c>
    </row>
    <row r="147" spans="1:13" x14ac:dyDescent="0.25">
      <c r="A147" t="s">
        <v>74</v>
      </c>
      <c r="B147">
        <v>0.88509627726287754</v>
      </c>
      <c r="C147">
        <v>0.78970377198214325</v>
      </c>
      <c r="D147">
        <v>0.82109200590260523</v>
      </c>
      <c r="E147">
        <v>0.84351823993522734</v>
      </c>
      <c r="F147">
        <v>0.7868191763525898</v>
      </c>
      <c r="G147">
        <v>0.97841503689952103</v>
      </c>
      <c r="H147">
        <v>0.81264912928255706</v>
      </c>
      <c r="I147">
        <v>0.99240416533459286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0.71265277802245164</v>
      </c>
      <c r="C148">
        <v>0.57830505707274216</v>
      </c>
      <c r="D148">
        <v>0.4722619583550875</v>
      </c>
      <c r="E148">
        <v>0.62558670603786593</v>
      </c>
      <c r="F148">
        <v>0.56072819708485122</v>
      </c>
      <c r="G148">
        <v>0.85296837134069969</v>
      </c>
      <c r="H148">
        <v>0.83468720599450086</v>
      </c>
      <c r="I148">
        <v>0.99998370675597981</v>
      </c>
      <c r="J148" t="s">
        <v>199</v>
      </c>
      <c r="K148" t="s">
        <v>204</v>
      </c>
      <c r="L148" t="s">
        <v>212</v>
      </c>
      <c r="M148" t="s">
        <v>225</v>
      </c>
    </row>
    <row r="149" spans="1:13" x14ac:dyDescent="0.25">
      <c r="A149" t="s">
        <v>352</v>
      </c>
      <c r="B149">
        <v>8.761726693268572E-3</v>
      </c>
      <c r="C149">
        <v>0.28476775261859744</v>
      </c>
      <c r="D149">
        <v>2.7161655560218531E-2</v>
      </c>
      <c r="E149">
        <v>0.23998579815415616</v>
      </c>
      <c r="F149">
        <v>0.56537508841727013</v>
      </c>
      <c r="G149">
        <v>0.42681224147179897</v>
      </c>
      <c r="H149">
        <v>0.80054000863853259</v>
      </c>
      <c r="I149">
        <v>0.89516015394599935</v>
      </c>
      <c r="J149" t="s">
        <v>199</v>
      </c>
      <c r="K149" t="s">
        <v>239</v>
      </c>
      <c r="L149" t="s">
        <v>212</v>
      </c>
      <c r="M149" t="s">
        <v>225</v>
      </c>
    </row>
    <row r="150" spans="1:13" x14ac:dyDescent="0.25">
      <c r="A150" t="s">
        <v>353</v>
      </c>
      <c r="B150">
        <v>9.3732396499458229E-4</v>
      </c>
      <c r="C150">
        <v>8.6112029880247125E-3</v>
      </c>
      <c r="D150">
        <v>2.2114794925319807E-2</v>
      </c>
      <c r="E150">
        <v>4.672800747633369E-2</v>
      </c>
      <c r="F150">
        <v>6.1494254869678876E-2</v>
      </c>
      <c r="G150">
        <v>0.17949248781451727</v>
      </c>
      <c r="H150">
        <v>0.27389533650047049</v>
      </c>
      <c r="I150">
        <v>0.60078797050006316</v>
      </c>
      <c r="J150" t="s">
        <v>199</v>
      </c>
      <c r="K150" t="s">
        <v>241</v>
      </c>
      <c r="L150" t="s">
        <v>212</v>
      </c>
      <c r="M150" t="s">
        <v>225</v>
      </c>
    </row>
    <row r="151" spans="1:13" x14ac:dyDescent="0.25">
      <c r="A151" t="s">
        <v>76</v>
      </c>
      <c r="B151">
        <v>4.4181851765749349E-4</v>
      </c>
      <c r="C151">
        <v>2.6081352779204856E-2</v>
      </c>
      <c r="D151">
        <v>1.146591971653527E-2</v>
      </c>
      <c r="E151">
        <v>0.14687218372797223</v>
      </c>
      <c r="F151">
        <v>0.19090685341108715</v>
      </c>
      <c r="G151">
        <v>0.40685604006897408</v>
      </c>
      <c r="H151">
        <v>8.1798269928673381E-2</v>
      </c>
      <c r="I151">
        <v>0.61161334734854889</v>
      </c>
      <c r="J151" t="s">
        <v>199</v>
      </c>
      <c r="K151" t="s">
        <v>206</v>
      </c>
      <c r="L151" t="s">
        <v>212</v>
      </c>
      <c r="M151" t="s">
        <v>225</v>
      </c>
    </row>
    <row r="152" spans="1:13" x14ac:dyDescent="0.25">
      <c r="A152" t="s">
        <v>279</v>
      </c>
      <c r="B152">
        <v>2.7834159490320882E-4</v>
      </c>
      <c r="C152">
        <v>2.8313154659338702E-2</v>
      </c>
      <c r="D152">
        <v>2.929879436865325E-2</v>
      </c>
      <c r="E152">
        <v>0.25433966110703199</v>
      </c>
      <c r="F152">
        <v>0.13630295861978164</v>
      </c>
      <c r="G152">
        <v>0.2531461537218872</v>
      </c>
      <c r="H152">
        <v>0.3791057184837453</v>
      </c>
      <c r="I152">
        <v>0.64613083080610345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0.87535508642532656</v>
      </c>
      <c r="C153">
        <v>0.65628030842201179</v>
      </c>
      <c r="D153">
        <v>0.41974244079727552</v>
      </c>
      <c r="E153">
        <v>0.61477319670734376</v>
      </c>
      <c r="F153">
        <v>0.29640334375760352</v>
      </c>
      <c r="G153">
        <v>0.42550171546359394</v>
      </c>
      <c r="H153">
        <v>0.68160579636375096</v>
      </c>
      <c r="I153">
        <v>0.98169369327007638</v>
      </c>
      <c r="J153" t="s">
        <v>199</v>
      </c>
      <c r="K153" t="s">
        <v>233</v>
      </c>
      <c r="L153" t="s">
        <v>212</v>
      </c>
      <c r="M153" t="s">
        <v>225</v>
      </c>
    </row>
    <row r="154" spans="1:13" x14ac:dyDescent="0.25">
      <c r="A154" t="s">
        <v>77</v>
      </c>
      <c r="J154" t="s">
        <v>199</v>
      </c>
      <c r="K154" t="s">
        <v>202</v>
      </c>
      <c r="L154" t="s">
        <v>213</v>
      </c>
      <c r="M154" t="s">
        <v>225</v>
      </c>
    </row>
    <row r="155" spans="1:13" x14ac:dyDescent="0.25">
      <c r="A155" t="s">
        <v>78</v>
      </c>
      <c r="B155">
        <v>0.8360542091024723</v>
      </c>
      <c r="C155">
        <v>0.8968686036816319</v>
      </c>
      <c r="D155">
        <v>0.85500518535245418</v>
      </c>
      <c r="E155">
        <v>0.38200753227151085</v>
      </c>
      <c r="F155">
        <v>0.42129323759224407</v>
      </c>
      <c r="G155">
        <v>0.87288396426935033</v>
      </c>
      <c r="H155">
        <v>0.92049343285801521</v>
      </c>
      <c r="I155">
        <v>0.37758097308184535</v>
      </c>
      <c r="J155" t="s">
        <v>199</v>
      </c>
      <c r="K155" t="s">
        <v>203</v>
      </c>
      <c r="L155" t="s">
        <v>213</v>
      </c>
      <c r="M155" t="s">
        <v>225</v>
      </c>
    </row>
    <row r="156" spans="1:13" x14ac:dyDescent="0.25">
      <c r="A156" t="s">
        <v>79</v>
      </c>
      <c r="B156">
        <v>0.79018507445024433</v>
      </c>
      <c r="C156">
        <v>0.81384955344045284</v>
      </c>
      <c r="D156">
        <v>0.57947084493025569</v>
      </c>
      <c r="E156">
        <v>0.73137887481809827</v>
      </c>
      <c r="F156">
        <v>0.17772621338501854</v>
      </c>
      <c r="G156">
        <v>0.43745371400899985</v>
      </c>
      <c r="H156">
        <v>0.81518134259796493</v>
      </c>
      <c r="I156">
        <v>0.19781798209154647</v>
      </c>
      <c r="J156" t="s">
        <v>199</v>
      </c>
      <c r="K156" t="s">
        <v>204</v>
      </c>
      <c r="L156" t="s">
        <v>213</v>
      </c>
      <c r="M156" t="s">
        <v>225</v>
      </c>
    </row>
    <row r="157" spans="1:13" x14ac:dyDescent="0.25">
      <c r="A157" t="s">
        <v>355</v>
      </c>
      <c r="B157">
        <v>0.33363812448382557</v>
      </c>
      <c r="C157">
        <v>0.84133853082734045</v>
      </c>
      <c r="D157">
        <v>0.7193982341512104</v>
      </c>
      <c r="E157">
        <v>0.24206085456748885</v>
      </c>
      <c r="F157">
        <v>0.10923879623478164</v>
      </c>
      <c r="G157">
        <v>0.38713593843910943</v>
      </c>
      <c r="H157">
        <v>0.89436726536208622</v>
      </c>
      <c r="I157">
        <v>1.9558474018363737E-2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0.49415890299930648</v>
      </c>
      <c r="C158">
        <v>0.54975300424313533</v>
      </c>
      <c r="D158">
        <v>0.74238835944862291</v>
      </c>
      <c r="E158">
        <v>0.25277727196607963</v>
      </c>
      <c r="F158">
        <v>0.14820877061113213</v>
      </c>
      <c r="G158">
        <v>0.36090660022110538</v>
      </c>
      <c r="H158">
        <v>0.21244379460549823</v>
      </c>
      <c r="I158">
        <v>0.31482940517125102</v>
      </c>
      <c r="J158" t="s">
        <v>199</v>
      </c>
      <c r="K158" t="s">
        <v>241</v>
      </c>
      <c r="L158" t="s">
        <v>213</v>
      </c>
      <c r="M158" t="s">
        <v>225</v>
      </c>
    </row>
    <row r="159" spans="1:13" x14ac:dyDescent="0.25">
      <c r="A159" t="s">
        <v>80</v>
      </c>
      <c r="B159">
        <v>0.22810516239626677</v>
      </c>
      <c r="C159">
        <v>0.37138420096163594</v>
      </c>
      <c r="D159">
        <v>0.62318099735715393</v>
      </c>
      <c r="E159">
        <v>0.17598073611823004</v>
      </c>
      <c r="F159">
        <v>0.39156669176947162</v>
      </c>
      <c r="G159">
        <v>0.75360423198330118</v>
      </c>
      <c r="H159">
        <v>0.44074105215251913</v>
      </c>
      <c r="I159">
        <v>8.0170568473682882E-2</v>
      </c>
      <c r="J159" t="s">
        <v>199</v>
      </c>
      <c r="K159" t="s">
        <v>206</v>
      </c>
      <c r="L159" t="s">
        <v>213</v>
      </c>
      <c r="M159" t="s">
        <v>225</v>
      </c>
    </row>
    <row r="160" spans="1:13" x14ac:dyDescent="0.25">
      <c r="A160" t="s">
        <v>280</v>
      </c>
      <c r="B160">
        <v>0.5524836170199724</v>
      </c>
      <c r="C160">
        <v>0.47954458477302542</v>
      </c>
      <c r="D160">
        <v>0.46612370532495168</v>
      </c>
      <c r="E160">
        <v>0.26969148301953194</v>
      </c>
      <c r="F160">
        <v>0.17534358224187802</v>
      </c>
      <c r="G160">
        <v>0.11741495839790295</v>
      </c>
      <c r="H160">
        <v>0.28242731950636557</v>
      </c>
      <c r="I160">
        <v>5.07558131402846E-2</v>
      </c>
      <c r="J160" t="s">
        <v>199</v>
      </c>
      <c r="K160" t="s">
        <v>207</v>
      </c>
      <c r="L160" t="s">
        <v>213</v>
      </c>
      <c r="M160" t="s">
        <v>225</v>
      </c>
    </row>
    <row r="161" spans="1:13" x14ac:dyDescent="0.25">
      <c r="A161" t="s">
        <v>357</v>
      </c>
      <c r="B161">
        <v>0.75335749370138538</v>
      </c>
      <c r="C161">
        <v>0.93516451398013323</v>
      </c>
      <c r="D161">
        <v>0.88448999566717335</v>
      </c>
      <c r="E161">
        <v>0.92261364081300634</v>
      </c>
      <c r="F161">
        <v>0.80424069843494839</v>
      </c>
      <c r="G161">
        <v>0.98547421934074653</v>
      </c>
      <c r="H161">
        <v>0.91583169814817467</v>
      </c>
      <c r="I161">
        <v>0.14966992682167143</v>
      </c>
      <c r="J161" t="s">
        <v>199</v>
      </c>
      <c r="K161" t="s">
        <v>233</v>
      </c>
      <c r="L161" t="s">
        <v>213</v>
      </c>
      <c r="M161" t="s">
        <v>225</v>
      </c>
    </row>
    <row r="162" spans="1:13" x14ac:dyDescent="0.25">
      <c r="A162" t="s">
        <v>81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0.1029484877719252</v>
      </c>
      <c r="C163">
        <v>0.47364955471126763</v>
      </c>
      <c r="D163">
        <v>0.57391378360213974</v>
      </c>
      <c r="E163">
        <v>0.96762922169414844</v>
      </c>
      <c r="F163">
        <v>0.31879975060370846</v>
      </c>
      <c r="G163">
        <v>0.25578713513270629</v>
      </c>
      <c r="H163">
        <v>1.5888650750170281E-2</v>
      </c>
      <c r="I163">
        <v>0.14480273562486726</v>
      </c>
      <c r="J163" t="s">
        <v>199</v>
      </c>
      <c r="K163" t="s">
        <v>203</v>
      </c>
      <c r="L163" t="s">
        <v>214</v>
      </c>
      <c r="M163" t="s">
        <v>225</v>
      </c>
    </row>
    <row r="164" spans="1:13" x14ac:dyDescent="0.25">
      <c r="A164" t="s">
        <v>83</v>
      </c>
      <c r="B164">
        <v>0.10311812415046795</v>
      </c>
      <c r="C164">
        <v>0.1661122543956437</v>
      </c>
      <c r="D164">
        <v>0.46460746659198421</v>
      </c>
      <c r="E164">
        <v>0.69666095694767194</v>
      </c>
      <c r="F164">
        <v>9.5550892003549687E-2</v>
      </c>
      <c r="G164">
        <v>0.32901708747899172</v>
      </c>
      <c r="H164">
        <v>0.30514544541832778</v>
      </c>
      <c r="I164">
        <v>0.14462460742309993</v>
      </c>
      <c r="J164" t="s">
        <v>199</v>
      </c>
      <c r="K164" t="s">
        <v>204</v>
      </c>
      <c r="L164" t="s">
        <v>214</v>
      </c>
      <c r="M164" t="s">
        <v>225</v>
      </c>
    </row>
    <row r="165" spans="1:13" x14ac:dyDescent="0.25">
      <c r="A165" t="s">
        <v>358</v>
      </c>
      <c r="B165">
        <v>5.6843148841271757E-2</v>
      </c>
      <c r="C165">
        <v>6.030189200785227E-2</v>
      </c>
      <c r="D165">
        <v>0.19589466010479281</v>
      </c>
      <c r="E165">
        <v>4.1032314543678207E-2</v>
      </c>
      <c r="F165">
        <v>6.7420921264848582E-2</v>
      </c>
      <c r="G165">
        <v>0.55737766848021508</v>
      </c>
      <c r="H165">
        <v>7.7535658386252884E-2</v>
      </c>
      <c r="I165">
        <v>1.0156532610727813E-2</v>
      </c>
      <c r="J165" t="s">
        <v>199</v>
      </c>
      <c r="K165" t="s">
        <v>239</v>
      </c>
      <c r="L165" t="s">
        <v>214</v>
      </c>
      <c r="M165" t="s">
        <v>225</v>
      </c>
    </row>
    <row r="166" spans="1:13" x14ac:dyDescent="0.25">
      <c r="A166" t="s">
        <v>359</v>
      </c>
      <c r="B166">
        <v>0.16180448690111038</v>
      </c>
      <c r="C166">
        <v>0.41988273334647452</v>
      </c>
      <c r="D166">
        <v>0.36933597764584947</v>
      </c>
      <c r="E166">
        <v>0.19483162590678355</v>
      </c>
      <c r="F166">
        <v>9.5529707366920749E-2</v>
      </c>
      <c r="G166">
        <v>0.11216020065938179</v>
      </c>
      <c r="H166">
        <v>9.7381433400491157E-2</v>
      </c>
      <c r="I166">
        <v>0.13316682161069793</v>
      </c>
      <c r="J166" t="s">
        <v>199</v>
      </c>
      <c r="K166" t="s">
        <v>241</v>
      </c>
      <c r="L166" t="s">
        <v>214</v>
      </c>
      <c r="M166" t="s">
        <v>225</v>
      </c>
    </row>
    <row r="167" spans="1:13" x14ac:dyDescent="0.25">
      <c r="A167" t="s">
        <v>84</v>
      </c>
      <c r="B167">
        <v>0.64158353284054959</v>
      </c>
      <c r="C167">
        <v>0.47883492293495117</v>
      </c>
      <c r="D167">
        <v>0.6960904664616594</v>
      </c>
      <c r="E167">
        <v>0.61850001408594857</v>
      </c>
      <c r="F167">
        <v>0.63245604024308288</v>
      </c>
      <c r="G167">
        <v>0.92365357815657423</v>
      </c>
      <c r="H167">
        <v>0.61086161849175125</v>
      </c>
      <c r="I167">
        <v>0.50287347823653161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0.25263638429738183</v>
      </c>
      <c r="C168">
        <v>9.4656872344696025E-2</v>
      </c>
      <c r="D168">
        <v>0.25099760103712931</v>
      </c>
      <c r="E168">
        <v>0.30114405983831838</v>
      </c>
      <c r="F168">
        <v>0.1491325871020984</v>
      </c>
      <c r="G168">
        <v>0.20091573194293036</v>
      </c>
      <c r="H168">
        <v>0.16442815084628062</v>
      </c>
      <c r="I168">
        <v>6.7811980533266245E-2</v>
      </c>
      <c r="J168" t="s">
        <v>199</v>
      </c>
      <c r="K168" t="s">
        <v>207</v>
      </c>
      <c r="L168" t="s">
        <v>214</v>
      </c>
      <c r="M168" t="s">
        <v>225</v>
      </c>
    </row>
    <row r="169" spans="1:13" x14ac:dyDescent="0.25">
      <c r="A169" t="s">
        <v>360</v>
      </c>
      <c r="B169">
        <v>0.16925235451732243</v>
      </c>
      <c r="C169">
        <v>0.31101652327979618</v>
      </c>
      <c r="D169">
        <v>0.11151990464328052</v>
      </c>
      <c r="E169">
        <v>0.49028007006809965</v>
      </c>
      <c r="F169">
        <v>9.5115043980418784E-2</v>
      </c>
      <c r="G169">
        <v>0.13998098881802667</v>
      </c>
      <c r="H169">
        <v>0.15130125595087845</v>
      </c>
      <c r="I169">
        <v>8.9513299911039096E-2</v>
      </c>
      <c r="J169" t="s">
        <v>199</v>
      </c>
      <c r="K169" t="s">
        <v>233</v>
      </c>
      <c r="L169" t="s">
        <v>214</v>
      </c>
      <c r="M169" t="s">
        <v>225</v>
      </c>
    </row>
    <row r="170" spans="1:13" x14ac:dyDescent="0.25">
      <c r="A170" t="s">
        <v>85</v>
      </c>
      <c r="J170" t="s">
        <v>199</v>
      </c>
      <c r="K170" t="s">
        <v>202</v>
      </c>
      <c r="L170" t="s">
        <v>215</v>
      </c>
      <c r="M170" t="s">
        <v>225</v>
      </c>
    </row>
    <row r="171" spans="1:13" x14ac:dyDescent="0.25">
      <c r="A171" t="s">
        <v>86</v>
      </c>
      <c r="B171">
        <v>0.58008673842865577</v>
      </c>
      <c r="C171">
        <v>0.98264268495362883</v>
      </c>
      <c r="D171">
        <v>0.94193315846771319</v>
      </c>
      <c r="E171">
        <v>0.25689374751758925</v>
      </c>
      <c r="F171">
        <v>0.27196583764677057</v>
      </c>
      <c r="G171">
        <v>0.17555046031672575</v>
      </c>
      <c r="H171">
        <v>1.8403385315687529E-2</v>
      </c>
      <c r="I171">
        <v>8.5058314636739143E-4</v>
      </c>
      <c r="J171" t="s">
        <v>199</v>
      </c>
      <c r="K171" t="s">
        <v>203</v>
      </c>
      <c r="L171" t="s">
        <v>215</v>
      </c>
      <c r="M171" t="s">
        <v>225</v>
      </c>
    </row>
    <row r="172" spans="1:13" x14ac:dyDescent="0.25">
      <c r="A172" t="s">
        <v>87</v>
      </c>
      <c r="B172">
        <v>0.16136169246995558</v>
      </c>
      <c r="C172">
        <v>0.86171036203961671</v>
      </c>
      <c r="D172">
        <v>0.94585583193933576</v>
      </c>
      <c r="E172">
        <v>0.46927878027638681</v>
      </c>
      <c r="F172">
        <v>0.52703635606739185</v>
      </c>
      <c r="G172">
        <v>0.49334851316593031</v>
      </c>
      <c r="H172">
        <v>0.33085547372275664</v>
      </c>
      <c r="I172">
        <v>4.8495322216471688E-2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3.842454786507639E-8</v>
      </c>
      <c r="C173">
        <v>4.3109179457754258E-4</v>
      </c>
      <c r="D173">
        <v>5.5693617045061332E-4</v>
      </c>
      <c r="E173">
        <v>3.2245766804685869E-2</v>
      </c>
      <c r="F173">
        <v>7.8755682659236922E-2</v>
      </c>
      <c r="G173">
        <v>0.14166391708967466</v>
      </c>
      <c r="H173">
        <v>2.7485257945232273E-2</v>
      </c>
      <c r="I173">
        <v>0.42479864931480316</v>
      </c>
      <c r="J173" t="s">
        <v>199</v>
      </c>
      <c r="K173" t="s">
        <v>239</v>
      </c>
      <c r="L173" t="s">
        <v>215</v>
      </c>
      <c r="M173" t="s">
        <v>225</v>
      </c>
    </row>
    <row r="174" spans="1:13" x14ac:dyDescent="0.25">
      <c r="A174" t="s">
        <v>362</v>
      </c>
      <c r="B174">
        <v>2.7748670013091178E-5</v>
      </c>
      <c r="C174">
        <v>3.6009236234191974E-6</v>
      </c>
      <c r="D174">
        <v>5.0853346687938243E-6</v>
      </c>
      <c r="E174">
        <v>1.6387073227342417E-5</v>
      </c>
      <c r="F174">
        <v>1.2009875574838253E-2</v>
      </c>
      <c r="G174">
        <v>3.4465861079242023E-2</v>
      </c>
      <c r="H174">
        <v>2.2760714706198466E-2</v>
      </c>
      <c r="I174">
        <v>6.0431773287068578E-2</v>
      </c>
      <c r="J174" t="s">
        <v>199</v>
      </c>
      <c r="K174" t="s">
        <v>241</v>
      </c>
      <c r="L174" t="s">
        <v>215</v>
      </c>
      <c r="M174" t="s">
        <v>225</v>
      </c>
    </row>
    <row r="175" spans="1:13" x14ac:dyDescent="0.25">
      <c r="A175" t="s">
        <v>88</v>
      </c>
      <c r="B175">
        <v>8.7403509849785007E-5</v>
      </c>
      <c r="C175">
        <v>4.4503921586964944E-2</v>
      </c>
      <c r="D175">
        <v>4.0865847797654675E-2</v>
      </c>
      <c r="E175">
        <v>0.38164588189544402</v>
      </c>
      <c r="F175">
        <v>0.78582897290853215</v>
      </c>
      <c r="G175">
        <v>0.67968735569590788</v>
      </c>
      <c r="H175">
        <v>0.8906569465446903</v>
      </c>
      <c r="I175">
        <v>0.71594490512376663</v>
      </c>
      <c r="J175" t="s">
        <v>199</v>
      </c>
      <c r="K175" t="s">
        <v>206</v>
      </c>
      <c r="L175" t="s">
        <v>215</v>
      </c>
      <c r="M175" t="s">
        <v>225</v>
      </c>
    </row>
    <row r="176" spans="1:13" x14ac:dyDescent="0.25">
      <c r="A176" t="s">
        <v>282</v>
      </c>
      <c r="B176">
        <v>8.3372920241872707E-13</v>
      </c>
      <c r="C176">
        <v>1.3697265844630158E-7</v>
      </c>
      <c r="D176">
        <v>6.3546882807779872E-9</v>
      </c>
      <c r="E176">
        <v>2.7886374419567823E-5</v>
      </c>
      <c r="F176">
        <v>3.0909272457914892E-4</v>
      </c>
      <c r="G176">
        <v>1.8610073152285544E-3</v>
      </c>
      <c r="H176">
        <v>4.2858606769275348E-4</v>
      </c>
      <c r="I176">
        <v>5.8144503772428158E-4</v>
      </c>
      <c r="J176" t="s">
        <v>199</v>
      </c>
      <c r="K176" t="s">
        <v>207</v>
      </c>
      <c r="L176" t="s">
        <v>215</v>
      </c>
      <c r="M176" t="s">
        <v>225</v>
      </c>
    </row>
    <row r="177" spans="1:13" x14ac:dyDescent="0.25">
      <c r="A177" t="s">
        <v>363</v>
      </c>
      <c r="B177">
        <v>0.40152131634420468</v>
      </c>
      <c r="C177">
        <v>0.69275328390980195</v>
      </c>
      <c r="D177">
        <v>0.92461501205832941</v>
      </c>
      <c r="E177">
        <v>0.63961399429293053</v>
      </c>
      <c r="F177">
        <v>0.51263116092948335</v>
      </c>
      <c r="G177">
        <v>0.4290043374095584</v>
      </c>
      <c r="H177">
        <v>0.16775669026688983</v>
      </c>
      <c r="I177">
        <v>0.25142271689483064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J178" t="s">
        <v>199</v>
      </c>
      <c r="K178" t="s">
        <v>202</v>
      </c>
      <c r="L178" t="s">
        <v>216</v>
      </c>
      <c r="M178" t="s">
        <v>225</v>
      </c>
    </row>
    <row r="179" spans="1:13" x14ac:dyDescent="0.25">
      <c r="A179" t="s">
        <v>90</v>
      </c>
      <c r="B179">
        <v>0.91035746906190296</v>
      </c>
      <c r="C179">
        <v>0.87494954632204325</v>
      </c>
      <c r="D179">
        <v>0.63448179937700344</v>
      </c>
      <c r="E179">
        <v>0.31503592137522152</v>
      </c>
      <c r="F179">
        <v>0.29602869105169005</v>
      </c>
      <c r="G179">
        <v>0.34450199604349618</v>
      </c>
      <c r="H179">
        <v>0.15623447912479807</v>
      </c>
      <c r="I179">
        <v>6.2888573091532327E-2</v>
      </c>
      <c r="J179" t="s">
        <v>199</v>
      </c>
      <c r="K179" t="s">
        <v>203</v>
      </c>
      <c r="L179" t="s">
        <v>216</v>
      </c>
      <c r="M179" t="s">
        <v>225</v>
      </c>
    </row>
    <row r="180" spans="1:13" x14ac:dyDescent="0.25">
      <c r="A180" t="s">
        <v>91</v>
      </c>
      <c r="B180">
        <v>0.42655972970673173</v>
      </c>
      <c r="C180">
        <v>0.60414687131710387</v>
      </c>
      <c r="D180">
        <v>0.54859933958461893</v>
      </c>
      <c r="E180">
        <v>0.35897236821614309</v>
      </c>
      <c r="F180">
        <v>0.47002019630823655</v>
      </c>
      <c r="G180">
        <v>0.63373159566276538</v>
      </c>
      <c r="H180">
        <v>0.37142380364571265</v>
      </c>
      <c r="I180">
        <v>0.17743191526253863</v>
      </c>
      <c r="J180" t="s">
        <v>199</v>
      </c>
      <c r="K180" t="s">
        <v>204</v>
      </c>
      <c r="L180" t="s">
        <v>216</v>
      </c>
      <c r="M180" t="s">
        <v>225</v>
      </c>
    </row>
    <row r="181" spans="1:13" x14ac:dyDescent="0.25">
      <c r="A181" t="s">
        <v>364</v>
      </c>
      <c r="B181">
        <v>6.9991561365987427E-20</v>
      </c>
      <c r="C181">
        <v>6.1680872770592229E-15</v>
      </c>
      <c r="D181">
        <v>2.861726119872347E-6</v>
      </c>
      <c r="E181">
        <v>3.8294684254513956E-4</v>
      </c>
      <c r="F181">
        <v>8.6874765230604781E-3</v>
      </c>
      <c r="G181">
        <v>7.7473539535747718E-2</v>
      </c>
      <c r="H181">
        <v>0.12957984574195811</v>
      </c>
      <c r="I181">
        <v>0.21733170884809178</v>
      </c>
      <c r="J181" t="s">
        <v>199</v>
      </c>
      <c r="K181" t="s">
        <v>239</v>
      </c>
      <c r="L181" t="s">
        <v>216</v>
      </c>
      <c r="M181" t="s">
        <v>225</v>
      </c>
    </row>
    <row r="182" spans="1:13" x14ac:dyDescent="0.25">
      <c r="A182" t="s">
        <v>365</v>
      </c>
      <c r="B182">
        <v>8.1855638150861519E-4</v>
      </c>
      <c r="C182">
        <v>2.0180834929830816E-5</v>
      </c>
      <c r="D182">
        <v>1.0763366748564273E-2</v>
      </c>
      <c r="E182">
        <v>0.10376896320897075</v>
      </c>
      <c r="F182">
        <v>0.33300987915757951</v>
      </c>
      <c r="G182">
        <v>0.67277785401496715</v>
      </c>
      <c r="H182">
        <v>0.65311958000077208</v>
      </c>
      <c r="I182">
        <v>0.79737853562623195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1.3098706833419456E-10</v>
      </c>
      <c r="C183">
        <v>2.165190154865035E-11</v>
      </c>
      <c r="D183">
        <v>2.1797953266630208E-8</v>
      </c>
      <c r="E183">
        <v>4.0718631038699262E-6</v>
      </c>
      <c r="F183">
        <v>2.0230594851015317E-3</v>
      </c>
      <c r="G183">
        <v>1.1948041358584507E-2</v>
      </c>
      <c r="H183">
        <v>1.4246630142636781E-2</v>
      </c>
      <c r="I183">
        <v>1.6051217368306562E-2</v>
      </c>
      <c r="J183" t="s">
        <v>199</v>
      </c>
      <c r="K183" t="s">
        <v>206</v>
      </c>
      <c r="L183" t="s">
        <v>216</v>
      </c>
      <c r="M183" t="s">
        <v>225</v>
      </c>
    </row>
    <row r="184" spans="1:13" x14ac:dyDescent="0.25">
      <c r="A184" t="s">
        <v>283</v>
      </c>
      <c r="B184">
        <v>5.0567007694505162E-57</v>
      </c>
      <c r="C184">
        <v>2.5668908118656506E-33</v>
      </c>
      <c r="D184">
        <v>8.9827681049998089E-35</v>
      </c>
      <c r="E184">
        <v>1.4164911609034152E-27</v>
      </c>
      <c r="F184">
        <v>5.0462922089286396E-23</v>
      </c>
      <c r="G184">
        <v>5.8317927989050172E-17</v>
      </c>
      <c r="H184">
        <v>3.783502505736302E-16</v>
      </c>
      <c r="I184">
        <v>3.0020688921889451E-15</v>
      </c>
      <c r="J184" t="s">
        <v>199</v>
      </c>
      <c r="K184" t="s">
        <v>207</v>
      </c>
      <c r="L184" t="s">
        <v>216</v>
      </c>
      <c r="M184" t="s">
        <v>225</v>
      </c>
    </row>
    <row r="185" spans="1:13" x14ac:dyDescent="0.25">
      <c r="A185" t="s">
        <v>366</v>
      </c>
      <c r="B185">
        <v>0.70327217771197159</v>
      </c>
      <c r="C185">
        <v>0.74690420467065022</v>
      </c>
      <c r="D185">
        <v>0.8957344682618591</v>
      </c>
      <c r="E185">
        <v>0.79434444050654385</v>
      </c>
      <c r="F185">
        <v>0.82070572456362023</v>
      </c>
      <c r="G185">
        <v>0.95633516986042866</v>
      </c>
      <c r="H185">
        <v>0.73331327368980814</v>
      </c>
      <c r="I185">
        <v>0.75040625478546674</v>
      </c>
      <c r="J185" t="s">
        <v>199</v>
      </c>
      <c r="K185" t="s">
        <v>233</v>
      </c>
      <c r="L185" t="s">
        <v>216</v>
      </c>
      <c r="M185" t="s">
        <v>225</v>
      </c>
    </row>
    <row r="186" spans="1:13" x14ac:dyDescent="0.25">
      <c r="A186" t="s">
        <v>93</v>
      </c>
      <c r="J186" t="s">
        <v>199</v>
      </c>
      <c r="K186" t="s">
        <v>202</v>
      </c>
      <c r="L186" t="s">
        <v>217</v>
      </c>
      <c r="M186" t="s">
        <v>225</v>
      </c>
    </row>
    <row r="187" spans="1:13" x14ac:dyDescent="0.25">
      <c r="A187" t="s">
        <v>94</v>
      </c>
      <c r="B187">
        <v>0.91129321303073851</v>
      </c>
      <c r="C187">
        <v>0.90751260829956815</v>
      </c>
      <c r="D187">
        <v>0.80874550808250145</v>
      </c>
      <c r="E187">
        <v>0.33188720103749958</v>
      </c>
      <c r="F187">
        <v>0.53909755865567377</v>
      </c>
      <c r="G187">
        <v>0.22976622038148339</v>
      </c>
      <c r="H187">
        <v>0.73595484455997728</v>
      </c>
      <c r="I187">
        <v>0.87008632911992012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0.99649303431559488</v>
      </c>
      <c r="C188">
        <v>0.99914287216591058</v>
      </c>
      <c r="D188">
        <v>0.99891675738776708</v>
      </c>
      <c r="E188">
        <v>0.99768733543474353</v>
      </c>
      <c r="F188">
        <v>0.99860965170434979</v>
      </c>
      <c r="G188">
        <v>0.99902151921287508</v>
      </c>
      <c r="H188">
        <v>0.9997685891964756</v>
      </c>
      <c r="I188">
        <v>0.99960283438274777</v>
      </c>
      <c r="J188" t="s">
        <v>199</v>
      </c>
      <c r="K188" t="s">
        <v>204</v>
      </c>
      <c r="L188" t="s">
        <v>217</v>
      </c>
      <c r="M188" t="s">
        <v>225</v>
      </c>
    </row>
    <row r="189" spans="1:13" x14ac:dyDescent="0.25">
      <c r="A189" t="s">
        <v>367</v>
      </c>
      <c r="B189">
        <v>3.729916033034844E-9</v>
      </c>
      <c r="C189">
        <v>3.6560332277504357E-10</v>
      </c>
      <c r="D189">
        <v>5.7278299166340963E-9</v>
      </c>
      <c r="E189">
        <v>6.2496682963784982E-6</v>
      </c>
      <c r="F189">
        <v>7.5013445059911249E-3</v>
      </c>
      <c r="G189">
        <v>6.2328488029005195E-3</v>
      </c>
      <c r="H189">
        <v>0.11366718291607522</v>
      </c>
      <c r="I189">
        <v>0.3538743513217526</v>
      </c>
      <c r="J189" t="s">
        <v>199</v>
      </c>
      <c r="K189" t="s">
        <v>239</v>
      </c>
      <c r="L189" t="s">
        <v>217</v>
      </c>
      <c r="M189" t="s">
        <v>225</v>
      </c>
    </row>
    <row r="190" spans="1:13" x14ac:dyDescent="0.25">
      <c r="A190" t="s">
        <v>368</v>
      </c>
      <c r="B190">
        <v>2.0328603590298231E-4</v>
      </c>
      <c r="C190">
        <v>2.7322159018786098E-5</v>
      </c>
      <c r="D190">
        <v>1.5992110926372927E-5</v>
      </c>
      <c r="E190">
        <v>4.3405761334892916E-4</v>
      </c>
      <c r="F190">
        <v>1.016794957691992E-3</v>
      </c>
      <c r="G190">
        <v>8.4293589577484965E-3</v>
      </c>
      <c r="H190">
        <v>6.1408823228251433E-2</v>
      </c>
      <c r="I190">
        <v>0.11744189077862199</v>
      </c>
      <c r="J190" t="s">
        <v>199</v>
      </c>
      <c r="K190" t="s">
        <v>241</v>
      </c>
      <c r="L190" t="s">
        <v>217</v>
      </c>
      <c r="M190" t="s">
        <v>225</v>
      </c>
    </row>
    <row r="191" spans="1:13" x14ac:dyDescent="0.25">
      <c r="A191" t="s">
        <v>96</v>
      </c>
      <c r="B191">
        <v>2.1350900702392689E-3</v>
      </c>
      <c r="C191">
        <v>3.2493003540348751E-2</v>
      </c>
      <c r="D191">
        <v>1.9983183534842019E-2</v>
      </c>
      <c r="E191">
        <v>0.22817554796139378</v>
      </c>
      <c r="F191">
        <v>0.97461625565644439</v>
      </c>
      <c r="G191">
        <v>0.9726800175444309</v>
      </c>
      <c r="H191">
        <v>0.99853810208872218</v>
      </c>
      <c r="I191">
        <v>0.99993362416778597</v>
      </c>
      <c r="J191" t="s">
        <v>199</v>
      </c>
      <c r="K191" t="s">
        <v>206</v>
      </c>
      <c r="L191" t="s">
        <v>217</v>
      </c>
      <c r="M191" t="s">
        <v>225</v>
      </c>
    </row>
    <row r="192" spans="1:13" x14ac:dyDescent="0.25">
      <c r="A192" t="s">
        <v>284</v>
      </c>
      <c r="B192">
        <v>6.8493021997806709E-30</v>
      </c>
      <c r="C192">
        <v>1.692684195068535E-23</v>
      </c>
      <c r="D192">
        <v>1.7299840557380883E-15</v>
      </c>
      <c r="E192">
        <v>4.0433882587551696E-12</v>
      </c>
      <c r="F192">
        <v>1.8037212697560125E-18</v>
      </c>
      <c r="G192">
        <v>1.7936213367331694E-8</v>
      </c>
      <c r="H192">
        <v>1.4608680145808546E-6</v>
      </c>
      <c r="I192">
        <v>2.6086300460804108E-7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0.99655962542424537</v>
      </c>
      <c r="C193">
        <v>0.98806763636413608</v>
      </c>
      <c r="D193">
        <v>0.94384284538797847</v>
      </c>
      <c r="E193">
        <v>0.98438656177324024</v>
      </c>
      <c r="F193">
        <v>0.98908870261042936</v>
      </c>
      <c r="G193">
        <v>0.96018736686081507</v>
      </c>
      <c r="H193">
        <v>0.9884609409479449</v>
      </c>
      <c r="I193">
        <v>0.9959652472422823</v>
      </c>
      <c r="J193" t="s">
        <v>199</v>
      </c>
      <c r="K193" t="s">
        <v>233</v>
      </c>
      <c r="L193" t="s">
        <v>217</v>
      </c>
      <c r="M193" t="s">
        <v>225</v>
      </c>
    </row>
    <row r="194" spans="1:13" x14ac:dyDescent="0.25">
      <c r="A194" t="s">
        <v>97</v>
      </c>
      <c r="J194" t="s">
        <v>199</v>
      </c>
      <c r="K194" t="s">
        <v>202</v>
      </c>
      <c r="L194" t="s">
        <v>218</v>
      </c>
      <c r="M194" t="s">
        <v>225</v>
      </c>
    </row>
    <row r="195" spans="1:13" x14ac:dyDescent="0.25">
      <c r="A195" t="s">
        <v>98</v>
      </c>
      <c r="B195">
        <v>0.75087518354681526</v>
      </c>
      <c r="C195">
        <v>0.92614217497118112</v>
      </c>
      <c r="D195">
        <v>0.92473645478834232</v>
      </c>
      <c r="E195">
        <v>0.273579852861007</v>
      </c>
      <c r="F195">
        <v>0.21834843032733067</v>
      </c>
      <c r="G195">
        <v>0.62128715097543541</v>
      </c>
      <c r="H195">
        <v>0.11016864621428742</v>
      </c>
      <c r="I195">
        <v>0.23021616398288799</v>
      </c>
      <c r="J195" t="s">
        <v>199</v>
      </c>
      <c r="K195" t="s">
        <v>203</v>
      </c>
      <c r="L195" t="s">
        <v>218</v>
      </c>
      <c r="M195" t="s">
        <v>225</v>
      </c>
    </row>
    <row r="196" spans="1:13" x14ac:dyDescent="0.25">
      <c r="A196" t="s">
        <v>99</v>
      </c>
      <c r="B196">
        <v>3.4547644923378557E-2</v>
      </c>
      <c r="C196">
        <v>0.53613503950433361</v>
      </c>
      <c r="D196">
        <v>0.35560895406270687</v>
      </c>
      <c r="E196">
        <v>1.0881320420102434E-2</v>
      </c>
      <c r="F196">
        <v>9.4117142632117984E-2</v>
      </c>
      <c r="G196">
        <v>0.19839592228268721</v>
      </c>
      <c r="H196">
        <v>9.2506147429664051E-2</v>
      </c>
      <c r="I196">
        <v>0.37725049482471951</v>
      </c>
      <c r="J196" t="s">
        <v>199</v>
      </c>
      <c r="K196" t="s">
        <v>204</v>
      </c>
      <c r="L196" t="s">
        <v>218</v>
      </c>
      <c r="M196" t="s">
        <v>225</v>
      </c>
    </row>
    <row r="197" spans="1:13" x14ac:dyDescent="0.25">
      <c r="A197" t="s">
        <v>370</v>
      </c>
      <c r="B197">
        <v>4.3035567201635807E-3</v>
      </c>
      <c r="C197">
        <v>0.14881660114437384</v>
      </c>
      <c r="D197">
        <v>0.19019739729463125</v>
      </c>
      <c r="E197">
        <v>8.5111956421398433E-2</v>
      </c>
      <c r="F197">
        <v>3.4093696332844564E-2</v>
      </c>
      <c r="G197">
        <v>6.8540968181539305E-2</v>
      </c>
      <c r="H197">
        <v>4.3880631564250157E-2</v>
      </c>
      <c r="I197">
        <v>8.7641619824795333E-2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5.3806045291400498E-2</v>
      </c>
      <c r="C198">
        <v>0.17207672063400636</v>
      </c>
      <c r="D198">
        <v>0.20822713488493672</v>
      </c>
      <c r="E198">
        <v>0.35675625192764515</v>
      </c>
      <c r="F198">
        <v>0.35320422528064299</v>
      </c>
      <c r="G198">
        <v>0.33528742458939398</v>
      </c>
      <c r="H198">
        <v>0.803814237905768</v>
      </c>
      <c r="I198">
        <v>0.61707499288954648</v>
      </c>
      <c r="J198" t="s">
        <v>199</v>
      </c>
      <c r="K198" t="s">
        <v>241</v>
      </c>
      <c r="L198" t="s">
        <v>218</v>
      </c>
      <c r="M198" t="s">
        <v>225</v>
      </c>
    </row>
    <row r="199" spans="1:13" x14ac:dyDescent="0.25">
      <c r="A199" t="s">
        <v>100</v>
      </c>
      <c r="B199">
        <v>4.537047710284685E-3</v>
      </c>
      <c r="C199">
        <v>6.2037688284130432E-3</v>
      </c>
      <c r="D199">
        <v>3.9594257198128209E-2</v>
      </c>
      <c r="E199">
        <v>8.5874872644113601E-2</v>
      </c>
      <c r="F199">
        <v>7.9949533921982563E-2</v>
      </c>
      <c r="G199">
        <v>0.27255455568277898</v>
      </c>
      <c r="H199">
        <v>0.11295814609444621</v>
      </c>
      <c r="I199">
        <v>1.6795421860620316E-2</v>
      </c>
      <c r="J199" t="s">
        <v>199</v>
      </c>
      <c r="K199" t="s">
        <v>206</v>
      </c>
      <c r="L199" t="s">
        <v>218</v>
      </c>
      <c r="M199" t="s">
        <v>225</v>
      </c>
    </row>
    <row r="200" spans="1:13" x14ac:dyDescent="0.25">
      <c r="A200" t="s">
        <v>285</v>
      </c>
      <c r="B200">
        <v>5.0276426960095815E-4</v>
      </c>
      <c r="C200">
        <v>6.1418065497073661E-3</v>
      </c>
      <c r="D200">
        <v>0.1185142776963945</v>
      </c>
      <c r="E200">
        <v>0.20822168935451685</v>
      </c>
      <c r="F200">
        <v>6.419554645495755E-2</v>
      </c>
      <c r="G200">
        <v>0.3115937897239498</v>
      </c>
      <c r="H200">
        <v>6.1371127295022289E-2</v>
      </c>
      <c r="I200">
        <v>9.574493933368447E-2</v>
      </c>
      <c r="J200" t="s">
        <v>199</v>
      </c>
      <c r="K200" t="s">
        <v>207</v>
      </c>
      <c r="L200" t="s">
        <v>218</v>
      </c>
      <c r="M200" t="s">
        <v>225</v>
      </c>
    </row>
    <row r="201" spans="1:13" x14ac:dyDescent="0.25">
      <c r="A201" t="s">
        <v>372</v>
      </c>
      <c r="B201">
        <v>2.1505182473402381E-2</v>
      </c>
      <c r="C201">
        <v>0.56621007232033127</v>
      </c>
      <c r="D201">
        <v>0.14993900415592115</v>
      </c>
      <c r="E201">
        <v>0.21724959924864573</v>
      </c>
      <c r="F201">
        <v>8.6196206798052621E-2</v>
      </c>
      <c r="G201">
        <v>0.46343046104456276</v>
      </c>
      <c r="H201">
        <v>0.20300773906194075</v>
      </c>
      <c r="I201">
        <v>0.18699868140377435</v>
      </c>
      <c r="J201" t="s">
        <v>199</v>
      </c>
      <c r="K201" t="s">
        <v>233</v>
      </c>
      <c r="L201" t="s">
        <v>218</v>
      </c>
      <c r="M201" t="s">
        <v>225</v>
      </c>
    </row>
    <row r="202" spans="1:13" x14ac:dyDescent="0.25">
      <c r="A202" t="s">
        <v>101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3.1441643164154043E-2</v>
      </c>
      <c r="C203">
        <v>0.34378667791606921</v>
      </c>
      <c r="D203">
        <v>0.36659832698831868</v>
      </c>
      <c r="E203">
        <v>0.32027036346327675</v>
      </c>
      <c r="F203">
        <v>0.69800584691564649</v>
      </c>
      <c r="G203">
        <v>0.90870111520505237</v>
      </c>
      <c r="H203">
        <v>4.505988205921227E-2</v>
      </c>
      <c r="I203">
        <v>0.65236318050020214</v>
      </c>
      <c r="J203" t="s">
        <v>199</v>
      </c>
      <c r="K203" t="s">
        <v>203</v>
      </c>
      <c r="L203" t="s">
        <v>219</v>
      </c>
      <c r="M203" t="s">
        <v>225</v>
      </c>
    </row>
    <row r="204" spans="1:13" x14ac:dyDescent="0.25">
      <c r="A204" t="s">
        <v>103</v>
      </c>
      <c r="B204">
        <v>0.12254227360368256</v>
      </c>
      <c r="C204">
        <v>0.7905624753262418</v>
      </c>
      <c r="D204">
        <v>0.60022608831875768</v>
      </c>
      <c r="E204">
        <v>0.64599347618680003</v>
      </c>
      <c r="F204">
        <v>0.85712743306886674</v>
      </c>
      <c r="G204">
        <v>0.86349442372578333</v>
      </c>
      <c r="H204">
        <v>0.73194855201941567</v>
      </c>
      <c r="I204">
        <v>0.53256809065065391</v>
      </c>
      <c r="J204" t="s">
        <v>199</v>
      </c>
      <c r="K204" t="s">
        <v>204</v>
      </c>
      <c r="L204" t="s">
        <v>219</v>
      </c>
      <c r="M204" t="s">
        <v>225</v>
      </c>
    </row>
    <row r="205" spans="1:13" x14ac:dyDescent="0.25">
      <c r="A205" t="s">
        <v>373</v>
      </c>
      <c r="B205">
        <v>0.11339868776470316</v>
      </c>
      <c r="C205">
        <v>1.6508484637153764E-2</v>
      </c>
      <c r="D205">
        <v>0.14459459656307749</v>
      </c>
      <c r="E205">
        <v>2.5636297104421096E-2</v>
      </c>
      <c r="F205">
        <v>3.8031497834358628E-2</v>
      </c>
      <c r="G205">
        <v>4.2996231375176983E-2</v>
      </c>
      <c r="H205">
        <v>3.7254324907386128E-3</v>
      </c>
      <c r="I205">
        <v>1.7880129276482578E-2</v>
      </c>
      <c r="J205" t="s">
        <v>199</v>
      </c>
      <c r="K205" t="s">
        <v>239</v>
      </c>
      <c r="L205" t="s">
        <v>219</v>
      </c>
      <c r="M205" t="s">
        <v>225</v>
      </c>
    </row>
    <row r="206" spans="1:13" x14ac:dyDescent="0.25">
      <c r="A206" t="s">
        <v>374</v>
      </c>
      <c r="B206">
        <v>3.0133195067073015E-2</v>
      </c>
      <c r="C206">
        <v>3.103504167640311E-2</v>
      </c>
      <c r="D206">
        <v>0.25380902148227014</v>
      </c>
      <c r="E206">
        <v>0.21534241860922099</v>
      </c>
      <c r="F206">
        <v>8.2217250238411629E-2</v>
      </c>
      <c r="G206">
        <v>0.13633767776143732</v>
      </c>
      <c r="H206">
        <v>8.2532706356298197E-2</v>
      </c>
      <c r="I206">
        <v>0.16527603118378312</v>
      </c>
      <c r="J206" t="s">
        <v>199</v>
      </c>
      <c r="K206" t="s">
        <v>241</v>
      </c>
      <c r="L206" t="s">
        <v>219</v>
      </c>
      <c r="M206" t="s">
        <v>225</v>
      </c>
    </row>
    <row r="207" spans="1:13" x14ac:dyDescent="0.25">
      <c r="A207" t="s">
        <v>104</v>
      </c>
      <c r="B207">
        <v>0.15766210946284315</v>
      </c>
      <c r="C207">
        <v>0.19262635957088375</v>
      </c>
      <c r="D207">
        <v>0.26683537442192545</v>
      </c>
      <c r="E207">
        <v>9.2966934613106456E-2</v>
      </c>
      <c r="F207">
        <v>0.54578091344769053</v>
      </c>
      <c r="G207">
        <v>0.90172095374295602</v>
      </c>
      <c r="H207">
        <v>0.33274279388245243</v>
      </c>
      <c r="I207">
        <v>0.60919141827462908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6.6718788827281016E-3</v>
      </c>
      <c r="C208">
        <v>3.7774958327550942E-2</v>
      </c>
      <c r="D208">
        <v>4.8999377457044906E-2</v>
      </c>
      <c r="E208">
        <v>4.1176664881576709E-2</v>
      </c>
      <c r="F208">
        <v>4.6709860523866234E-2</v>
      </c>
      <c r="G208">
        <v>5.0249768977648282E-2</v>
      </c>
      <c r="H208">
        <v>4.8525627107913E-2</v>
      </c>
      <c r="I208">
        <v>4.5556571276803237E-2</v>
      </c>
      <c r="J208" t="s">
        <v>199</v>
      </c>
      <c r="K208" t="s">
        <v>207</v>
      </c>
      <c r="L208" t="s">
        <v>219</v>
      </c>
      <c r="M208" t="s">
        <v>225</v>
      </c>
    </row>
    <row r="209" spans="1:13" x14ac:dyDescent="0.25">
      <c r="A209" t="s">
        <v>375</v>
      </c>
      <c r="B209">
        <v>0.25624777034633661</v>
      </c>
      <c r="C209">
        <v>0.62276951804906966</v>
      </c>
      <c r="D209">
        <v>0.77130755902396952</v>
      </c>
      <c r="E209">
        <v>0.22311117839468003</v>
      </c>
      <c r="F209">
        <v>0.81472167512453786</v>
      </c>
      <c r="G209">
        <v>0.96649382684019736</v>
      </c>
      <c r="H209">
        <v>0.50724868009821633</v>
      </c>
      <c r="I209">
        <v>0.42285500856516989</v>
      </c>
      <c r="J209" t="s">
        <v>199</v>
      </c>
      <c r="K209" t="s">
        <v>233</v>
      </c>
      <c r="L209" t="s">
        <v>219</v>
      </c>
      <c r="M209" t="s">
        <v>225</v>
      </c>
    </row>
    <row r="210" spans="1:13" x14ac:dyDescent="0.25">
      <c r="A210" t="s">
        <v>105</v>
      </c>
      <c r="J210" t="s">
        <v>199</v>
      </c>
      <c r="K210" t="s">
        <v>202</v>
      </c>
      <c r="L210" t="s">
        <v>220</v>
      </c>
      <c r="M210" t="s">
        <v>225</v>
      </c>
    </row>
    <row r="211" spans="1:13" x14ac:dyDescent="0.25">
      <c r="A211" t="s">
        <v>106</v>
      </c>
      <c r="B211">
        <v>0.1127163708393914</v>
      </c>
      <c r="C211">
        <v>6.1520524552322292E-2</v>
      </c>
      <c r="D211">
        <v>0.23018158751630913</v>
      </c>
      <c r="E211">
        <v>0.46923865990944341</v>
      </c>
      <c r="F211">
        <v>2.2173474840832347E-2</v>
      </c>
      <c r="G211">
        <v>0.13071557323988997</v>
      </c>
      <c r="H211">
        <v>0.50075026594163785</v>
      </c>
      <c r="I211">
        <v>2.9684072369145741E-3</v>
      </c>
      <c r="J211" t="s">
        <v>199</v>
      </c>
      <c r="K211" t="s">
        <v>203</v>
      </c>
      <c r="L211" t="s">
        <v>220</v>
      </c>
      <c r="M211" t="s">
        <v>225</v>
      </c>
    </row>
    <row r="212" spans="1:13" x14ac:dyDescent="0.25">
      <c r="A212" t="s">
        <v>107</v>
      </c>
      <c r="B212">
        <v>0.21502597897657577</v>
      </c>
      <c r="C212">
        <v>0.66128048934399231</v>
      </c>
      <c r="D212">
        <v>0.5294112082232294</v>
      </c>
      <c r="E212">
        <v>0.5463383271861838</v>
      </c>
      <c r="F212">
        <v>0.326550142809372</v>
      </c>
      <c r="G212">
        <v>0.25026221326956588</v>
      </c>
      <c r="H212">
        <v>0.84167499825531977</v>
      </c>
      <c r="I212">
        <v>0.53810342374123632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6.5230761517149488E-2</v>
      </c>
      <c r="C213">
        <v>7.6201539569314136E-2</v>
      </c>
      <c r="D213">
        <v>0.18543536133418126</v>
      </c>
      <c r="E213">
        <v>5.9014826130081327E-2</v>
      </c>
      <c r="F213">
        <v>4.0316177003636936E-3</v>
      </c>
      <c r="G213">
        <v>2.4791983761348602E-2</v>
      </c>
      <c r="H213">
        <v>0.19966982009396675</v>
      </c>
      <c r="I213">
        <v>5.2857134681988618E-2</v>
      </c>
      <c r="J213" t="s">
        <v>199</v>
      </c>
      <c r="K213" t="s">
        <v>239</v>
      </c>
      <c r="L213" t="s">
        <v>220</v>
      </c>
      <c r="M213" t="s">
        <v>225</v>
      </c>
    </row>
    <row r="214" spans="1:13" x14ac:dyDescent="0.25">
      <c r="A214" t="s">
        <v>377</v>
      </c>
      <c r="B214">
        <v>0.59619440989890904</v>
      </c>
      <c r="C214">
        <v>0.69971652011596541</v>
      </c>
      <c r="D214">
        <v>0.604383117859005</v>
      </c>
      <c r="E214">
        <v>0.3724033560881822</v>
      </c>
      <c r="F214">
        <v>2.5823503794983906E-2</v>
      </c>
      <c r="G214">
        <v>2.5427925954545877E-2</v>
      </c>
      <c r="H214">
        <v>0.22621815086939331</v>
      </c>
      <c r="I214">
        <v>0.12200927884719648</v>
      </c>
      <c r="J214" t="s">
        <v>199</v>
      </c>
      <c r="K214" t="s">
        <v>241</v>
      </c>
      <c r="L214" t="s">
        <v>220</v>
      </c>
      <c r="M214" t="s">
        <v>225</v>
      </c>
    </row>
    <row r="215" spans="1:13" x14ac:dyDescent="0.25">
      <c r="A215" t="s">
        <v>108</v>
      </c>
      <c r="B215">
        <v>0.59421703207186405</v>
      </c>
      <c r="C215">
        <v>0.44299312740492497</v>
      </c>
      <c r="D215">
        <v>0.33797547701042019</v>
      </c>
      <c r="E215">
        <v>0.14302384029572182</v>
      </c>
      <c r="F215">
        <v>1.8863464361371179E-2</v>
      </c>
      <c r="G215">
        <v>1.2221205206506915E-2</v>
      </c>
      <c r="H215">
        <v>0.17596352558929965</v>
      </c>
      <c r="I215">
        <v>5.20370492582563E-2</v>
      </c>
      <c r="J215" t="s">
        <v>199</v>
      </c>
      <c r="K215" t="s">
        <v>206</v>
      </c>
      <c r="L215" t="s">
        <v>220</v>
      </c>
      <c r="M215" t="s">
        <v>225</v>
      </c>
    </row>
    <row r="216" spans="1:13" x14ac:dyDescent="0.25">
      <c r="A216" t="s">
        <v>287</v>
      </c>
      <c r="B216">
        <v>0.16472574214436531</v>
      </c>
      <c r="C216">
        <v>3.1783035892414192E-2</v>
      </c>
      <c r="D216">
        <v>0.33124696262464703</v>
      </c>
      <c r="E216">
        <v>0.18441474700608945</v>
      </c>
      <c r="F216">
        <v>0.14250987461771161</v>
      </c>
      <c r="G216">
        <v>9.4592235020994245E-2</v>
      </c>
      <c r="H216">
        <v>0.25604787248467986</v>
      </c>
      <c r="I216">
        <v>0.10633687875170883</v>
      </c>
      <c r="J216" t="s">
        <v>199</v>
      </c>
      <c r="K216" t="s">
        <v>207</v>
      </c>
      <c r="L216" t="s">
        <v>220</v>
      </c>
      <c r="M216" t="s">
        <v>225</v>
      </c>
    </row>
    <row r="217" spans="1:13" x14ac:dyDescent="0.25">
      <c r="A217" t="s">
        <v>378</v>
      </c>
      <c r="B217">
        <v>0.14115486134383382</v>
      </c>
      <c r="C217">
        <v>0.47409115133407581</v>
      </c>
      <c r="D217">
        <v>0.38478520664914301</v>
      </c>
      <c r="E217">
        <v>7.9473387681518418E-2</v>
      </c>
      <c r="F217">
        <v>7.9222476119063148E-2</v>
      </c>
      <c r="G217">
        <v>0.24739452403678713</v>
      </c>
      <c r="H217">
        <v>0.21909008468499502</v>
      </c>
      <c r="I217">
        <v>0.18874944292199286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J218" t="s">
        <v>199</v>
      </c>
      <c r="K218" t="s">
        <v>202</v>
      </c>
      <c r="L218" t="s">
        <v>221</v>
      </c>
      <c r="M218" t="s">
        <v>225</v>
      </c>
    </row>
    <row r="219" spans="1:13" x14ac:dyDescent="0.25">
      <c r="A219" t="s">
        <v>110</v>
      </c>
      <c r="B219">
        <v>0.99731960347145332</v>
      </c>
      <c r="C219">
        <v>0.18516806151834048</v>
      </c>
      <c r="D219">
        <v>0.51410159910884323</v>
      </c>
      <c r="E219">
        <v>0.76221085595760774</v>
      </c>
      <c r="F219">
        <v>0.66010150345910557</v>
      </c>
      <c r="G219">
        <v>1.7528349503613965E-2</v>
      </c>
      <c r="H219">
        <v>0.11316997247680839</v>
      </c>
      <c r="I219">
        <v>0.38311375369525352</v>
      </c>
      <c r="J219" t="s">
        <v>199</v>
      </c>
      <c r="K219" t="s">
        <v>203</v>
      </c>
      <c r="L219" t="s">
        <v>221</v>
      </c>
      <c r="M219" t="s">
        <v>225</v>
      </c>
    </row>
    <row r="220" spans="1:13" x14ac:dyDescent="0.25">
      <c r="A220" t="s">
        <v>111</v>
      </c>
      <c r="B220">
        <v>0.99953240404567945</v>
      </c>
      <c r="C220">
        <v>0.14352717696579409</v>
      </c>
      <c r="D220">
        <v>0.27362688462422874</v>
      </c>
      <c r="E220">
        <v>0.68763629598115172</v>
      </c>
      <c r="F220">
        <v>0.51571061668885354</v>
      </c>
      <c r="G220">
        <v>0.20263073919888022</v>
      </c>
      <c r="H220">
        <v>0.12769107258001253</v>
      </c>
      <c r="I220">
        <v>0.34587573497315433</v>
      </c>
      <c r="J220" t="s">
        <v>199</v>
      </c>
      <c r="K220" t="s">
        <v>204</v>
      </c>
      <c r="L220" t="s">
        <v>221</v>
      </c>
      <c r="M220" t="s">
        <v>225</v>
      </c>
    </row>
    <row r="221" spans="1:13" x14ac:dyDescent="0.25">
      <c r="A221" t="s">
        <v>379</v>
      </c>
      <c r="B221">
        <v>0.54915481927916199</v>
      </c>
      <c r="C221">
        <v>0.51033391432401953</v>
      </c>
      <c r="D221">
        <v>0.26128854810143504</v>
      </c>
      <c r="E221">
        <v>2.0282242633375934E-2</v>
      </c>
      <c r="F221">
        <v>5.5074294459640696E-2</v>
      </c>
      <c r="G221">
        <v>6.8687547130067847E-2</v>
      </c>
      <c r="H221">
        <v>8.8723841924837829E-2</v>
      </c>
      <c r="I221">
        <v>5.4201924793509798E-2</v>
      </c>
      <c r="J221" t="s">
        <v>199</v>
      </c>
      <c r="K221" t="s">
        <v>239</v>
      </c>
      <c r="L221" t="s">
        <v>221</v>
      </c>
      <c r="M221" t="s">
        <v>225</v>
      </c>
    </row>
    <row r="222" spans="1:13" x14ac:dyDescent="0.25">
      <c r="A222" t="s">
        <v>380</v>
      </c>
      <c r="B222">
        <v>1.0922188375099597E-2</v>
      </c>
      <c r="C222">
        <v>5.0609891275032537E-3</v>
      </c>
      <c r="D222">
        <v>1.5447851877821628E-2</v>
      </c>
      <c r="E222">
        <v>6.0142089465936525E-3</v>
      </c>
      <c r="F222">
        <v>1.2317902462099108E-2</v>
      </c>
      <c r="G222">
        <v>2.9402496882093822E-2</v>
      </c>
      <c r="H222">
        <v>4.1513435834798912E-2</v>
      </c>
      <c r="I222">
        <v>1.232022769565644E-2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0.53653613329152383</v>
      </c>
      <c r="C223">
        <v>0.75361807519663115</v>
      </c>
      <c r="D223">
        <v>0.89431739585063741</v>
      </c>
      <c r="E223">
        <v>0.98342459483500022</v>
      </c>
      <c r="F223">
        <v>0.78249563545023093</v>
      </c>
      <c r="G223">
        <v>0.79345967555021213</v>
      </c>
      <c r="H223">
        <v>0.67070303678027965</v>
      </c>
      <c r="I223">
        <v>0.46596490744772462</v>
      </c>
      <c r="J223" t="s">
        <v>199</v>
      </c>
      <c r="K223" t="s">
        <v>206</v>
      </c>
      <c r="L223" t="s">
        <v>221</v>
      </c>
      <c r="M223" t="s">
        <v>225</v>
      </c>
    </row>
    <row r="224" spans="1:13" x14ac:dyDescent="0.25">
      <c r="A224" t="s">
        <v>288</v>
      </c>
      <c r="B224">
        <v>0.47969038765268157</v>
      </c>
      <c r="C224">
        <v>0.22971913823614828</v>
      </c>
      <c r="D224">
        <v>0.32873461296638434</v>
      </c>
      <c r="E224">
        <v>7.1200377694149164E-2</v>
      </c>
      <c r="F224">
        <v>6.3598425801625308E-2</v>
      </c>
      <c r="G224">
        <v>4.8204581084317563E-2</v>
      </c>
      <c r="H224">
        <v>0.19028464830030276</v>
      </c>
      <c r="I224">
        <v>8.6772139998873052E-2</v>
      </c>
      <c r="J224" t="s">
        <v>199</v>
      </c>
      <c r="K224" t="s">
        <v>207</v>
      </c>
      <c r="L224" t="s">
        <v>221</v>
      </c>
      <c r="M224" t="s">
        <v>225</v>
      </c>
    </row>
    <row r="225" spans="1:13" x14ac:dyDescent="0.25">
      <c r="A225" t="s">
        <v>381</v>
      </c>
      <c r="B225">
        <v>0.94592970557038991</v>
      </c>
      <c r="C225">
        <v>0.57270824411428933</v>
      </c>
      <c r="D225">
        <v>0.25600959322544309</v>
      </c>
      <c r="E225">
        <v>0.52939471378438974</v>
      </c>
      <c r="F225">
        <v>0.45010965128494684</v>
      </c>
      <c r="G225">
        <v>0.27016349975402998</v>
      </c>
      <c r="H225">
        <v>0.16723217986479383</v>
      </c>
      <c r="I225">
        <v>0.24885064292276393</v>
      </c>
      <c r="J225" t="s">
        <v>199</v>
      </c>
      <c r="K225" t="s">
        <v>233</v>
      </c>
      <c r="L225" t="s">
        <v>221</v>
      </c>
      <c r="M225" t="s">
        <v>225</v>
      </c>
    </row>
    <row r="226" spans="1:13" x14ac:dyDescent="0.25">
      <c r="A226" t="s">
        <v>113</v>
      </c>
      <c r="J226" t="s">
        <v>199</v>
      </c>
      <c r="K226" t="s">
        <v>202</v>
      </c>
      <c r="L226" t="s">
        <v>222</v>
      </c>
      <c r="M226" t="s">
        <v>225</v>
      </c>
    </row>
    <row r="227" spans="1:13" x14ac:dyDescent="0.25">
      <c r="A227" t="s">
        <v>114</v>
      </c>
      <c r="B227">
        <v>0.70263181687289444</v>
      </c>
      <c r="C227">
        <v>0.98480371672503453</v>
      </c>
      <c r="D227">
        <v>0.92315368501648276</v>
      </c>
      <c r="E227">
        <v>0.80053396167192559</v>
      </c>
      <c r="F227">
        <v>0.81133060503086751</v>
      </c>
      <c r="G227">
        <v>0.34909131797937082</v>
      </c>
      <c r="H227">
        <v>0.83912913757454133</v>
      </c>
      <c r="I227">
        <v>0.56762694987432138</v>
      </c>
      <c r="J227" t="s">
        <v>199</v>
      </c>
      <c r="K227" t="s">
        <v>203</v>
      </c>
      <c r="L227" t="s">
        <v>222</v>
      </c>
      <c r="M227" t="s">
        <v>225</v>
      </c>
    </row>
    <row r="228" spans="1:13" x14ac:dyDescent="0.25">
      <c r="A228" t="s">
        <v>115</v>
      </c>
      <c r="B228">
        <v>6.0626481021314925E-2</v>
      </c>
      <c r="C228">
        <v>0.29667494259264926</v>
      </c>
      <c r="D228">
        <v>0.62080559258088974</v>
      </c>
      <c r="E228">
        <v>0.13938970278798071</v>
      </c>
      <c r="F228">
        <v>0.29306960306179419</v>
      </c>
      <c r="G228">
        <v>0.1454502760892821</v>
      </c>
      <c r="H228">
        <v>0.51646898511797423</v>
      </c>
      <c r="I228">
        <v>8.6313809217979431E-2</v>
      </c>
      <c r="J228" t="s">
        <v>199</v>
      </c>
      <c r="K228" t="s">
        <v>204</v>
      </c>
      <c r="L228" t="s">
        <v>222</v>
      </c>
      <c r="M228" t="s">
        <v>225</v>
      </c>
    </row>
    <row r="229" spans="1:13" x14ac:dyDescent="0.25">
      <c r="A229" t="s">
        <v>382</v>
      </c>
      <c r="B229">
        <v>9.7377722712298512E-2</v>
      </c>
      <c r="C229">
        <v>0.69098905847200287</v>
      </c>
      <c r="D229">
        <v>0.94214554750438739</v>
      </c>
      <c r="E229">
        <v>0.73234129529899106</v>
      </c>
      <c r="F229">
        <v>0.69023986954360539</v>
      </c>
      <c r="G229">
        <v>0.51079405223324559</v>
      </c>
      <c r="H229">
        <v>0.89821874780667532</v>
      </c>
      <c r="I229">
        <v>0.57883034917044385</v>
      </c>
      <c r="J229" t="s">
        <v>199</v>
      </c>
      <c r="K229" t="s">
        <v>239</v>
      </c>
      <c r="L229" t="s">
        <v>222</v>
      </c>
      <c r="M229" t="s">
        <v>225</v>
      </c>
    </row>
    <row r="230" spans="1:13" x14ac:dyDescent="0.25">
      <c r="A230" t="s">
        <v>383</v>
      </c>
      <c r="B230">
        <v>2.9875296258623795E-2</v>
      </c>
      <c r="C230">
        <v>4.8939436561512423E-2</v>
      </c>
      <c r="D230">
        <v>0.12279944169630927</v>
      </c>
      <c r="E230">
        <v>0.10083825533718252</v>
      </c>
      <c r="F230">
        <v>5.831847448803306E-2</v>
      </c>
      <c r="G230">
        <v>3.2053946851695221E-2</v>
      </c>
      <c r="H230">
        <v>3.1791362414792329E-2</v>
      </c>
      <c r="I230">
        <v>4.2813952800361266E-2</v>
      </c>
      <c r="J230" t="s">
        <v>199</v>
      </c>
      <c r="K230" t="s">
        <v>241</v>
      </c>
      <c r="L230" t="s">
        <v>222</v>
      </c>
      <c r="M230" t="s">
        <v>225</v>
      </c>
    </row>
    <row r="231" spans="1:13" x14ac:dyDescent="0.25">
      <c r="A231" t="s">
        <v>116</v>
      </c>
      <c r="B231">
        <v>0.4730928129359212</v>
      </c>
      <c r="C231">
        <v>0.71625738907128778</v>
      </c>
      <c r="D231">
        <v>0.79545149950655114</v>
      </c>
      <c r="E231">
        <v>0.78680456329449</v>
      </c>
      <c r="F231">
        <v>0.86229374864285546</v>
      </c>
      <c r="G231">
        <v>0.73323550837635321</v>
      </c>
      <c r="H231">
        <v>0.85898412158727833</v>
      </c>
      <c r="I231">
        <v>0.74317744877295577</v>
      </c>
      <c r="J231" t="s">
        <v>199</v>
      </c>
      <c r="K231" t="s">
        <v>206</v>
      </c>
      <c r="L231" t="s">
        <v>222</v>
      </c>
      <c r="M231" t="s">
        <v>225</v>
      </c>
    </row>
    <row r="232" spans="1:13" x14ac:dyDescent="0.25">
      <c r="A232" t="s">
        <v>289</v>
      </c>
      <c r="B232">
        <v>0.16712581574345692</v>
      </c>
      <c r="C232">
        <v>0.7005150526575743</v>
      </c>
      <c r="D232">
        <v>0.78122288722784994</v>
      </c>
      <c r="E232">
        <v>0.56603360946075021</v>
      </c>
      <c r="F232">
        <v>0.87235536921750301</v>
      </c>
      <c r="G232">
        <v>0.41310031745252218</v>
      </c>
      <c r="H232">
        <v>0.92259852522471109</v>
      </c>
      <c r="I232">
        <v>0.7287580600087229</v>
      </c>
      <c r="J232" t="s">
        <v>199</v>
      </c>
      <c r="K232" t="s">
        <v>207</v>
      </c>
      <c r="L232" t="s">
        <v>222</v>
      </c>
      <c r="M232" t="s">
        <v>225</v>
      </c>
    </row>
    <row r="233" spans="1:13" x14ac:dyDescent="0.25">
      <c r="A233" t="s">
        <v>384</v>
      </c>
      <c r="B233">
        <v>0.64384888994492695</v>
      </c>
      <c r="C233">
        <v>0.13482003419013788</v>
      </c>
      <c r="D233">
        <v>0.52712945132955702</v>
      </c>
      <c r="E233">
        <v>3.5146744594909775E-2</v>
      </c>
      <c r="F233">
        <v>0.30705092187854521</v>
      </c>
      <c r="G233">
        <v>3.3127651616966314E-3</v>
      </c>
      <c r="H233">
        <v>0.55721172448963641</v>
      </c>
      <c r="I233">
        <v>0.47493732706366815</v>
      </c>
      <c r="J233" t="s">
        <v>199</v>
      </c>
      <c r="K233" t="s">
        <v>233</v>
      </c>
      <c r="L233" t="s">
        <v>222</v>
      </c>
      <c r="M233" t="s">
        <v>225</v>
      </c>
    </row>
    <row r="234" spans="1:13" x14ac:dyDescent="0.25">
      <c r="A234" t="s">
        <v>117</v>
      </c>
      <c r="J234" t="s">
        <v>199</v>
      </c>
      <c r="K234" t="s">
        <v>202</v>
      </c>
      <c r="L234" t="s">
        <v>223</v>
      </c>
      <c r="M234" t="s">
        <v>225</v>
      </c>
    </row>
    <row r="235" spans="1:13" x14ac:dyDescent="0.25">
      <c r="A235" t="s">
        <v>118</v>
      </c>
      <c r="B235">
        <v>0.47532899450989663</v>
      </c>
      <c r="C235">
        <v>0.37497499790217792</v>
      </c>
      <c r="D235">
        <v>0.16825992920119612</v>
      </c>
      <c r="E235">
        <v>0.24603386285394388</v>
      </c>
      <c r="F235">
        <v>0.19730901148748664</v>
      </c>
      <c r="G235">
        <v>3.0583443060920899E-2</v>
      </c>
      <c r="H235">
        <v>0.62375189035471157</v>
      </c>
      <c r="I235">
        <v>0.11189898412261244</v>
      </c>
      <c r="J235" t="s">
        <v>199</v>
      </c>
      <c r="K235" t="s">
        <v>203</v>
      </c>
      <c r="L235" t="s">
        <v>223</v>
      </c>
      <c r="M235" t="s">
        <v>225</v>
      </c>
    </row>
    <row r="236" spans="1:13" x14ac:dyDescent="0.25">
      <c r="A236" t="s">
        <v>119</v>
      </c>
      <c r="B236">
        <v>0.13577807557942817</v>
      </c>
      <c r="C236">
        <v>0.47805178525988351</v>
      </c>
      <c r="D236">
        <v>1.152534182731174E-2</v>
      </c>
      <c r="E236">
        <v>3.3921696557983737E-2</v>
      </c>
      <c r="F236">
        <v>1.0428532635604781E-2</v>
      </c>
      <c r="G236">
        <v>0.13571958284402585</v>
      </c>
      <c r="H236">
        <v>0.42140146698334924</v>
      </c>
      <c r="I236">
        <v>6.3232566998353917E-2</v>
      </c>
      <c r="J236" t="s">
        <v>199</v>
      </c>
      <c r="K236" t="s">
        <v>204</v>
      </c>
      <c r="L236" t="s">
        <v>223</v>
      </c>
      <c r="M236" t="s">
        <v>225</v>
      </c>
    </row>
    <row r="237" spans="1:13" x14ac:dyDescent="0.25">
      <c r="A237" t="s">
        <v>385</v>
      </c>
      <c r="B237">
        <v>5.7332664105542901E-3</v>
      </c>
      <c r="C237">
        <v>2.1829301057615411E-2</v>
      </c>
      <c r="D237">
        <v>8.1876296078634364E-2</v>
      </c>
      <c r="E237">
        <v>2.3962501767150475E-3</v>
      </c>
      <c r="F237">
        <v>3.6538768010299365E-2</v>
      </c>
      <c r="G237">
        <v>0.1112252499955127</v>
      </c>
      <c r="H237">
        <v>0.20992734533494478</v>
      </c>
      <c r="I237">
        <v>5.5145351677444443E-2</v>
      </c>
      <c r="J237" t="s">
        <v>199</v>
      </c>
      <c r="K237" t="s">
        <v>239</v>
      </c>
      <c r="L237" t="s">
        <v>223</v>
      </c>
      <c r="M237" t="s">
        <v>225</v>
      </c>
    </row>
    <row r="238" spans="1:13" x14ac:dyDescent="0.25">
      <c r="A238" t="s">
        <v>386</v>
      </c>
      <c r="B238">
        <v>0.41528027052098015</v>
      </c>
      <c r="C238">
        <v>0.67971957918257209</v>
      </c>
      <c r="D238">
        <v>0.34158456341380716</v>
      </c>
      <c r="E238">
        <v>0.75316450750932151</v>
      </c>
      <c r="F238">
        <v>0.80790035045156117</v>
      </c>
      <c r="G238">
        <v>0.96999236140202771</v>
      </c>
      <c r="H238">
        <v>0.91821355504737645</v>
      </c>
      <c r="I238">
        <v>0.96956432672131665</v>
      </c>
      <c r="J238" t="s">
        <v>199</v>
      </c>
      <c r="K238" t="s">
        <v>241</v>
      </c>
      <c r="L238" t="s">
        <v>223</v>
      </c>
      <c r="M238" t="s">
        <v>225</v>
      </c>
    </row>
    <row r="239" spans="1:13" x14ac:dyDescent="0.25">
      <c r="A239" t="s">
        <v>120</v>
      </c>
      <c r="B239">
        <v>1.4856652390662721E-2</v>
      </c>
      <c r="C239">
        <v>0.51854030573712595</v>
      </c>
      <c r="D239">
        <v>0.5122828091982452</v>
      </c>
      <c r="E239">
        <v>0.73942340188805855</v>
      </c>
      <c r="F239">
        <v>0.87257945670671344</v>
      </c>
      <c r="G239">
        <v>0.96110073198871049</v>
      </c>
      <c r="H239">
        <v>0.91720993086492819</v>
      </c>
      <c r="I239">
        <v>0.97118096948674582</v>
      </c>
      <c r="J239" t="s">
        <v>199</v>
      </c>
      <c r="K239" t="s">
        <v>206</v>
      </c>
      <c r="L239" t="s">
        <v>223</v>
      </c>
      <c r="M239" t="s">
        <v>225</v>
      </c>
    </row>
    <row r="240" spans="1:13" x14ac:dyDescent="0.25">
      <c r="A240" t="s">
        <v>290</v>
      </c>
      <c r="B240">
        <v>1.2238822444826648E-6</v>
      </c>
      <c r="C240">
        <v>2.7548365316216569E-5</v>
      </c>
      <c r="D240">
        <v>1.8343512321123509E-3</v>
      </c>
      <c r="E240">
        <v>7.9863347610063177E-4</v>
      </c>
      <c r="F240">
        <v>2.8496057373863012E-3</v>
      </c>
      <c r="G240">
        <v>1.1835986065201093E-2</v>
      </c>
      <c r="H240">
        <v>6.1667573887352986E-2</v>
      </c>
      <c r="I240">
        <v>1.1386430423232648E-2</v>
      </c>
      <c r="J240" t="s">
        <v>199</v>
      </c>
      <c r="K240" t="s">
        <v>207</v>
      </c>
      <c r="L240" t="s">
        <v>223</v>
      </c>
      <c r="M240" t="s">
        <v>225</v>
      </c>
    </row>
    <row r="241" spans="1:13" x14ac:dyDescent="0.25">
      <c r="A241" t="s">
        <v>387</v>
      </c>
      <c r="B241">
        <v>0.15859536629568882</v>
      </c>
      <c r="C241">
        <v>0.24680706015972009</v>
      </c>
      <c r="D241">
        <v>5.4171701638039332E-2</v>
      </c>
      <c r="E241">
        <v>8.1453424684169398E-2</v>
      </c>
      <c r="F241">
        <v>6.5585773921852997E-2</v>
      </c>
      <c r="G241">
        <v>9.2102865150482077E-2</v>
      </c>
      <c r="H241">
        <v>0.2600787715945182</v>
      </c>
      <c r="I241">
        <v>9.2183533788031489E-3</v>
      </c>
      <c r="J241" t="s">
        <v>199</v>
      </c>
      <c r="K241" t="s">
        <v>233</v>
      </c>
      <c r="L241" t="s">
        <v>223</v>
      </c>
      <c r="M241" t="s">
        <v>225</v>
      </c>
    </row>
    <row r="242" spans="1:13" x14ac:dyDescent="0.25">
      <c r="A242" t="s">
        <v>121</v>
      </c>
      <c r="J242" t="s">
        <v>200</v>
      </c>
      <c r="K242" t="s">
        <v>202</v>
      </c>
      <c r="L242" t="s">
        <v>209</v>
      </c>
      <c r="M242" t="s">
        <v>225</v>
      </c>
    </row>
    <row r="243" spans="1:13" x14ac:dyDescent="0.25">
      <c r="A243" t="s">
        <v>122</v>
      </c>
      <c r="B243">
        <v>1.2374973571075825E-2</v>
      </c>
      <c r="C243">
        <v>4.2170181624193455E-2</v>
      </c>
      <c r="D243">
        <v>0.11190227530097716</v>
      </c>
      <c r="E243">
        <v>0.14437992497030766</v>
      </c>
      <c r="F243">
        <v>0.13404541329485381</v>
      </c>
      <c r="G243">
        <v>0.20322535297910993</v>
      </c>
      <c r="H243">
        <v>0.23623141859048094</v>
      </c>
      <c r="I243">
        <v>0.27524039256639521</v>
      </c>
      <c r="J243" t="s">
        <v>200</v>
      </c>
      <c r="K243" t="s">
        <v>203</v>
      </c>
      <c r="L243" t="s">
        <v>209</v>
      </c>
      <c r="M243" t="s">
        <v>225</v>
      </c>
    </row>
    <row r="244" spans="1:13" x14ac:dyDescent="0.25">
      <c r="A244" t="s">
        <v>123</v>
      </c>
      <c r="B244">
        <v>0.81168226320013392</v>
      </c>
      <c r="C244">
        <v>0.88296691724672249</v>
      </c>
      <c r="D244">
        <v>0.9803066058192198</v>
      </c>
      <c r="E244">
        <v>0.99245437935681657</v>
      </c>
      <c r="F244">
        <v>0.99749437201989888</v>
      </c>
      <c r="G244">
        <v>0.99715206614573926</v>
      </c>
      <c r="H244">
        <v>0.99700369010140699</v>
      </c>
      <c r="I244">
        <v>0.99720275486332033</v>
      </c>
      <c r="J244" t="s">
        <v>200</v>
      </c>
      <c r="K244" t="s">
        <v>204</v>
      </c>
      <c r="L244" t="s">
        <v>209</v>
      </c>
      <c r="M244" t="s">
        <v>225</v>
      </c>
    </row>
    <row r="245" spans="1:13" x14ac:dyDescent="0.25">
      <c r="A245" t="s">
        <v>388</v>
      </c>
      <c r="B245">
        <v>1.2184631251539719E-7</v>
      </c>
      <c r="C245">
        <v>4.0230265145893991E-6</v>
      </c>
      <c r="D245">
        <v>3.7495319020494015E-4</v>
      </c>
      <c r="E245">
        <v>1.3332647358334468E-2</v>
      </c>
      <c r="F245">
        <v>9.0965408262113523E-2</v>
      </c>
      <c r="G245">
        <v>0.42275571740271006</v>
      </c>
      <c r="H245">
        <v>0.78684735661827032</v>
      </c>
      <c r="I245">
        <v>0.92811183973475575</v>
      </c>
      <c r="J245" t="s">
        <v>200</v>
      </c>
      <c r="K245" t="s">
        <v>239</v>
      </c>
      <c r="L245" t="s">
        <v>209</v>
      </c>
      <c r="M245" t="s">
        <v>225</v>
      </c>
    </row>
    <row r="246" spans="1:13" x14ac:dyDescent="0.25">
      <c r="A246" t="s">
        <v>389</v>
      </c>
      <c r="B246">
        <v>1.4853501004501867E-11</v>
      </c>
      <c r="C246">
        <v>1.2387531313918867E-10</v>
      </c>
      <c r="D246">
        <v>1.3898063730724122E-4</v>
      </c>
      <c r="E246">
        <v>0.22117745716263265</v>
      </c>
      <c r="F246">
        <v>0.83822015146391782</v>
      </c>
      <c r="G246">
        <v>0.98021771138129232</v>
      </c>
      <c r="H246">
        <v>0.99779944907920048</v>
      </c>
      <c r="I246">
        <v>0.9996224777413566</v>
      </c>
      <c r="J246" t="s">
        <v>200</v>
      </c>
      <c r="K246" t="s">
        <v>241</v>
      </c>
      <c r="L246" t="s">
        <v>209</v>
      </c>
      <c r="M246" t="s">
        <v>225</v>
      </c>
    </row>
    <row r="247" spans="1:13" x14ac:dyDescent="0.25">
      <c r="A247" t="s">
        <v>124</v>
      </c>
      <c r="B247">
        <v>5.252342062572518E-4</v>
      </c>
      <c r="C247">
        <v>2.1112006009335184E-4</v>
      </c>
      <c r="D247">
        <v>3.4458975346792604E-3</v>
      </c>
      <c r="E247">
        <v>0.11689906443466144</v>
      </c>
      <c r="F247">
        <v>0.70363228818649737</v>
      </c>
      <c r="G247">
        <v>0.98439709140490372</v>
      </c>
      <c r="H247">
        <v>0.99870762035185878</v>
      </c>
      <c r="I247">
        <v>0.99991483379403967</v>
      </c>
      <c r="J247" t="s">
        <v>200</v>
      </c>
      <c r="K247" t="s">
        <v>206</v>
      </c>
      <c r="L247" t="s">
        <v>209</v>
      </c>
      <c r="M247" t="s">
        <v>225</v>
      </c>
    </row>
    <row r="248" spans="1:13" x14ac:dyDescent="0.25">
      <c r="A248" t="s">
        <v>291</v>
      </c>
      <c r="B248">
        <v>2.0072650885567653E-14</v>
      </c>
      <c r="C248">
        <v>1.4578452284789882E-14</v>
      </c>
      <c r="D248">
        <v>3.4588300097498799E-10</v>
      </c>
      <c r="E248">
        <v>2.4575375899613358E-8</v>
      </c>
      <c r="F248">
        <v>1.4916964801706358E-6</v>
      </c>
      <c r="G248">
        <v>7.4060192333519397E-5</v>
      </c>
      <c r="H248">
        <v>2.3250783719138768E-3</v>
      </c>
      <c r="I248">
        <v>1.2481931376448041E-2</v>
      </c>
      <c r="J248" t="s">
        <v>200</v>
      </c>
      <c r="K248" t="s">
        <v>207</v>
      </c>
      <c r="L248" t="s">
        <v>209</v>
      </c>
      <c r="M248" t="s">
        <v>225</v>
      </c>
    </row>
    <row r="249" spans="1:13" x14ac:dyDescent="0.25">
      <c r="A249" t="s">
        <v>390</v>
      </c>
      <c r="B249">
        <v>8.8828390027265808E-2</v>
      </c>
      <c r="C249">
        <v>0.2085956584568836</v>
      </c>
      <c r="D249">
        <v>0.48887367266045917</v>
      </c>
      <c r="E249">
        <v>0.72457402731242726</v>
      </c>
      <c r="F249">
        <v>0.84253730872274679</v>
      </c>
      <c r="G249">
        <v>0.92516077320865908</v>
      </c>
      <c r="H249">
        <v>0.97409084823575987</v>
      </c>
      <c r="I249">
        <v>0.99103965329659938</v>
      </c>
      <c r="J249" t="s">
        <v>200</v>
      </c>
      <c r="K249" t="s">
        <v>233</v>
      </c>
      <c r="L249" t="s">
        <v>209</v>
      </c>
      <c r="M249" t="s">
        <v>225</v>
      </c>
    </row>
    <row r="250" spans="1:13" x14ac:dyDescent="0.25">
      <c r="A250" t="s">
        <v>125</v>
      </c>
      <c r="J250" t="s">
        <v>200</v>
      </c>
      <c r="K250" t="s">
        <v>202</v>
      </c>
      <c r="L250" t="s">
        <v>210</v>
      </c>
      <c r="M250" t="s">
        <v>225</v>
      </c>
    </row>
    <row r="251" spans="1:13" x14ac:dyDescent="0.25">
      <c r="A251" t="s">
        <v>126</v>
      </c>
      <c r="B251">
        <v>0.94491551457669187</v>
      </c>
      <c r="C251">
        <v>0.71467518602677083</v>
      </c>
      <c r="D251">
        <v>0.54021610845852541</v>
      </c>
      <c r="E251">
        <v>0.16425424715372405</v>
      </c>
      <c r="F251">
        <v>4.0981744719179591E-2</v>
      </c>
      <c r="G251">
        <v>3.3004419497546282E-2</v>
      </c>
      <c r="H251">
        <v>4.0507693561564952E-2</v>
      </c>
      <c r="I251">
        <v>3.3950781924733706E-2</v>
      </c>
      <c r="J251" t="s">
        <v>200</v>
      </c>
      <c r="K251" t="s">
        <v>203</v>
      </c>
      <c r="L251" t="s">
        <v>210</v>
      </c>
      <c r="M251" t="s">
        <v>225</v>
      </c>
    </row>
    <row r="252" spans="1:13" x14ac:dyDescent="0.25">
      <c r="A252" t="s">
        <v>127</v>
      </c>
      <c r="B252">
        <v>0.61887875278875593</v>
      </c>
      <c r="C252">
        <v>0.14253102777668386</v>
      </c>
      <c r="D252">
        <v>4.2619236560174027E-3</v>
      </c>
      <c r="E252">
        <v>2.1367789167503357E-2</v>
      </c>
      <c r="F252">
        <v>3.3938394223047612E-2</v>
      </c>
      <c r="G252">
        <v>1.6280997805474678E-2</v>
      </c>
      <c r="H252">
        <v>3.6371397296879035E-2</v>
      </c>
      <c r="I252">
        <v>6.7923788988173986E-2</v>
      </c>
      <c r="J252" t="s">
        <v>200</v>
      </c>
      <c r="K252" t="s">
        <v>204</v>
      </c>
      <c r="L252" t="s">
        <v>210</v>
      </c>
      <c r="M252" t="s">
        <v>225</v>
      </c>
    </row>
    <row r="253" spans="1:13" x14ac:dyDescent="0.25">
      <c r="A253" t="s">
        <v>391</v>
      </c>
      <c r="B253">
        <v>1.5179904969780416E-11</v>
      </c>
      <c r="C253">
        <v>1.4667894059763701E-12</v>
      </c>
      <c r="D253">
        <v>6.7802277370572151E-10</v>
      </c>
      <c r="E253">
        <v>2.714325820410991E-9</v>
      </c>
      <c r="F253">
        <v>4.9691992349450368E-7</v>
      </c>
      <c r="G253">
        <v>3.1026668160800212E-6</v>
      </c>
      <c r="H253">
        <v>1.0503771674735536E-4</v>
      </c>
      <c r="I253">
        <v>5.7178146762908058E-4</v>
      </c>
      <c r="J253" t="s">
        <v>200</v>
      </c>
      <c r="K253" t="s">
        <v>239</v>
      </c>
      <c r="L253" t="s">
        <v>210</v>
      </c>
      <c r="M253" t="s">
        <v>225</v>
      </c>
    </row>
    <row r="254" spans="1:13" x14ac:dyDescent="0.25">
      <c r="A254" t="s">
        <v>392</v>
      </c>
      <c r="B254">
        <v>1.4406067522946085E-12</v>
      </c>
      <c r="C254">
        <v>1.4612027714839855E-16</v>
      </c>
      <c r="D254">
        <v>1.7781360722017513E-8</v>
      </c>
      <c r="E254">
        <v>1.3438759701164065E-6</v>
      </c>
      <c r="F254">
        <v>3.8160729095620555E-5</v>
      </c>
      <c r="G254">
        <v>2.6033720411838671E-4</v>
      </c>
      <c r="H254">
        <v>6.875966382102687E-3</v>
      </c>
      <c r="I254">
        <v>7.6558773435535799E-2</v>
      </c>
      <c r="J254" t="s">
        <v>200</v>
      </c>
      <c r="K254" t="s">
        <v>241</v>
      </c>
      <c r="L254" t="s">
        <v>210</v>
      </c>
      <c r="M254" t="s">
        <v>225</v>
      </c>
    </row>
    <row r="255" spans="1:13" x14ac:dyDescent="0.25">
      <c r="A255" t="s">
        <v>128</v>
      </c>
      <c r="B255">
        <v>9.1068778640157459E-4</v>
      </c>
      <c r="C255">
        <v>8.0825917345852424E-5</v>
      </c>
      <c r="D255">
        <v>2.2325894478143323E-4</v>
      </c>
      <c r="E255">
        <v>4.2958016085118994E-4</v>
      </c>
      <c r="F255">
        <v>2.7631629579128987E-3</v>
      </c>
      <c r="G255">
        <v>9.4111444242034343E-3</v>
      </c>
      <c r="H255">
        <v>7.1938794728822475E-2</v>
      </c>
      <c r="I255">
        <v>0.18480953250832544</v>
      </c>
      <c r="J255" t="s">
        <v>200</v>
      </c>
      <c r="K255" t="s">
        <v>206</v>
      </c>
      <c r="L255" t="s">
        <v>210</v>
      </c>
      <c r="M255" t="s">
        <v>225</v>
      </c>
    </row>
    <row r="256" spans="1:13" x14ac:dyDescent="0.25">
      <c r="A256" t="s">
        <v>292</v>
      </c>
      <c r="B256">
        <v>4.6693442934382544E-22</v>
      </c>
      <c r="C256">
        <v>9.9376815086569941E-36</v>
      </c>
      <c r="D256">
        <v>2.0443413096694797E-29</v>
      </c>
      <c r="E256">
        <v>2.6407827496768918E-24</v>
      </c>
      <c r="F256">
        <v>4.1379586833082511E-20</v>
      </c>
      <c r="G256">
        <v>1.0762401451135258E-15</v>
      </c>
      <c r="H256">
        <v>7.734271213453047E-16</v>
      </c>
      <c r="I256">
        <v>2.257981105080401E-12</v>
      </c>
      <c r="J256" t="s">
        <v>200</v>
      </c>
      <c r="K256" t="s">
        <v>207</v>
      </c>
      <c r="L256" t="s">
        <v>210</v>
      </c>
      <c r="M256" t="s">
        <v>225</v>
      </c>
    </row>
    <row r="257" spans="1:13" x14ac:dyDescent="0.25">
      <c r="A257" t="s">
        <v>393</v>
      </c>
      <c r="B257">
        <v>0.97136949937008887</v>
      </c>
      <c r="C257">
        <v>0.68645409913934041</v>
      </c>
      <c r="D257">
        <v>0.62336860530698457</v>
      </c>
      <c r="E257">
        <v>0.24080553686512224</v>
      </c>
      <c r="F257">
        <v>3.8072918081418911E-2</v>
      </c>
      <c r="G257">
        <v>3.4483889053333806E-2</v>
      </c>
      <c r="H257">
        <v>3.8250935906400663E-2</v>
      </c>
      <c r="I257">
        <v>4.5426033352938357E-2</v>
      </c>
      <c r="J257" t="s">
        <v>200</v>
      </c>
      <c r="K257" t="s">
        <v>233</v>
      </c>
      <c r="L257" t="s">
        <v>210</v>
      </c>
      <c r="M257" t="s">
        <v>225</v>
      </c>
    </row>
    <row r="258" spans="1:13" x14ac:dyDescent="0.25">
      <c r="A258" t="s">
        <v>129</v>
      </c>
      <c r="J258" t="s">
        <v>200</v>
      </c>
      <c r="K258" t="s">
        <v>202</v>
      </c>
      <c r="L258" t="s">
        <v>211</v>
      </c>
      <c r="M258" t="s">
        <v>225</v>
      </c>
    </row>
    <row r="259" spans="1:13" x14ac:dyDescent="0.25">
      <c r="A259" t="s">
        <v>130</v>
      </c>
      <c r="B259">
        <v>0.72699718438642225</v>
      </c>
      <c r="C259">
        <v>0.62758693214777894</v>
      </c>
      <c r="D259">
        <v>0.8769027203348061</v>
      </c>
      <c r="E259">
        <v>0.86447509013088242</v>
      </c>
      <c r="F259">
        <v>0.83299842946562919</v>
      </c>
      <c r="G259">
        <v>0.81405593953417532</v>
      </c>
      <c r="H259">
        <v>0.84202270504452703</v>
      </c>
      <c r="I259">
        <v>0.78197398229362491</v>
      </c>
      <c r="J259" t="s">
        <v>200</v>
      </c>
      <c r="K259" t="s">
        <v>203</v>
      </c>
      <c r="L259" t="s">
        <v>211</v>
      </c>
      <c r="M259" t="s">
        <v>225</v>
      </c>
    </row>
    <row r="260" spans="1:13" x14ac:dyDescent="0.25">
      <c r="A260" t="s">
        <v>131</v>
      </c>
      <c r="B260">
        <v>0.53795833911308455</v>
      </c>
      <c r="C260">
        <v>0.11673259946592796</v>
      </c>
      <c r="D260">
        <v>0.44194741639762891</v>
      </c>
      <c r="E260">
        <v>0.38649697777248793</v>
      </c>
      <c r="F260">
        <v>0.39980683269812273</v>
      </c>
      <c r="G260">
        <v>0.34589434532569857</v>
      </c>
      <c r="H260">
        <v>0.18124235340512576</v>
      </c>
      <c r="I260">
        <v>0.22358032017075072</v>
      </c>
      <c r="J260" t="s">
        <v>200</v>
      </c>
      <c r="K260" t="s">
        <v>204</v>
      </c>
      <c r="L260" t="s">
        <v>211</v>
      </c>
      <c r="M260" t="s">
        <v>225</v>
      </c>
    </row>
    <row r="261" spans="1:13" x14ac:dyDescent="0.25">
      <c r="A261" t="s">
        <v>394</v>
      </c>
      <c r="B261">
        <v>3.8240985682568206E-5</v>
      </c>
      <c r="C261">
        <v>2.8431800511387066E-6</v>
      </c>
      <c r="D261">
        <v>4.8672127502385146E-5</v>
      </c>
      <c r="E261">
        <v>5.2178518235335939E-4</v>
      </c>
      <c r="F261">
        <v>5.24626111494859E-3</v>
      </c>
      <c r="G261">
        <v>2.2370825475076635E-2</v>
      </c>
      <c r="H261">
        <v>8.4537701863604223E-2</v>
      </c>
      <c r="I261">
        <v>0.19537090063587262</v>
      </c>
      <c r="J261" t="s">
        <v>200</v>
      </c>
      <c r="K261" t="s">
        <v>239</v>
      </c>
      <c r="L261" t="s">
        <v>211</v>
      </c>
      <c r="M261" t="s">
        <v>225</v>
      </c>
    </row>
    <row r="262" spans="1:13" x14ac:dyDescent="0.25">
      <c r="A262" t="s">
        <v>395</v>
      </c>
      <c r="B262">
        <v>6.975056053089122E-8</v>
      </c>
      <c r="C262">
        <v>4.4111199271421374E-15</v>
      </c>
      <c r="D262">
        <v>3.786660299004316E-11</v>
      </c>
      <c r="E262">
        <v>1.0630879638134048E-8</v>
      </c>
      <c r="F262">
        <v>1.9949779106918769E-6</v>
      </c>
      <c r="G262">
        <v>6.6101336304000306E-6</v>
      </c>
      <c r="H262">
        <v>1.5482952080143966E-5</v>
      </c>
      <c r="I262">
        <v>1.2010382418279134E-4</v>
      </c>
      <c r="J262" t="s">
        <v>200</v>
      </c>
      <c r="K262" t="s">
        <v>241</v>
      </c>
      <c r="L262" t="s">
        <v>211</v>
      </c>
      <c r="M262" t="s">
        <v>225</v>
      </c>
    </row>
    <row r="263" spans="1:13" x14ac:dyDescent="0.25">
      <c r="A263" t="s">
        <v>132</v>
      </c>
      <c r="B263">
        <v>2.0269675309627587E-3</v>
      </c>
      <c r="C263">
        <v>4.812391047577152E-4</v>
      </c>
      <c r="D263">
        <v>6.2281533892891584E-4</v>
      </c>
      <c r="E263">
        <v>5.825158507977767E-3</v>
      </c>
      <c r="F263">
        <v>4.6593086932091424E-2</v>
      </c>
      <c r="G263">
        <v>0.10777214220714776</v>
      </c>
      <c r="H263">
        <v>0.35182747816465576</v>
      </c>
      <c r="I263">
        <v>0.83809146024246028</v>
      </c>
      <c r="J263" t="s">
        <v>200</v>
      </c>
      <c r="K263" t="s">
        <v>206</v>
      </c>
      <c r="L263" t="s">
        <v>211</v>
      </c>
      <c r="M263" t="s">
        <v>225</v>
      </c>
    </row>
    <row r="264" spans="1:13" x14ac:dyDescent="0.25">
      <c r="A264" t="s">
        <v>293</v>
      </c>
      <c r="B264">
        <v>5.0805103245203458E-7</v>
      </c>
      <c r="C264">
        <v>2.7167536003678972E-7</v>
      </c>
      <c r="D264">
        <v>1.1842277800499673E-5</v>
      </c>
      <c r="E264">
        <v>1.014331257757652E-4</v>
      </c>
      <c r="F264">
        <v>1.017581300901344E-3</v>
      </c>
      <c r="G264">
        <v>3.1849738137944492E-3</v>
      </c>
      <c r="H264">
        <v>6.6058940257100818E-3</v>
      </c>
      <c r="I264">
        <v>1.4106736106365283E-2</v>
      </c>
      <c r="J264" t="s">
        <v>200</v>
      </c>
      <c r="K264" t="s">
        <v>207</v>
      </c>
      <c r="L264" t="s">
        <v>211</v>
      </c>
      <c r="M264" t="s">
        <v>225</v>
      </c>
    </row>
    <row r="265" spans="1:13" x14ac:dyDescent="0.25">
      <c r="A265" t="s">
        <v>396</v>
      </c>
      <c r="B265">
        <v>0.61220128720773892</v>
      </c>
      <c r="C265">
        <v>0.58101738397917824</v>
      </c>
      <c r="D265">
        <v>0.5456281489896474</v>
      </c>
      <c r="E265">
        <v>0.59348804644697339</v>
      </c>
      <c r="F265">
        <v>0.46494713166482887</v>
      </c>
      <c r="G265">
        <v>0.37030519998784073</v>
      </c>
      <c r="H265">
        <v>0.33446813501500072</v>
      </c>
      <c r="I265">
        <v>0.29526137808042191</v>
      </c>
      <c r="J265" t="s">
        <v>200</v>
      </c>
      <c r="K265" t="s">
        <v>233</v>
      </c>
      <c r="L265" t="s">
        <v>211</v>
      </c>
      <c r="M265" t="s">
        <v>225</v>
      </c>
    </row>
    <row r="266" spans="1:13" x14ac:dyDescent="0.25">
      <c r="A266" t="s">
        <v>133</v>
      </c>
      <c r="J266" t="s">
        <v>200</v>
      </c>
      <c r="K266" t="s">
        <v>202</v>
      </c>
      <c r="L266" t="s">
        <v>212</v>
      </c>
      <c r="M266" t="s">
        <v>225</v>
      </c>
    </row>
    <row r="267" spans="1:13" x14ac:dyDescent="0.25">
      <c r="A267" t="s">
        <v>134</v>
      </c>
      <c r="B267">
        <v>0.78595693930920363</v>
      </c>
      <c r="C267">
        <v>0.55824013637248748</v>
      </c>
      <c r="D267">
        <v>0.65725995730134246</v>
      </c>
      <c r="E267">
        <v>0.69090013428651598</v>
      </c>
      <c r="F267">
        <v>0.60183896676449788</v>
      </c>
      <c r="G267">
        <v>0.56357888757731556</v>
      </c>
      <c r="H267">
        <v>0.45424239157829632</v>
      </c>
      <c r="I267">
        <v>0.41919912122056235</v>
      </c>
      <c r="J267" t="s">
        <v>200</v>
      </c>
      <c r="K267" t="s">
        <v>203</v>
      </c>
      <c r="L267" t="s">
        <v>212</v>
      </c>
      <c r="M267" t="s">
        <v>225</v>
      </c>
    </row>
    <row r="268" spans="1:13" x14ac:dyDescent="0.25">
      <c r="A268" t="s">
        <v>135</v>
      </c>
      <c r="B268">
        <v>0.63263328059728496</v>
      </c>
      <c r="C268">
        <v>0.30702822356718901</v>
      </c>
      <c r="D268">
        <v>0.81689239553173087</v>
      </c>
      <c r="E268">
        <v>0.98865462138123616</v>
      </c>
      <c r="F268">
        <v>0.93825999371279101</v>
      </c>
      <c r="G268">
        <v>0.91393526923768709</v>
      </c>
      <c r="H268">
        <v>0.89606702383701609</v>
      </c>
      <c r="I268">
        <v>0.86053654110983002</v>
      </c>
      <c r="J268" t="s">
        <v>200</v>
      </c>
      <c r="K268" t="s">
        <v>204</v>
      </c>
      <c r="L268" t="s">
        <v>212</v>
      </c>
      <c r="M268" t="s">
        <v>225</v>
      </c>
    </row>
    <row r="269" spans="1:13" x14ac:dyDescent="0.25">
      <c r="A269" t="s">
        <v>397</v>
      </c>
      <c r="B269">
        <v>9.7171328132956098E-17</v>
      </c>
      <c r="C269">
        <v>1.027119759667759E-13</v>
      </c>
      <c r="D269">
        <v>2.5106930841063036E-13</v>
      </c>
      <c r="E269">
        <v>3.0796494805790897E-9</v>
      </c>
      <c r="F269">
        <v>7.5692919974093037E-8</v>
      </c>
      <c r="G269">
        <v>4.5353639826505475E-5</v>
      </c>
      <c r="H269">
        <v>9.4165436519808314E-4</v>
      </c>
      <c r="I269">
        <v>2.289818176588139E-2</v>
      </c>
      <c r="J269" t="s">
        <v>200</v>
      </c>
      <c r="K269" t="s">
        <v>239</v>
      </c>
      <c r="L269" t="s">
        <v>212</v>
      </c>
      <c r="M269" t="s">
        <v>225</v>
      </c>
    </row>
    <row r="270" spans="1:13" x14ac:dyDescent="0.25">
      <c r="A270" t="s">
        <v>398</v>
      </c>
      <c r="B270">
        <v>3.1082285512733685E-9</v>
      </c>
      <c r="C270">
        <v>3.9171964847073266E-6</v>
      </c>
      <c r="D270">
        <v>6.113845574744003E-3</v>
      </c>
      <c r="E270">
        <v>0.26925812933403465</v>
      </c>
      <c r="F270">
        <v>0.74640312602814662</v>
      </c>
      <c r="G270">
        <v>0.94837878358957617</v>
      </c>
      <c r="H270">
        <v>0.99499256102643774</v>
      </c>
      <c r="I270">
        <v>0.9993218318058863</v>
      </c>
      <c r="J270" t="s">
        <v>200</v>
      </c>
      <c r="K270" t="s">
        <v>241</v>
      </c>
      <c r="L270" t="s">
        <v>212</v>
      </c>
      <c r="M270" t="s">
        <v>225</v>
      </c>
    </row>
    <row r="271" spans="1:13" x14ac:dyDescent="0.25">
      <c r="A271" t="s">
        <v>136</v>
      </c>
      <c r="B271">
        <v>1.8716388385089152E-4</v>
      </c>
      <c r="C271">
        <v>1.6422974202792983E-5</v>
      </c>
      <c r="D271">
        <v>3.6988047188837506E-4</v>
      </c>
      <c r="E271">
        <v>5.6713444904055712E-3</v>
      </c>
      <c r="F271">
        <v>1.6935987233825233E-2</v>
      </c>
      <c r="G271">
        <v>5.9513234767433448E-2</v>
      </c>
      <c r="H271">
        <v>0.2109125670030807</v>
      </c>
      <c r="I271">
        <v>0.57953476187950381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5.0633171012258591E-22</v>
      </c>
      <c r="C272">
        <v>1.4283405448225554E-17</v>
      </c>
      <c r="D272">
        <v>2.3047790185562546E-14</v>
      </c>
      <c r="E272">
        <v>4.3586896642530092E-11</v>
      </c>
      <c r="F272">
        <v>2.1096671502081022E-9</v>
      </c>
      <c r="G272">
        <v>5.8643597003421046E-8</v>
      </c>
      <c r="H272">
        <v>8.2575781181695529E-7</v>
      </c>
      <c r="I272">
        <v>4.3896293710704251E-6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0.99470260986515124</v>
      </c>
      <c r="C273">
        <v>0.95492618672869289</v>
      </c>
      <c r="D273">
        <v>0.90094826706638043</v>
      </c>
      <c r="E273">
        <v>0.97682105696556043</v>
      </c>
      <c r="F273">
        <v>0.97534561619484283</v>
      </c>
      <c r="G273">
        <v>0.96952479222761967</v>
      </c>
      <c r="H273">
        <v>0.84073108129247409</v>
      </c>
      <c r="I273">
        <v>0.83117231956564352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0.59289698881267905</v>
      </c>
      <c r="C275">
        <v>0.48897796399446519</v>
      </c>
      <c r="D275">
        <v>0.38035205877844303</v>
      </c>
      <c r="E275">
        <v>0.48502370191450589</v>
      </c>
      <c r="F275">
        <v>0.80592678816291874</v>
      </c>
      <c r="G275">
        <v>0.89710784652562214</v>
      </c>
      <c r="H275">
        <v>0.9302092694671934</v>
      </c>
      <c r="I275">
        <v>0.96383608316069946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0.15023969922254757</v>
      </c>
      <c r="C276">
        <v>0.16755081422233781</v>
      </c>
      <c r="D276">
        <v>0.22763989044750951</v>
      </c>
      <c r="E276">
        <v>0.49244095127120746</v>
      </c>
      <c r="F276">
        <v>0.49137423983377904</v>
      </c>
      <c r="G276">
        <v>0.63270197508520387</v>
      </c>
      <c r="H276">
        <v>0.77849950273395296</v>
      </c>
      <c r="I276">
        <v>0.82511462167685601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3.9001290298932279E-6</v>
      </c>
      <c r="C277">
        <v>7.7857101473776963E-8</v>
      </c>
      <c r="D277">
        <v>1.5534523803425738E-5</v>
      </c>
      <c r="E277">
        <v>2.7442538685154636E-4</v>
      </c>
      <c r="F277">
        <v>9.0188921892622193E-3</v>
      </c>
      <c r="G277">
        <v>8.9988388646982623E-2</v>
      </c>
      <c r="H277">
        <v>0.56522621817050167</v>
      </c>
      <c r="I277">
        <v>0.78744386641768793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2.3209830428596731E-5</v>
      </c>
      <c r="C278">
        <v>4.7616079784303218E-6</v>
      </c>
      <c r="D278">
        <v>4.6023274583929211E-4</v>
      </c>
      <c r="E278">
        <v>1.0212775557445014E-2</v>
      </c>
      <c r="F278">
        <v>0.24086813481412075</v>
      </c>
      <c r="G278">
        <v>0.8693738837019076</v>
      </c>
      <c r="H278">
        <v>0.99086961415237929</v>
      </c>
      <c r="I278">
        <v>0.98666220533491911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3.9516094320737614E-5</v>
      </c>
      <c r="C279">
        <v>1.8175461941954239E-4</v>
      </c>
      <c r="D279">
        <v>1.3833514930659439E-3</v>
      </c>
      <c r="E279">
        <v>7.9375068802331791E-2</v>
      </c>
      <c r="F279">
        <v>0.40435030443062131</v>
      </c>
      <c r="G279">
        <v>0.76242102281909818</v>
      </c>
      <c r="H279">
        <v>0.97735855831740959</v>
      </c>
      <c r="I279">
        <v>0.98829798087005327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7.981425416743586E-13</v>
      </c>
      <c r="C280">
        <v>3.7243151005972083E-12</v>
      </c>
      <c r="D280">
        <v>3.0689073023109669E-10</v>
      </c>
      <c r="E280">
        <v>9.5490947858154593E-8</v>
      </c>
      <c r="F280">
        <v>5.9011314956040835E-7</v>
      </c>
      <c r="G280">
        <v>1.4277145886188325E-5</v>
      </c>
      <c r="H280">
        <v>9.7091647884592339E-5</v>
      </c>
      <c r="I280">
        <v>1.0020759167506841E-3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0.83831927989558774</v>
      </c>
      <c r="C281">
        <v>0.87249191906222312</v>
      </c>
      <c r="D281">
        <v>0.90169988386945787</v>
      </c>
      <c r="E281">
        <v>0.78656898244203299</v>
      </c>
      <c r="F281">
        <v>0.75735304124034597</v>
      </c>
      <c r="G281">
        <v>0.83313623640433443</v>
      </c>
      <c r="H281">
        <v>0.84519834586501741</v>
      </c>
      <c r="I281">
        <v>0.88212342658575116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0.21005990091720783</v>
      </c>
      <c r="C283">
        <v>0.16110375107962216</v>
      </c>
      <c r="D283">
        <v>0.13556256920752474</v>
      </c>
      <c r="E283">
        <v>0.16100088890812614</v>
      </c>
      <c r="F283">
        <v>0.32602213967764693</v>
      </c>
      <c r="G283">
        <v>0.70428177766944244</v>
      </c>
      <c r="H283">
        <v>0.79891353851740454</v>
      </c>
      <c r="I283">
        <v>0.82571228840704713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0.88246785621560542</v>
      </c>
      <c r="C284">
        <v>0.99731485246403606</v>
      </c>
      <c r="D284">
        <v>0.95010524082872916</v>
      </c>
      <c r="E284">
        <v>0.96836045645842717</v>
      </c>
      <c r="F284">
        <v>0.89035769687372324</v>
      </c>
      <c r="G284">
        <v>0.92593776780721448</v>
      </c>
      <c r="H284">
        <v>0.87206594132689907</v>
      </c>
      <c r="I284">
        <v>0.93204066889900661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3.7788681711535529E-10</v>
      </c>
      <c r="C285">
        <v>6.4825683697319094E-9</v>
      </c>
      <c r="D285">
        <v>1.3451679406580287E-7</v>
      </c>
      <c r="E285">
        <v>2.9874819849770279E-5</v>
      </c>
      <c r="F285">
        <v>2.3369243336282303E-4</v>
      </c>
      <c r="G285">
        <v>1.1583097637891841E-2</v>
      </c>
      <c r="H285">
        <v>0.15063490246269096</v>
      </c>
      <c r="I285">
        <v>0.40164221053557519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7.8386029698710337E-12</v>
      </c>
      <c r="C286">
        <v>3.1805214836336444E-10</v>
      </c>
      <c r="D286">
        <v>5.5869296752658982E-5</v>
      </c>
      <c r="E286">
        <v>5.3241862727096939E-2</v>
      </c>
      <c r="F286">
        <v>0.43144527993872939</v>
      </c>
      <c r="G286">
        <v>0.77847413585754865</v>
      </c>
      <c r="H286">
        <v>0.8802362213759275</v>
      </c>
      <c r="I286">
        <v>0.92160188025866607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2.7555295285478826E-3</v>
      </c>
      <c r="C287">
        <v>2.3208431733660426E-4</v>
      </c>
      <c r="D287">
        <v>1.8955898985761504E-3</v>
      </c>
      <c r="E287">
        <v>3.3529119874451875E-2</v>
      </c>
      <c r="F287">
        <v>0.27269413759233874</v>
      </c>
      <c r="G287">
        <v>0.59111693090299111</v>
      </c>
      <c r="H287">
        <v>0.84377213487218516</v>
      </c>
      <c r="I287">
        <v>0.94419200795677261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3.6184500506823099E-13</v>
      </c>
      <c r="C288">
        <v>4.3535745246557117E-17</v>
      </c>
      <c r="D288">
        <v>2.8249771503850941E-14</v>
      </c>
      <c r="E288">
        <v>1.2958714126994256E-13</v>
      </c>
      <c r="F288">
        <v>2.5267651041257484E-12</v>
      </c>
      <c r="G288">
        <v>3.1292981834558447E-12</v>
      </c>
      <c r="H288">
        <v>4.8404490987778074E-11</v>
      </c>
      <c r="I288">
        <v>7.8354485348121883E-9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0.48721757429792117</v>
      </c>
      <c r="C289">
        <v>0.33373617821629481</v>
      </c>
      <c r="D289">
        <v>8.0239755092639212E-2</v>
      </c>
      <c r="E289">
        <v>4.4256108516840975E-2</v>
      </c>
      <c r="F289">
        <v>1.7982993408640322E-2</v>
      </c>
      <c r="G289">
        <v>9.2748627007311207E-2</v>
      </c>
      <c r="H289">
        <v>0.18903987293041324</v>
      </c>
      <c r="I289">
        <v>0.36043471426560869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0.92715578332436999</v>
      </c>
      <c r="C291">
        <v>0.34070177278333913</v>
      </c>
      <c r="D291">
        <v>0.2109386525472533</v>
      </c>
      <c r="E291">
        <v>0.1251581375170113</v>
      </c>
      <c r="F291">
        <v>0.48810947237910529</v>
      </c>
      <c r="G291">
        <v>1.5004643451167754E-2</v>
      </c>
      <c r="H291">
        <v>1.2725888995021139E-3</v>
      </c>
      <c r="I291">
        <v>2.2327229052910083E-2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0.33609401876400524</v>
      </c>
      <c r="C292">
        <v>0.60796526437366383</v>
      </c>
      <c r="D292">
        <v>0.52266462497257549</v>
      </c>
      <c r="E292">
        <v>0.73367421904600283</v>
      </c>
      <c r="F292">
        <v>0.65482698344457546</v>
      </c>
      <c r="G292">
        <v>0.37860118390949815</v>
      </c>
      <c r="H292">
        <v>8.8889586201356067E-3</v>
      </c>
      <c r="I292">
        <v>0.49586639236552216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0.17115545931083234</v>
      </c>
      <c r="C293">
        <v>0.65932036886536804</v>
      </c>
      <c r="D293">
        <v>0.10268155076854343</v>
      </c>
      <c r="E293">
        <v>0.62720242800619719</v>
      </c>
      <c r="F293">
        <v>0.88640025791727806</v>
      </c>
      <c r="G293">
        <v>0.5124097821161635</v>
      </c>
      <c r="H293">
        <v>0.84097726213136459</v>
      </c>
      <c r="I293">
        <v>0.98794362077867492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2.1136598992472035E-4</v>
      </c>
      <c r="C294">
        <v>3.7457701614089858E-4</v>
      </c>
      <c r="D294">
        <v>3.7089166933546226E-4</v>
      </c>
      <c r="E294">
        <v>2.1310761489199862E-2</v>
      </c>
      <c r="F294">
        <v>0.37834852614777187</v>
      </c>
      <c r="G294">
        <v>0.15582032893988745</v>
      </c>
      <c r="H294">
        <v>8.986984372970272E-2</v>
      </c>
      <c r="I294">
        <v>0.44094394743734577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0.50864377122156668</v>
      </c>
      <c r="C295">
        <v>2.1740126517767074E-2</v>
      </c>
      <c r="D295">
        <v>5.1476682142643837E-2</v>
      </c>
      <c r="E295">
        <v>0.92379688921448977</v>
      </c>
      <c r="F295">
        <v>0.74460579442280594</v>
      </c>
      <c r="G295">
        <v>0.40816883340267979</v>
      </c>
      <c r="H295">
        <v>0.89424772722997159</v>
      </c>
      <c r="I295">
        <v>0.96584134318151393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1.628636797819663E-9</v>
      </c>
      <c r="C296">
        <v>1.8990759667561339E-9</v>
      </c>
      <c r="D296">
        <v>2.6613280723218973E-8</v>
      </c>
      <c r="E296">
        <v>1.4306545214063927E-4</v>
      </c>
      <c r="F296">
        <v>4.0356326017278203E-3</v>
      </c>
      <c r="G296">
        <v>2.3123728632998079E-5</v>
      </c>
      <c r="H296">
        <v>3.696692012207954E-5</v>
      </c>
      <c r="I296">
        <v>1.1075463425369524E-4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0.7218331228845456</v>
      </c>
      <c r="C297">
        <v>0.86800840514579236</v>
      </c>
      <c r="D297">
        <v>0.91765309316552068</v>
      </c>
      <c r="E297">
        <v>0.41484338367749163</v>
      </c>
      <c r="F297">
        <v>0.58814385961233029</v>
      </c>
      <c r="G297">
        <v>0.31923664809014451</v>
      </c>
      <c r="H297">
        <v>9.5544354831627529E-2</v>
      </c>
      <c r="I297">
        <v>0.28820344236346662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0.92741088942120742</v>
      </c>
      <c r="C299">
        <v>0.77779126963397593</v>
      </c>
      <c r="D299">
        <v>0.59775770504782011</v>
      </c>
      <c r="E299">
        <v>0.21500849006337697</v>
      </c>
      <c r="F299">
        <v>0.27390956803767907</v>
      </c>
      <c r="G299">
        <v>0.32648073099646097</v>
      </c>
      <c r="H299">
        <v>2.8390116058219377E-2</v>
      </c>
      <c r="I299">
        <v>2.5810106901373656E-2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0.66900229117884891</v>
      </c>
      <c r="C300">
        <v>0.6135788155604267</v>
      </c>
      <c r="D300">
        <v>0.50407437136567512</v>
      </c>
      <c r="E300">
        <v>0.32108977120719856</v>
      </c>
      <c r="F300">
        <v>0.69786251521150655</v>
      </c>
      <c r="G300">
        <v>0.64068282488022144</v>
      </c>
      <c r="H300">
        <v>0.21887716561860954</v>
      </c>
      <c r="I300">
        <v>0.10667139988345659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8.0313505331474016E-7</v>
      </c>
      <c r="C301">
        <v>8.0982355252364762E-6</v>
      </c>
      <c r="D301">
        <v>4.3526572278008357E-3</v>
      </c>
      <c r="E301">
        <v>0.1161821170907443</v>
      </c>
      <c r="F301">
        <v>0.16533552603021531</v>
      </c>
      <c r="G301">
        <v>0.44624391060113944</v>
      </c>
      <c r="H301">
        <v>0.45224882281800677</v>
      </c>
      <c r="I301">
        <v>0.53938484481887261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2.5055250065937531E-3</v>
      </c>
      <c r="C302">
        <v>4.8414007785588561E-12</v>
      </c>
      <c r="D302">
        <v>3.0957777913278358E-8</v>
      </c>
      <c r="E302">
        <v>3.923710517102751E-7</v>
      </c>
      <c r="F302">
        <v>1.1964622563359696E-5</v>
      </c>
      <c r="G302">
        <v>1.4302704291357392E-4</v>
      </c>
      <c r="H302">
        <v>2.3572567776125127E-5</v>
      </c>
      <c r="I302">
        <v>2.5733167661308069E-4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4.6427016779110005E-16</v>
      </c>
      <c r="C303">
        <v>3.400972550688047E-11</v>
      </c>
      <c r="D303">
        <v>2.8421669166017192E-7</v>
      </c>
      <c r="E303">
        <v>8.0863215336787645E-8</v>
      </c>
      <c r="F303">
        <v>2.0814037154661826E-4</v>
      </c>
      <c r="G303">
        <v>3.4715708762618103E-3</v>
      </c>
      <c r="H303">
        <v>1.2366366339150025E-3</v>
      </c>
      <c r="I303">
        <v>1.7032617173525354E-3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8.377928262842336E-38</v>
      </c>
      <c r="C304">
        <v>1.2955841946497831E-28</v>
      </c>
      <c r="D304">
        <v>1.3448743449161459E-30</v>
      </c>
      <c r="E304">
        <v>6.7657767376006842E-24</v>
      </c>
      <c r="F304">
        <v>1.4823617066953602E-22</v>
      </c>
      <c r="G304">
        <v>3.0493414916639113E-13</v>
      </c>
      <c r="H304">
        <v>1.9246617686795044E-16</v>
      </c>
      <c r="I304">
        <v>1.0244481293537768E-13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0.83861222412769865</v>
      </c>
      <c r="C305">
        <v>0.83497481687865371</v>
      </c>
      <c r="D305">
        <v>0.939034268016671</v>
      </c>
      <c r="E305">
        <v>0.79571713093830221</v>
      </c>
      <c r="F305">
        <v>0.93856788580046968</v>
      </c>
      <c r="G305">
        <v>0.98389790903652141</v>
      </c>
      <c r="H305">
        <v>0.55197560333722606</v>
      </c>
      <c r="I305">
        <v>0.78207639429338305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0.91345521968086774</v>
      </c>
      <c r="C307">
        <v>0.88906742802576533</v>
      </c>
      <c r="D307">
        <v>0.61349226709418858</v>
      </c>
      <c r="E307">
        <v>0.54258779565980797</v>
      </c>
      <c r="F307">
        <v>5.6167289387828487E-2</v>
      </c>
      <c r="G307">
        <v>2.4243057882426221E-2</v>
      </c>
      <c r="H307">
        <v>0.60950257688655263</v>
      </c>
      <c r="I307">
        <v>0.64238705805555263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0.96344211043976291</v>
      </c>
      <c r="C308">
        <v>0.99828184036084033</v>
      </c>
      <c r="D308">
        <v>0.98949571107573375</v>
      </c>
      <c r="E308">
        <v>0.97232252491657478</v>
      </c>
      <c r="F308">
        <v>0.98271743929900179</v>
      </c>
      <c r="G308">
        <v>0.98425250052157298</v>
      </c>
      <c r="H308">
        <v>0.99961995568233786</v>
      </c>
      <c r="I308">
        <v>0.99906985861368836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5.6320932767539095E-11</v>
      </c>
      <c r="C309">
        <v>6.4908583759503809E-10</v>
      </c>
      <c r="D309">
        <v>1.1735514131254517E-7</v>
      </c>
      <c r="E309">
        <v>4.5098714591238559E-5</v>
      </c>
      <c r="F309">
        <v>2.92206831510338E-4</v>
      </c>
      <c r="G309">
        <v>4.026795267060985E-3</v>
      </c>
      <c r="H309">
        <v>0.39982533005242143</v>
      </c>
      <c r="I309">
        <v>0.64207468445216376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1.1601605395620744E-4</v>
      </c>
      <c r="C310">
        <v>1.130542635693094E-2</v>
      </c>
      <c r="D310">
        <v>4.0937350442724389E-2</v>
      </c>
      <c r="E310">
        <v>0.21704460074421084</v>
      </c>
      <c r="F310">
        <v>0.71338637371537794</v>
      </c>
      <c r="G310">
        <v>0.8618402513260992</v>
      </c>
      <c r="H310">
        <v>0.97778869373731225</v>
      </c>
      <c r="I310">
        <v>0.98486547385713774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3.3797654670064632E-4</v>
      </c>
      <c r="C311">
        <v>7.1470909455883369E-5</v>
      </c>
      <c r="D311">
        <v>2.6973371046362633E-4</v>
      </c>
      <c r="E311">
        <v>7.8013538914966348E-3</v>
      </c>
      <c r="F311">
        <v>1.4390393785740533E-2</v>
      </c>
      <c r="G311">
        <v>0.12086408500307402</v>
      </c>
      <c r="H311">
        <v>0.60488498677136826</v>
      </c>
      <c r="I311">
        <v>0.77741164802277374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5.1386162924823709E-33</v>
      </c>
      <c r="C312">
        <v>1.3335444938163262E-30</v>
      </c>
      <c r="D312">
        <v>8.5856311025947192E-21</v>
      </c>
      <c r="E312">
        <v>3.4659829746133253E-18</v>
      </c>
      <c r="F312">
        <v>1.4438238501508068E-18</v>
      </c>
      <c r="G312">
        <v>1.2249200353936807E-14</v>
      </c>
      <c r="H312">
        <v>9.0609928102987591E-12</v>
      </c>
      <c r="I312">
        <v>8.0555430360889651E-16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0.99218863830367177</v>
      </c>
      <c r="C313">
        <v>0.98631052857065382</v>
      </c>
      <c r="D313">
        <v>0.9759466283576137</v>
      </c>
      <c r="E313">
        <v>0.9629019896077371</v>
      </c>
      <c r="F313">
        <v>0.94433047665379832</v>
      </c>
      <c r="G313">
        <v>0.85142132873762022</v>
      </c>
      <c r="H313">
        <v>0.95460699431207785</v>
      </c>
      <c r="I313">
        <v>0.96916076723037126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0.92457746711835542</v>
      </c>
      <c r="C315">
        <v>0.99748273733737758</v>
      </c>
      <c r="D315">
        <v>0.99652261085542759</v>
      </c>
      <c r="E315">
        <v>0.97558243043243098</v>
      </c>
      <c r="F315">
        <v>0.98051810773982151</v>
      </c>
      <c r="G315">
        <v>0.98951529688755502</v>
      </c>
      <c r="H315">
        <v>0.96521173596928433</v>
      </c>
      <c r="I315">
        <v>0.9721122583543732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0.46722685076319892</v>
      </c>
      <c r="C316">
        <v>0.51265373159444472</v>
      </c>
      <c r="D316">
        <v>0.99508922571610947</v>
      </c>
      <c r="E316">
        <v>0.83693635345826145</v>
      </c>
      <c r="F316">
        <v>0.8345831515917852</v>
      </c>
      <c r="G316">
        <v>0.68146963871273536</v>
      </c>
      <c r="H316">
        <v>0.24968682958686075</v>
      </c>
      <c r="I316">
        <v>0.33261726950442216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8.0225686934811983E-5</v>
      </c>
      <c r="C317">
        <v>5.9694417088634617E-4</v>
      </c>
      <c r="D317">
        <v>1.6420632126624734E-3</v>
      </c>
      <c r="E317">
        <v>6.1083171766348173E-3</v>
      </c>
      <c r="F317">
        <v>1.7566214695471555E-2</v>
      </c>
      <c r="G317">
        <v>6.9227432896938237E-2</v>
      </c>
      <c r="H317">
        <v>9.9574794526055763E-2</v>
      </c>
      <c r="I317">
        <v>0.23348563985180867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8.4055031330405986E-7</v>
      </c>
      <c r="C318">
        <v>2.0254670207769695E-3</v>
      </c>
      <c r="D318">
        <v>0.3303253727334784</v>
      </c>
      <c r="E318">
        <v>0.92462071903331222</v>
      </c>
      <c r="F318">
        <v>0.98262241657937632</v>
      </c>
      <c r="G318">
        <v>0.99060628383115723</v>
      </c>
      <c r="H318">
        <v>0.99105823987179531</v>
      </c>
      <c r="I318">
        <v>0.99534717414041007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7.7867122880663295E-6</v>
      </c>
      <c r="C319">
        <v>4.1124161202969276E-5</v>
      </c>
      <c r="D319">
        <v>3.7615748913242397E-4</v>
      </c>
      <c r="E319">
        <v>8.1787074537110691E-3</v>
      </c>
      <c r="F319">
        <v>8.5479515094233238E-2</v>
      </c>
      <c r="G319">
        <v>0.28490192918479584</v>
      </c>
      <c r="H319">
        <v>0.54408845050782539</v>
      </c>
      <c r="I319">
        <v>0.78128442794442932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2.6317416542435764E-7</v>
      </c>
      <c r="C320">
        <v>1.0574076978795265E-11</v>
      </c>
      <c r="D320">
        <v>3.6178212912020547E-9</v>
      </c>
      <c r="E320">
        <v>4.6612689413512735E-8</v>
      </c>
      <c r="F320">
        <v>9.5526157629455395E-7</v>
      </c>
      <c r="G320">
        <v>3.9629294352330611E-6</v>
      </c>
      <c r="H320">
        <v>1.0208593344296586E-5</v>
      </c>
      <c r="I320">
        <v>2.4459095611735015E-5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0.12383759435668859</v>
      </c>
      <c r="C321">
        <v>9.4353457822421355E-2</v>
      </c>
      <c r="D321">
        <v>0.63820421902748203</v>
      </c>
      <c r="E321">
        <v>0.34565473318453899</v>
      </c>
      <c r="F321">
        <v>0.3451155399205213</v>
      </c>
      <c r="G321">
        <v>0.48503153250776715</v>
      </c>
      <c r="H321">
        <v>0.31098163588183492</v>
      </c>
      <c r="I321">
        <v>0.40194744536387178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1.1559481079168568E-3</v>
      </c>
      <c r="C323">
        <v>1.0743629329090548E-2</v>
      </c>
      <c r="D323">
        <v>1.0686687150519809E-2</v>
      </c>
      <c r="E323">
        <v>1.3685112853435258E-2</v>
      </c>
      <c r="F323">
        <v>1.7603534215125988E-3</v>
      </c>
      <c r="G323">
        <v>1.7810682902797206E-4</v>
      </c>
      <c r="H323">
        <v>8.483482169982287E-5</v>
      </c>
      <c r="I323">
        <v>1.0962616395398842E-4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0.67567668553818772</v>
      </c>
      <c r="C324">
        <v>0.7210306821649537</v>
      </c>
      <c r="D324">
        <v>0.76752822209277172</v>
      </c>
      <c r="E324">
        <v>0.79259211684135777</v>
      </c>
      <c r="F324">
        <v>0.64885358224574419</v>
      </c>
      <c r="G324">
        <v>0.81407093041504952</v>
      </c>
      <c r="H324">
        <v>0.8958352510457932</v>
      </c>
      <c r="I324">
        <v>0.92591484082112541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1.5804863004759689E-9</v>
      </c>
      <c r="C325">
        <v>1.2082807259952727E-5</v>
      </c>
      <c r="D325">
        <v>4.8743970531626448E-4</v>
      </c>
      <c r="E325">
        <v>6.4259612467405369E-3</v>
      </c>
      <c r="F325">
        <v>0.11710852821337253</v>
      </c>
      <c r="G325">
        <v>0.40171351829011082</v>
      </c>
      <c r="H325">
        <v>0.67464477917363996</v>
      </c>
      <c r="I325">
        <v>0.8810180684178095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3.1663017483936253E-8</v>
      </c>
      <c r="C326">
        <v>7.2041298419083826E-28</v>
      </c>
      <c r="D326">
        <v>4.2646525327229663E-15</v>
      </c>
      <c r="E326">
        <v>2.0767251984127444E-8</v>
      </c>
      <c r="F326">
        <v>1.8118427604569126E-3</v>
      </c>
      <c r="G326">
        <v>0.13672898165694702</v>
      </c>
      <c r="H326">
        <v>0.46455656231806342</v>
      </c>
      <c r="I326">
        <v>0.73395742535654951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2.9634474439926556E-5</v>
      </c>
      <c r="C327">
        <v>7.5419389937658623E-5</v>
      </c>
      <c r="D327">
        <v>1.185720196008397E-2</v>
      </c>
      <c r="E327">
        <v>0.6105315488435894</v>
      </c>
      <c r="F327">
        <v>0.99612109026616225</v>
      </c>
      <c r="G327">
        <v>0.99948800748598843</v>
      </c>
      <c r="H327">
        <v>0.99985656817230373</v>
      </c>
      <c r="I327">
        <v>0.99988034674156001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1.1028636642362658E-2</v>
      </c>
      <c r="C328">
        <v>4.4086226223068181E-2</v>
      </c>
      <c r="D328">
        <v>5.4691452141077831E-2</v>
      </c>
      <c r="E328">
        <v>6.3534962384452623E-2</v>
      </c>
      <c r="F328">
        <v>7.4150880355470378E-2</v>
      </c>
      <c r="G328">
        <v>8.2016330956976718E-2</v>
      </c>
      <c r="H328">
        <v>9.2984782012652215E-2</v>
      </c>
      <c r="I328">
        <v>0.10564640712232359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5.1301735117509378E-2</v>
      </c>
      <c r="C329">
        <v>8.2455339733084401E-2</v>
      </c>
      <c r="D329">
        <v>9.261979665836266E-2</v>
      </c>
      <c r="E329">
        <v>0.10268854499663477</v>
      </c>
      <c r="F329">
        <v>0.1338837542699749</v>
      </c>
      <c r="G329">
        <v>0.40887181165729447</v>
      </c>
      <c r="H329">
        <v>0.63962839973173424</v>
      </c>
      <c r="I329">
        <v>0.75379336016184051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0.4741510210445396</v>
      </c>
      <c r="C331">
        <v>0.43411937954373503</v>
      </c>
      <c r="D331">
        <v>0.16044497726953208</v>
      </c>
      <c r="E331">
        <v>0.13216053903700622</v>
      </c>
      <c r="F331">
        <v>0.10763455854463075</v>
      </c>
      <c r="G331">
        <v>7.2422204096998927E-2</v>
      </c>
      <c r="H331">
        <v>6.3608411619415745E-2</v>
      </c>
      <c r="I331">
        <v>4.9417942563500525E-3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7.0177663281261807E-2</v>
      </c>
      <c r="C332">
        <v>0.44294247749660148</v>
      </c>
      <c r="D332">
        <v>0.64388707958862201</v>
      </c>
      <c r="E332">
        <v>0.34001928078619548</v>
      </c>
      <c r="F332">
        <v>0.3607266225341681</v>
      </c>
      <c r="G332">
        <v>0.14669893623215427</v>
      </c>
      <c r="H332">
        <v>0.10476266065958476</v>
      </c>
      <c r="I332">
        <v>0.12901518411136731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2.2397661792473166E-6</v>
      </c>
      <c r="C333">
        <v>9.2731276294271151E-8</v>
      </c>
      <c r="D333">
        <v>2.2966430847066441E-4</v>
      </c>
      <c r="E333">
        <v>7.7559098979002499E-3</v>
      </c>
      <c r="F333">
        <v>3.1576575208955397E-2</v>
      </c>
      <c r="G333">
        <v>0.10949518526026636</v>
      </c>
      <c r="H333">
        <v>0.17322873054992954</v>
      </c>
      <c r="I333">
        <v>0.39120712025116511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1.0307969400740493E-11</v>
      </c>
      <c r="C334">
        <v>1.1976236507856789E-20</v>
      </c>
      <c r="D334">
        <v>3.5935230486678342E-14</v>
      </c>
      <c r="E334">
        <v>3.6956319886195725E-11</v>
      </c>
      <c r="F334">
        <v>1.584683254150326E-6</v>
      </c>
      <c r="G334">
        <v>1.1851196468581418E-6</v>
      </c>
      <c r="H334">
        <v>9.9883772167719731E-5</v>
      </c>
      <c r="I334">
        <v>1.9366420008765114E-4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3.2386078277269752E-3</v>
      </c>
      <c r="C335">
        <v>2.0750248012409094E-2</v>
      </c>
      <c r="D335">
        <v>0.10829674846166285</v>
      </c>
      <c r="E335">
        <v>0.33480615600113278</v>
      </c>
      <c r="F335">
        <v>0.69208007708707409</v>
      </c>
      <c r="G335">
        <v>0.77421278460058773</v>
      </c>
      <c r="H335">
        <v>0.92946677403219324</v>
      </c>
      <c r="I335">
        <v>0.9089967853848957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9.8494369646322598E-8</v>
      </c>
      <c r="C336">
        <v>1.3505323118533276E-15</v>
      </c>
      <c r="D336">
        <v>7.895661467434094E-11</v>
      </c>
      <c r="E336">
        <v>4.9549275123869212E-11</v>
      </c>
      <c r="F336">
        <v>1.2196403118515175E-9</v>
      </c>
      <c r="G336">
        <v>2.4531176794411381E-9</v>
      </c>
      <c r="H336">
        <v>1.4414948957605279E-7</v>
      </c>
      <c r="I336">
        <v>8.5510765875858244E-8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0.49902961839859372</v>
      </c>
      <c r="C337">
        <v>0.53292039117413192</v>
      </c>
      <c r="D337">
        <v>0.28476836863144406</v>
      </c>
      <c r="E337">
        <v>0.17418136766180675</v>
      </c>
      <c r="F337">
        <v>0.16987232364575205</v>
      </c>
      <c r="G337">
        <v>2.4953992828680622E-2</v>
      </c>
      <c r="H337">
        <v>9.2211988146901382E-3</v>
      </c>
      <c r="I337">
        <v>4.3445054297332481E-5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0.99045321206880244</v>
      </c>
      <c r="C339">
        <v>0.6508304335216889</v>
      </c>
      <c r="D339">
        <v>0.20082984216648006</v>
      </c>
      <c r="E339">
        <v>0.17928300506377304</v>
      </c>
      <c r="F339">
        <v>0.18805264352029555</v>
      </c>
      <c r="G339">
        <v>0.26861403673295486</v>
      </c>
      <c r="H339">
        <v>0.46610456694969921</v>
      </c>
      <c r="I339">
        <v>0.73041065402265171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0.99060779090651951</v>
      </c>
      <c r="C340">
        <v>0.99859547557560002</v>
      </c>
      <c r="D340">
        <v>0.9884040656183134</v>
      </c>
      <c r="E340">
        <v>0.98564352943458067</v>
      </c>
      <c r="F340">
        <v>0.97261008647579528</v>
      </c>
      <c r="G340">
        <v>0.99626858504687255</v>
      </c>
      <c r="H340">
        <v>0.99217297094084811</v>
      </c>
      <c r="I340">
        <v>0.99228610734473588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2.7424658672805204E-7</v>
      </c>
      <c r="C341">
        <v>1.2216587176044596E-5</v>
      </c>
      <c r="D341">
        <v>2.3928654979450421E-4</v>
      </c>
      <c r="E341">
        <v>9.8641216783676103E-3</v>
      </c>
      <c r="F341">
        <v>4.7603033892329012E-2</v>
      </c>
      <c r="G341">
        <v>0.27691746089894353</v>
      </c>
      <c r="H341">
        <v>0.58496349135848247</v>
      </c>
      <c r="I341">
        <v>0.80108211400433582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6.6563869300414157E-10</v>
      </c>
      <c r="C342">
        <v>2.4561874981302937E-8</v>
      </c>
      <c r="D342">
        <v>1.2231228129505914E-5</v>
      </c>
      <c r="E342">
        <v>6.5407033635146175E-2</v>
      </c>
      <c r="F342">
        <v>0.5385474549172915</v>
      </c>
      <c r="G342">
        <v>0.94538821635528658</v>
      </c>
      <c r="H342">
        <v>0.99383816159909855</v>
      </c>
      <c r="I342">
        <v>0.99958575578785136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3.6500245617903239E-4</v>
      </c>
      <c r="C343">
        <v>2.3781597209449843E-4</v>
      </c>
      <c r="D343">
        <v>5.0094961287004526E-3</v>
      </c>
      <c r="E343">
        <v>0.13364344103772013</v>
      </c>
      <c r="F343">
        <v>0.6078571372785786</v>
      </c>
      <c r="G343">
        <v>0.94575928780090712</v>
      </c>
      <c r="H343">
        <v>0.9947110903293962</v>
      </c>
      <c r="I343">
        <v>0.9998274531470841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2.0349875012792327E-17</v>
      </c>
      <c r="C344">
        <v>1.3018623094087369E-15</v>
      </c>
      <c r="D344">
        <v>4.6732615900542977E-12</v>
      </c>
      <c r="E344">
        <v>5.1836775548047331E-10</v>
      </c>
      <c r="F344">
        <v>1.3886610590604447E-7</v>
      </c>
      <c r="G344">
        <v>5.7299090451816289E-6</v>
      </c>
      <c r="H344">
        <v>2.6550623349890748E-4</v>
      </c>
      <c r="I344">
        <v>9.7659153239549983E-4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0.99970337483693783</v>
      </c>
      <c r="C345">
        <v>0.99968962280466822</v>
      </c>
      <c r="D345">
        <v>0.99974539242921057</v>
      </c>
      <c r="E345">
        <v>0.99994686116264275</v>
      </c>
      <c r="F345">
        <v>0.9999887324705683</v>
      </c>
      <c r="G345">
        <v>0.9999491804185231</v>
      </c>
      <c r="H345">
        <v>0.99995613698330832</v>
      </c>
      <c r="I345">
        <v>0.99996653897934118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0.99396574374953151</v>
      </c>
      <c r="C347">
        <v>0.92415514312153368</v>
      </c>
      <c r="D347">
        <v>0.92830757370636696</v>
      </c>
      <c r="E347">
        <v>0.808375281500473</v>
      </c>
      <c r="F347">
        <v>0.73414437190403525</v>
      </c>
      <c r="G347">
        <v>0.76265586114307193</v>
      </c>
      <c r="H347">
        <v>0.73142487883080221</v>
      </c>
      <c r="I347">
        <v>0.56918720356195329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0.92206153518965972</v>
      </c>
      <c r="C348">
        <v>0.87303567273293115</v>
      </c>
      <c r="D348">
        <v>0.93053956549360728</v>
      </c>
      <c r="E348">
        <v>0.89101103229952183</v>
      </c>
      <c r="F348">
        <v>0.98055356172188268</v>
      </c>
      <c r="G348">
        <v>0.88624731654832356</v>
      </c>
      <c r="H348">
        <v>0.9452532510215873</v>
      </c>
      <c r="I348">
        <v>0.50731944360858094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5.6069806509040079E-3</v>
      </c>
      <c r="C349">
        <v>4.2252571885411531E-2</v>
      </c>
      <c r="D349">
        <v>3.8164718070372416E-2</v>
      </c>
      <c r="E349">
        <v>0.36229095395805566</v>
      </c>
      <c r="F349">
        <v>0.53391849019498661</v>
      </c>
      <c r="G349">
        <v>0.71850966857200826</v>
      </c>
      <c r="H349">
        <v>0.7955588371484531</v>
      </c>
      <c r="I349">
        <v>0.7956908080661238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3.3751830675529698E-2</v>
      </c>
      <c r="C350">
        <v>9.765222557240294E-2</v>
      </c>
      <c r="D350">
        <v>0.38871603050661496</v>
      </c>
      <c r="E350">
        <v>0.38641257411881913</v>
      </c>
      <c r="F350">
        <v>0.40176110735173004</v>
      </c>
      <c r="G350">
        <v>0.37226992287119998</v>
      </c>
      <c r="H350">
        <v>0.34983988948354222</v>
      </c>
      <c r="I350">
        <v>0.26019852423057721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1.9147071835070488E-3</v>
      </c>
      <c r="C351">
        <v>2.077073765802807E-2</v>
      </c>
      <c r="D351">
        <v>0.10745637166951863</v>
      </c>
      <c r="E351">
        <v>0.32971358469544204</v>
      </c>
      <c r="F351">
        <v>0.58644124452801616</v>
      </c>
      <c r="G351">
        <v>0.54462456924046621</v>
      </c>
      <c r="H351">
        <v>0.68672162984137597</v>
      </c>
      <c r="I351">
        <v>0.58458611609736555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4.8311272439510419E-6</v>
      </c>
      <c r="C352">
        <v>3.7375224897595906E-3</v>
      </c>
      <c r="D352">
        <v>4.342604033222678E-2</v>
      </c>
      <c r="E352">
        <v>0.10379759122332116</v>
      </c>
      <c r="F352">
        <v>0.46266165083784827</v>
      </c>
      <c r="G352">
        <v>0.69039972112678216</v>
      </c>
      <c r="H352">
        <v>0.92384068910455253</v>
      </c>
      <c r="I352">
        <v>0.84433402755386178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0.64495603251454459</v>
      </c>
      <c r="C353">
        <v>0.80037178407951504</v>
      </c>
      <c r="D353">
        <v>0.88776095345648243</v>
      </c>
      <c r="E353">
        <v>0.86870801376077256</v>
      </c>
      <c r="F353">
        <v>0.94500098425009149</v>
      </c>
      <c r="G353">
        <v>0.89525027663510304</v>
      </c>
      <c r="H353">
        <v>0.96346647787139239</v>
      </c>
      <c r="I353">
        <v>0.6331107199233259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0.51555370616270246</v>
      </c>
      <c r="C355">
        <v>0.81288066471791209</v>
      </c>
      <c r="D355">
        <v>0.60004456849946575</v>
      </c>
      <c r="E355">
        <v>0.77710005278115779</v>
      </c>
      <c r="F355">
        <v>0.23289626393643181</v>
      </c>
      <c r="G355">
        <v>0.25714939242713092</v>
      </c>
      <c r="H355">
        <v>8.7556022382615145E-2</v>
      </c>
      <c r="I355">
        <v>0.10677238630178362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0.12122729368843191</v>
      </c>
      <c r="C356">
        <v>0.11980539638465212</v>
      </c>
      <c r="D356">
        <v>6.4909664886582119E-2</v>
      </c>
      <c r="E356">
        <v>9.9274086680687004E-2</v>
      </c>
      <c r="F356">
        <v>1.4527380777031362E-2</v>
      </c>
      <c r="G356">
        <v>1.1676836947452928E-2</v>
      </c>
      <c r="H356">
        <v>2.1160888281228335E-2</v>
      </c>
      <c r="I356">
        <v>2.738984134378317E-2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1.7531502660479106E-9</v>
      </c>
      <c r="C357">
        <v>1.3108507991867546E-6</v>
      </c>
      <c r="D357">
        <v>6.4720287176259989E-5</v>
      </c>
      <c r="E357">
        <v>1.1058947866805393E-3</v>
      </c>
      <c r="F357">
        <v>3.1915453705385717E-3</v>
      </c>
      <c r="G357">
        <v>3.2150432978488575E-2</v>
      </c>
      <c r="H357">
        <v>1.1700491038221711E-2</v>
      </c>
      <c r="I357">
        <v>1.728774901282008E-2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9.7803853471776763E-3</v>
      </c>
      <c r="C358">
        <v>5.0500275696737718E-4</v>
      </c>
      <c r="D358">
        <v>2.7481880012972453E-2</v>
      </c>
      <c r="E358">
        <v>0.14085349966431476</v>
      </c>
      <c r="F358">
        <v>0.22931060656622479</v>
      </c>
      <c r="G358">
        <v>0.52755760570137222</v>
      </c>
      <c r="H358">
        <v>0.53384834791040925</v>
      </c>
      <c r="I358">
        <v>0.50458130624192299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1.5686152837491536E-4</v>
      </c>
      <c r="C359">
        <v>4.3560073974210808E-4</v>
      </c>
      <c r="D359">
        <v>4.8455873567359621E-3</v>
      </c>
      <c r="E359">
        <v>3.7062041880030087E-2</v>
      </c>
      <c r="F359">
        <v>0.14520197175438151</v>
      </c>
      <c r="G359">
        <v>0.25320737591609693</v>
      </c>
      <c r="H359">
        <v>0.31091673196044567</v>
      </c>
      <c r="I359">
        <v>0.41004293074031739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1.9723963425320875E-11</v>
      </c>
      <c r="C360">
        <v>2.7494399790199765E-14</v>
      </c>
      <c r="D360">
        <v>1.6726897603451228E-8</v>
      </c>
      <c r="E360">
        <v>1.1820079727398783E-5</v>
      </c>
      <c r="F360">
        <v>3.1269811992431601E-4</v>
      </c>
      <c r="G360">
        <v>1.2810585316300536E-3</v>
      </c>
      <c r="H360">
        <v>5.1178083939156524E-4</v>
      </c>
      <c r="I360">
        <v>7.1160287819450217E-3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0.26208616211770253</v>
      </c>
      <c r="C361">
        <v>0.15865147119555495</v>
      </c>
      <c r="D361">
        <v>0.10930485141683724</v>
      </c>
      <c r="E361">
        <v>0.10852959715437455</v>
      </c>
      <c r="F361">
        <v>2.029946996750763E-2</v>
      </c>
      <c r="G361">
        <v>1.4549559881554357E-3</v>
      </c>
      <c r="H361">
        <v>1.5224441096743841E-4</v>
      </c>
      <c r="I361">
        <v>3.2100380344125031E-4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1.1559481079168568E-3</v>
      </c>
      <c r="C363">
        <v>1.0743629329090548E-2</v>
      </c>
      <c r="D363">
        <v>1.0686687150519809E-2</v>
      </c>
      <c r="E363">
        <v>1.3685112853435258E-2</v>
      </c>
      <c r="F363">
        <v>1.7603534215125988E-3</v>
      </c>
      <c r="G363">
        <v>1.7810682902797206E-4</v>
      </c>
      <c r="H363">
        <v>8.483482169982287E-5</v>
      </c>
      <c r="I363">
        <v>1.0962616395398842E-4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0.67567668553818772</v>
      </c>
      <c r="C364">
        <v>0.7210306821649537</v>
      </c>
      <c r="D364">
        <v>0.76752822209277172</v>
      </c>
      <c r="E364">
        <v>0.79259211684135777</v>
      </c>
      <c r="F364">
        <v>0.64885358224574419</v>
      </c>
      <c r="G364">
        <v>0.81407093041504952</v>
      </c>
      <c r="H364">
        <v>0.8958352510457932</v>
      </c>
      <c r="I364">
        <v>0.92591484082112541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1.5804863004759689E-9</v>
      </c>
      <c r="C365">
        <v>1.2082807259952727E-5</v>
      </c>
      <c r="D365">
        <v>4.8743970531626448E-4</v>
      </c>
      <c r="E365">
        <v>6.4259612467405369E-3</v>
      </c>
      <c r="F365">
        <v>0.11710852821337253</v>
      </c>
      <c r="G365">
        <v>0.40171351829011082</v>
      </c>
      <c r="H365">
        <v>0.67464477917363996</v>
      </c>
      <c r="I365">
        <v>0.8810180684178095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3.1663017483936253E-8</v>
      </c>
      <c r="C366">
        <v>7.2041298419083826E-28</v>
      </c>
      <c r="D366">
        <v>4.2646525327229663E-15</v>
      </c>
      <c r="E366">
        <v>2.0767251984127444E-8</v>
      </c>
      <c r="F366">
        <v>1.8118427604569126E-3</v>
      </c>
      <c r="G366">
        <v>0.13672898165694702</v>
      </c>
      <c r="H366">
        <v>0.46455656231806342</v>
      </c>
      <c r="I366">
        <v>0.73395742535654951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2.9634474439926556E-5</v>
      </c>
      <c r="C367">
        <v>7.5419389937658623E-5</v>
      </c>
      <c r="D367">
        <v>1.185720196008397E-2</v>
      </c>
      <c r="E367">
        <v>0.6105315488435894</v>
      </c>
      <c r="F367">
        <v>0.99612109026616225</v>
      </c>
      <c r="G367">
        <v>0.99948800748598843</v>
      </c>
      <c r="H367">
        <v>0.99985656817230373</v>
      </c>
      <c r="I367">
        <v>0.99988034674156001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1.1028636642362658E-2</v>
      </c>
      <c r="C368">
        <v>4.4086226223068181E-2</v>
      </c>
      <c r="D368">
        <v>5.4691452141077831E-2</v>
      </c>
      <c r="E368">
        <v>6.3534962384452623E-2</v>
      </c>
      <c r="F368">
        <v>7.4150880355470378E-2</v>
      </c>
      <c r="G368">
        <v>8.2016330956976718E-2</v>
      </c>
      <c r="H368">
        <v>9.2984782012652215E-2</v>
      </c>
      <c r="I368">
        <v>0.10564640712232359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5.1301735117509378E-2</v>
      </c>
      <c r="C369">
        <v>8.2455339733084401E-2</v>
      </c>
      <c r="D369">
        <v>9.261979665836266E-2</v>
      </c>
      <c r="E369">
        <v>0.10268854499663477</v>
      </c>
      <c r="F369">
        <v>0.1338837542699749</v>
      </c>
      <c r="G369">
        <v>0.40887181165729447</v>
      </c>
      <c r="H369">
        <v>0.63962839973173424</v>
      </c>
      <c r="I369">
        <v>0.75379336016184051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0.65228568014502941</v>
      </c>
      <c r="C370">
        <v>0.72304646238059234</v>
      </c>
      <c r="D370">
        <v>0.86662315134295353</v>
      </c>
      <c r="E370">
        <v>0.93985206374383545</v>
      </c>
      <c r="F370">
        <v>0.96799121078504202</v>
      </c>
      <c r="G370">
        <v>0.98280619455130791</v>
      </c>
      <c r="H370">
        <v>0.98989841438395121</v>
      </c>
      <c r="I370">
        <v>0.99354834842109152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0.4741510210445396</v>
      </c>
      <c r="C372">
        <v>0.43411937954373503</v>
      </c>
      <c r="D372">
        <v>0.16044497726953208</v>
      </c>
      <c r="E372">
        <v>0.13216053903700622</v>
      </c>
      <c r="F372">
        <v>0.10763455854463075</v>
      </c>
      <c r="G372">
        <v>7.2422204096998927E-2</v>
      </c>
      <c r="H372">
        <v>6.3608411619415745E-2</v>
      </c>
      <c r="I372">
        <v>4.9417942563500525E-3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7.0177663281261807E-2</v>
      </c>
      <c r="C373">
        <v>0.44294247749660148</v>
      </c>
      <c r="D373">
        <v>0.64388707958862201</v>
      </c>
      <c r="E373">
        <v>0.34001928078619548</v>
      </c>
      <c r="F373">
        <v>0.3607266225341681</v>
      </c>
      <c r="G373">
        <v>0.14669893623215427</v>
      </c>
      <c r="H373">
        <v>0.10476266065958476</v>
      </c>
      <c r="I373">
        <v>0.12901518411136731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2.2397661792473166E-6</v>
      </c>
      <c r="C374">
        <v>9.2731276294271151E-8</v>
      </c>
      <c r="D374">
        <v>2.2966430847066441E-4</v>
      </c>
      <c r="E374">
        <v>7.7559098979002499E-3</v>
      </c>
      <c r="F374">
        <v>3.1576575208955397E-2</v>
      </c>
      <c r="G374">
        <v>0.10949518526026636</v>
      </c>
      <c r="H374">
        <v>0.17322873054992954</v>
      </c>
      <c r="I374">
        <v>0.39120712025116511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1.0307969400740493E-11</v>
      </c>
      <c r="C375">
        <v>1.1976236507856789E-20</v>
      </c>
      <c r="D375">
        <v>3.5935230486678342E-14</v>
      </c>
      <c r="E375">
        <v>3.6956319886195725E-11</v>
      </c>
      <c r="F375">
        <v>1.584683254150326E-6</v>
      </c>
      <c r="G375">
        <v>1.1851196468581418E-6</v>
      </c>
      <c r="H375">
        <v>9.9883772167719731E-5</v>
      </c>
      <c r="I375">
        <v>1.9366420008765114E-4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3.2386078277269752E-3</v>
      </c>
      <c r="C376">
        <v>2.0750248012409094E-2</v>
      </c>
      <c r="D376">
        <v>0.10829674846166285</v>
      </c>
      <c r="E376">
        <v>0.33480615600113278</v>
      </c>
      <c r="F376">
        <v>0.69208007708707409</v>
      </c>
      <c r="G376">
        <v>0.77421278460058773</v>
      </c>
      <c r="H376">
        <v>0.92946677403219324</v>
      </c>
      <c r="I376">
        <v>0.9089967853848957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9.8494369646322598E-8</v>
      </c>
      <c r="C377">
        <v>1.3505323118533276E-15</v>
      </c>
      <c r="D377">
        <v>7.895661467434094E-11</v>
      </c>
      <c r="E377">
        <v>4.9549275123869212E-11</v>
      </c>
      <c r="F377">
        <v>1.2196403118515175E-9</v>
      </c>
      <c r="G377">
        <v>2.4531176794411381E-9</v>
      </c>
      <c r="H377">
        <v>1.4414948957605279E-7</v>
      </c>
      <c r="I377">
        <v>8.5510765875858244E-8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0.49902961839859372</v>
      </c>
      <c r="C378">
        <v>0.53292039117413192</v>
      </c>
      <c r="D378">
        <v>0.28476836863144406</v>
      </c>
      <c r="E378">
        <v>0.17418136766180675</v>
      </c>
      <c r="F378">
        <v>0.16987232364575205</v>
      </c>
      <c r="G378">
        <v>2.4953992828680622E-2</v>
      </c>
      <c r="H378">
        <v>9.2211988146901382E-3</v>
      </c>
      <c r="I378">
        <v>4.3445054297332481E-5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0.99248938788747665</v>
      </c>
      <c r="C379">
        <v>0.87339520767540713</v>
      </c>
      <c r="D379">
        <v>0.96676323549462706</v>
      </c>
      <c r="E379">
        <v>0.91553282277074421</v>
      </c>
      <c r="F379">
        <v>0.91029511716619771</v>
      </c>
      <c r="G379">
        <v>0.88978279454033693</v>
      </c>
      <c r="H379">
        <v>0.97539159411899656</v>
      </c>
      <c r="I379">
        <v>0.97671746827894756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0.99045321206880244</v>
      </c>
      <c r="C381">
        <v>0.6508304335216889</v>
      </c>
      <c r="D381">
        <v>0.20082984216648006</v>
      </c>
      <c r="E381">
        <v>0.17928300506377304</v>
      </c>
      <c r="F381">
        <v>0.18805264352029555</v>
      </c>
      <c r="G381">
        <v>0.26861403673295486</v>
      </c>
      <c r="H381">
        <v>0.46610456694969921</v>
      </c>
      <c r="I381">
        <v>0.73041065402265171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0.99060779090651951</v>
      </c>
      <c r="C382">
        <v>0.99859547557560002</v>
      </c>
      <c r="D382">
        <v>0.9884040656183134</v>
      </c>
      <c r="E382">
        <v>0.98564352943458067</v>
      </c>
      <c r="F382">
        <v>0.97261008647579528</v>
      </c>
      <c r="G382">
        <v>0.99626858504687255</v>
      </c>
      <c r="H382">
        <v>0.99217297094084811</v>
      </c>
      <c r="I382">
        <v>0.99228610734473588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2.7424658672805204E-7</v>
      </c>
      <c r="C383">
        <v>1.2216587176044596E-5</v>
      </c>
      <c r="D383">
        <v>2.3928654979450421E-4</v>
      </c>
      <c r="E383">
        <v>9.8641216783676103E-3</v>
      </c>
      <c r="F383">
        <v>4.7603033892329012E-2</v>
      </c>
      <c r="G383">
        <v>0.27691746089894353</v>
      </c>
      <c r="H383">
        <v>0.58496349135848247</v>
      </c>
      <c r="I383">
        <v>0.80108211400433582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6.6563869300414157E-10</v>
      </c>
      <c r="C384">
        <v>2.4561874981302937E-8</v>
      </c>
      <c r="D384">
        <v>1.2231228129505914E-5</v>
      </c>
      <c r="E384">
        <v>6.5407033635146175E-2</v>
      </c>
      <c r="F384">
        <v>0.5385474549172915</v>
      </c>
      <c r="G384">
        <v>0.94538821635528658</v>
      </c>
      <c r="H384">
        <v>0.99383816159909855</v>
      </c>
      <c r="I384">
        <v>0.99958575578785136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3.6500245617903239E-4</v>
      </c>
      <c r="C385">
        <v>2.3781597209449843E-4</v>
      </c>
      <c r="D385">
        <v>5.0094961287004526E-3</v>
      </c>
      <c r="E385">
        <v>0.13364344103772013</v>
      </c>
      <c r="F385">
        <v>0.6078571372785786</v>
      </c>
      <c r="G385">
        <v>0.94575928780090712</v>
      </c>
      <c r="H385">
        <v>0.9947110903293962</v>
      </c>
      <c r="I385">
        <v>0.9998274531470841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2.0349875012792327E-17</v>
      </c>
      <c r="C386">
        <v>1.3018623094087369E-15</v>
      </c>
      <c r="D386">
        <v>4.6732615900542977E-12</v>
      </c>
      <c r="E386">
        <v>5.1836775548047331E-10</v>
      </c>
      <c r="F386">
        <v>1.3886610590604447E-7</v>
      </c>
      <c r="G386">
        <v>5.7299090451816289E-6</v>
      </c>
      <c r="H386">
        <v>2.6550623349890748E-4</v>
      </c>
      <c r="I386">
        <v>9.7659153239549983E-4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0.99970337483693783</v>
      </c>
      <c r="C387">
        <v>0.99968962280466822</v>
      </c>
      <c r="D387">
        <v>0.99974539242921057</v>
      </c>
      <c r="E387">
        <v>0.99994686116264275</v>
      </c>
      <c r="F387">
        <v>0.9999887324705683</v>
      </c>
      <c r="G387">
        <v>0.9999491804185231</v>
      </c>
      <c r="H387">
        <v>0.99995613698330832</v>
      </c>
      <c r="I387">
        <v>0.99996653897934118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0.99998732100490517</v>
      </c>
      <c r="C388">
        <v>0.99978801551855667</v>
      </c>
      <c r="D388">
        <v>0.99995578757837289</v>
      </c>
      <c r="E388">
        <v>0.99999633870121385</v>
      </c>
      <c r="F388">
        <v>0.99999888736317866</v>
      </c>
      <c r="G388">
        <v>0.99999941209595444</v>
      </c>
      <c r="H388">
        <v>0.99999981170068264</v>
      </c>
      <c r="I388">
        <v>0.9999999960671111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0.99396574374953151</v>
      </c>
      <c r="C390">
        <v>0.92415514312153368</v>
      </c>
      <c r="D390">
        <v>0.92830757370636696</v>
      </c>
      <c r="E390">
        <v>0.808375281500473</v>
      </c>
      <c r="F390">
        <v>0.73414437190403525</v>
      </c>
      <c r="G390">
        <v>0.76265586114307193</v>
      </c>
      <c r="H390">
        <v>0.73142487883080221</v>
      </c>
      <c r="I390">
        <v>0.56918720356195329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0.92206153518965972</v>
      </c>
      <c r="C391">
        <v>0.87303567273293115</v>
      </c>
      <c r="D391">
        <v>0.93053956549360728</v>
      </c>
      <c r="E391">
        <v>0.89101103229952183</v>
      </c>
      <c r="F391">
        <v>0.98055356172188268</v>
      </c>
      <c r="G391">
        <v>0.88624731654832356</v>
      </c>
      <c r="H391">
        <v>0.9452532510215873</v>
      </c>
      <c r="I391">
        <v>0.50731944360858094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5.6069806509040079E-3</v>
      </c>
      <c r="C392">
        <v>4.2252571885411531E-2</v>
      </c>
      <c r="D392">
        <v>3.8164718070372416E-2</v>
      </c>
      <c r="E392">
        <v>0.36229095395805566</v>
      </c>
      <c r="F392">
        <v>0.53391849019498661</v>
      </c>
      <c r="G392">
        <v>0.71850966857200826</v>
      </c>
      <c r="H392">
        <v>0.7955588371484531</v>
      </c>
      <c r="I392">
        <v>0.7956908080661238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3.3751830675529698E-2</v>
      </c>
      <c r="C393">
        <v>9.765222557240294E-2</v>
      </c>
      <c r="D393">
        <v>0.38871603050661496</v>
      </c>
      <c r="E393">
        <v>0.38641257411881913</v>
      </c>
      <c r="F393">
        <v>0.40176110735173004</v>
      </c>
      <c r="G393">
        <v>0.37226992287119998</v>
      </c>
      <c r="H393">
        <v>0.34983988948354222</v>
      </c>
      <c r="I393">
        <v>0.26019852423057721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1.9147071835070488E-3</v>
      </c>
      <c r="C394">
        <v>2.077073765802807E-2</v>
      </c>
      <c r="D394">
        <v>0.10745637166951863</v>
      </c>
      <c r="E394">
        <v>0.32971358469544204</v>
      </c>
      <c r="F394">
        <v>0.58644124452801616</v>
      </c>
      <c r="G394">
        <v>0.54462456924046621</v>
      </c>
      <c r="H394">
        <v>0.68672162984137597</v>
      </c>
      <c r="I394">
        <v>0.58458611609736555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4.8311272439510419E-6</v>
      </c>
      <c r="C395">
        <v>3.7375224897595906E-3</v>
      </c>
      <c r="D395">
        <v>4.342604033222678E-2</v>
      </c>
      <c r="E395">
        <v>0.10379759122332116</v>
      </c>
      <c r="F395">
        <v>0.46266165083784827</v>
      </c>
      <c r="G395">
        <v>0.69039972112678216</v>
      </c>
      <c r="H395">
        <v>0.92384068910455253</v>
      </c>
      <c r="I395">
        <v>0.84433402755386178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0.64495603251454459</v>
      </c>
      <c r="C396">
        <v>0.80037178407951504</v>
      </c>
      <c r="D396">
        <v>0.88776095345648243</v>
      </c>
      <c r="E396">
        <v>0.86870801376077256</v>
      </c>
      <c r="F396">
        <v>0.94500098425009149</v>
      </c>
      <c r="G396">
        <v>0.89525027663510304</v>
      </c>
      <c r="H396">
        <v>0.96346647787139239</v>
      </c>
      <c r="I396">
        <v>0.6331107199233259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0.75233164484587201</v>
      </c>
      <c r="C397">
        <v>0.99658131985082699</v>
      </c>
      <c r="D397">
        <v>0.98648669616924822</v>
      </c>
      <c r="E397">
        <v>0.9713144434589025</v>
      </c>
      <c r="F397">
        <v>0.95606896167730482</v>
      </c>
      <c r="G397">
        <v>0.94392753984145683</v>
      </c>
      <c r="H397">
        <v>0.91638698723553191</v>
      </c>
      <c r="I397">
        <v>0.88025948857024883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0.51555370616270246</v>
      </c>
      <c r="C399">
        <v>0.81288066471791209</v>
      </c>
      <c r="D399">
        <v>0.60004456849946575</v>
      </c>
      <c r="E399">
        <v>0.77710005278115779</v>
      </c>
      <c r="F399">
        <v>0.23289626393643181</v>
      </c>
      <c r="G399">
        <v>0.25714939242713092</v>
      </c>
      <c r="H399">
        <v>8.7556022382615145E-2</v>
      </c>
      <c r="I399">
        <v>0.10677238630178362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0.12122729368843191</v>
      </c>
      <c r="C400">
        <v>0.11980539638465212</v>
      </c>
      <c r="D400">
        <v>6.4909664886582119E-2</v>
      </c>
      <c r="E400">
        <v>9.9274086680687004E-2</v>
      </c>
      <c r="F400">
        <v>1.4527380777031362E-2</v>
      </c>
      <c r="G400">
        <v>1.1676836947452928E-2</v>
      </c>
      <c r="H400">
        <v>2.1160888281228335E-2</v>
      </c>
      <c r="I400">
        <v>2.738984134378317E-2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1.7531502660479106E-9</v>
      </c>
      <c r="C401">
        <v>1.3108507991867546E-6</v>
      </c>
      <c r="D401">
        <v>6.4720287176259989E-5</v>
      </c>
      <c r="E401">
        <v>1.1058947866805393E-3</v>
      </c>
      <c r="F401">
        <v>3.1915453705385717E-3</v>
      </c>
      <c r="G401">
        <v>3.2150432978488575E-2</v>
      </c>
      <c r="H401">
        <v>1.1700491038221711E-2</v>
      </c>
      <c r="I401">
        <v>1.728774901282008E-2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9.7803853471776763E-3</v>
      </c>
      <c r="C402">
        <v>5.0500275696737718E-4</v>
      </c>
      <c r="D402">
        <v>2.7481880012972453E-2</v>
      </c>
      <c r="E402">
        <v>0.14085349966431476</v>
      </c>
      <c r="F402">
        <v>0.22931060656622479</v>
      </c>
      <c r="G402">
        <v>0.52755760570137222</v>
      </c>
      <c r="H402">
        <v>0.53384834791040925</v>
      </c>
      <c r="I402">
        <v>0.50458130624192299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1.5686152837491536E-4</v>
      </c>
      <c r="C403">
        <v>4.3560073974210808E-4</v>
      </c>
      <c r="D403">
        <v>4.8455873567359621E-3</v>
      </c>
      <c r="E403">
        <v>3.7062041880030087E-2</v>
      </c>
      <c r="F403">
        <v>0.14520197175438151</v>
      </c>
      <c r="G403">
        <v>0.25320737591609693</v>
      </c>
      <c r="H403">
        <v>0.31091673196044567</v>
      </c>
      <c r="I403">
        <v>0.41004293074031739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1.9723963425320875E-11</v>
      </c>
      <c r="C404">
        <v>2.7494399790199765E-14</v>
      </c>
      <c r="D404">
        <v>1.6726897603451228E-8</v>
      </c>
      <c r="E404">
        <v>1.1820079727398783E-5</v>
      </c>
      <c r="F404">
        <v>3.1269811992431601E-4</v>
      </c>
      <c r="G404">
        <v>1.2810585316300536E-3</v>
      </c>
      <c r="H404">
        <v>5.1178083939156524E-4</v>
      </c>
      <c r="I404">
        <v>7.1160287819450217E-3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0.26208616211770253</v>
      </c>
      <c r="C405">
        <v>0.15865147119555495</v>
      </c>
      <c r="D405">
        <v>0.10930485141683724</v>
      </c>
      <c r="E405">
        <v>0.10852959715437455</v>
      </c>
      <c r="F405">
        <v>2.029946996750763E-2</v>
      </c>
      <c r="G405">
        <v>1.4549559881554357E-3</v>
      </c>
      <c r="H405">
        <v>1.5224441096743841E-4</v>
      </c>
      <c r="I405">
        <v>3.2100380344125031E-4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0.64956402181503092</v>
      </c>
      <c r="C406">
        <v>0.62824091088989276</v>
      </c>
      <c r="D406">
        <v>0.50444178789084049</v>
      </c>
      <c r="E406">
        <v>0.67932536486614703</v>
      </c>
      <c r="F406">
        <v>0.65028968101996065</v>
      </c>
      <c r="G406">
        <v>0.66100397200442185</v>
      </c>
      <c r="H406">
        <v>0.58611664756725312</v>
      </c>
      <c r="I406">
        <v>0.66052875361358387</v>
      </c>
      <c r="J406" t="s">
        <v>200</v>
      </c>
      <c r="K406" t="s">
        <v>226</v>
      </c>
      <c r="L406" t="s">
        <v>223</v>
      </c>
      <c r="M406" t="s">
        <v>225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06"/>
  <sheetViews>
    <sheetView zoomScale="130" zoomScaleNormal="130" workbookViewId="0">
      <selection activeCell="A3" sqref="A3"/>
    </sheetView>
  </sheetViews>
  <sheetFormatPr defaultRowHeight="15" x14ac:dyDescent="0.25"/>
  <cols>
    <col min="1" max="1" width="24.28515625" bestFit="1" customWidth="1"/>
    <col min="2" max="9" width="6.28515625" bestFit="1" customWidth="1"/>
    <col min="10" max="10" width="9.140625" bestFit="1" customWidth="1"/>
    <col min="11" max="11" width="10.42578125" bestFit="1" customWidth="1"/>
    <col min="12" max="12" width="10.28515625" bestFit="1" customWidth="1"/>
    <col min="13" max="13" width="14.28515625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ht="15" customHeight="1" x14ac:dyDescent="0.25">
      <c r="A2" t="s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 t="s">
        <v>198</v>
      </c>
      <c r="K3" t="s">
        <v>203</v>
      </c>
      <c r="L3" t="s">
        <v>209</v>
      </c>
      <c r="M3" t="s">
        <v>225</v>
      </c>
    </row>
    <row r="4" spans="1:13" ht="15" customHeight="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198</v>
      </c>
      <c r="K4" t="s">
        <v>204</v>
      </c>
      <c r="L4" t="s">
        <v>209</v>
      </c>
      <c r="M4" t="s">
        <v>225</v>
      </c>
    </row>
    <row r="5" spans="1:13" ht="15" customHeight="1" x14ac:dyDescent="0.25">
      <c r="A5" t="s">
        <v>298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198</v>
      </c>
      <c r="K5" t="s">
        <v>239</v>
      </c>
      <c r="L5" t="s">
        <v>209</v>
      </c>
      <c r="M5" t="s">
        <v>225</v>
      </c>
    </row>
    <row r="6" spans="1:13" ht="15" customHeight="1" x14ac:dyDescent="0.25">
      <c r="A6" t="s">
        <v>299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 t="s">
        <v>198</v>
      </c>
      <c r="K6" t="s">
        <v>241</v>
      </c>
      <c r="L6" t="s">
        <v>209</v>
      </c>
      <c r="M6" t="s">
        <v>225</v>
      </c>
    </row>
    <row r="7" spans="1:13" ht="15" customHeight="1" x14ac:dyDescent="0.25">
      <c r="A7" t="s">
        <v>4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198</v>
      </c>
      <c r="K8" t="s">
        <v>207</v>
      </c>
      <c r="L8" t="s">
        <v>209</v>
      </c>
      <c r="M8" t="s">
        <v>225</v>
      </c>
    </row>
    <row r="9" spans="1:13" ht="15" customHeight="1" x14ac:dyDescent="0.25">
      <c r="A9" t="s">
        <v>300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198</v>
      </c>
      <c r="K9" t="s">
        <v>233</v>
      </c>
      <c r="L9" t="s">
        <v>209</v>
      </c>
      <c r="M9" t="s">
        <v>225</v>
      </c>
    </row>
    <row r="10" spans="1:13" ht="15" customHeight="1" x14ac:dyDescent="0.25">
      <c r="A10" t="s">
        <v>5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 t="s">
        <v>198</v>
      </c>
      <c r="K10" t="s">
        <v>202</v>
      </c>
      <c r="L10" t="s">
        <v>210</v>
      </c>
      <c r="M10" t="s">
        <v>225</v>
      </c>
    </row>
    <row r="11" spans="1:13" ht="15" customHeight="1" x14ac:dyDescent="0.25">
      <c r="A11" t="s">
        <v>6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 t="s">
        <v>198</v>
      </c>
      <c r="K11" t="s">
        <v>203</v>
      </c>
      <c r="L11" t="s">
        <v>210</v>
      </c>
      <c r="M11" t="s">
        <v>225</v>
      </c>
    </row>
    <row r="12" spans="1:13" ht="15" customHeight="1" x14ac:dyDescent="0.25">
      <c r="A12" t="s">
        <v>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198</v>
      </c>
      <c r="K13" t="s">
        <v>239</v>
      </c>
      <c r="L13" t="s">
        <v>210</v>
      </c>
      <c r="M13" t="s">
        <v>225</v>
      </c>
    </row>
    <row r="14" spans="1:13" ht="15" customHeight="1" x14ac:dyDescent="0.25">
      <c r="A14" t="s">
        <v>302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198</v>
      </c>
      <c r="K14" t="s">
        <v>241</v>
      </c>
      <c r="L14" t="s">
        <v>210</v>
      </c>
      <c r="M14" t="s">
        <v>225</v>
      </c>
    </row>
    <row r="15" spans="1:13" ht="15" customHeight="1" x14ac:dyDescent="0.25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198</v>
      </c>
      <c r="K15" t="s">
        <v>206</v>
      </c>
      <c r="L15" t="s">
        <v>210</v>
      </c>
      <c r="M15" t="s">
        <v>225</v>
      </c>
    </row>
    <row r="16" spans="1:13" ht="15" customHeight="1" x14ac:dyDescent="0.25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198</v>
      </c>
      <c r="K16" t="s">
        <v>207</v>
      </c>
      <c r="L16" t="s">
        <v>210</v>
      </c>
      <c r="M16" t="s">
        <v>225</v>
      </c>
    </row>
    <row r="17" spans="1:13" ht="15" customHeight="1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198</v>
      </c>
      <c r="K18" t="s">
        <v>202</v>
      </c>
      <c r="L18" t="s">
        <v>211</v>
      </c>
      <c r="M18" t="s">
        <v>225</v>
      </c>
    </row>
    <row r="19" spans="1:13" ht="15" customHeight="1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198</v>
      </c>
      <c r="K19" t="s">
        <v>203</v>
      </c>
      <c r="L19" t="s">
        <v>211</v>
      </c>
      <c r="M19" t="s">
        <v>225</v>
      </c>
    </row>
    <row r="20" spans="1:13" ht="15" customHeight="1" x14ac:dyDescent="0.25">
      <c r="A20" t="s">
        <v>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198</v>
      </c>
      <c r="K20" t="s">
        <v>204</v>
      </c>
      <c r="L20" t="s">
        <v>211</v>
      </c>
      <c r="M20" t="s">
        <v>225</v>
      </c>
    </row>
    <row r="21" spans="1:13" ht="15" customHeight="1" x14ac:dyDescent="0.25">
      <c r="A21" t="s">
        <v>304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198</v>
      </c>
      <c r="K21" t="s">
        <v>239</v>
      </c>
      <c r="L21" t="s">
        <v>211</v>
      </c>
      <c r="M21" t="s">
        <v>225</v>
      </c>
    </row>
    <row r="22" spans="1:13" ht="15" customHeight="1" x14ac:dyDescent="0.25">
      <c r="A22" t="s">
        <v>305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198</v>
      </c>
      <c r="K23" t="s">
        <v>206</v>
      </c>
      <c r="L23" t="s">
        <v>211</v>
      </c>
      <c r="M23" t="s">
        <v>225</v>
      </c>
    </row>
    <row r="24" spans="1:13" ht="15" customHeight="1" x14ac:dyDescent="0.25">
      <c r="A24" t="s">
        <v>263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198</v>
      </c>
      <c r="K24" t="s">
        <v>207</v>
      </c>
      <c r="L24" t="s">
        <v>211</v>
      </c>
      <c r="M24" t="s">
        <v>225</v>
      </c>
    </row>
    <row r="25" spans="1:13" ht="15" customHeight="1" x14ac:dyDescent="0.25">
      <c r="A25" t="s">
        <v>306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 t="s">
        <v>198</v>
      </c>
      <c r="K25" t="s">
        <v>233</v>
      </c>
      <c r="L25" t="s">
        <v>211</v>
      </c>
      <c r="M25" t="s">
        <v>225</v>
      </c>
    </row>
    <row r="26" spans="1:13" ht="15" customHeight="1" x14ac:dyDescent="0.25">
      <c r="A26" t="s">
        <v>13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 t="s">
        <v>198</v>
      </c>
      <c r="K26" t="s">
        <v>202</v>
      </c>
      <c r="L26" t="s">
        <v>212</v>
      </c>
      <c r="M26" t="s">
        <v>225</v>
      </c>
    </row>
    <row r="27" spans="1:13" ht="15" customHeight="1" x14ac:dyDescent="0.25">
      <c r="A27" t="s">
        <v>14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 t="s">
        <v>198</v>
      </c>
      <c r="K28" t="s">
        <v>204</v>
      </c>
      <c r="L28" t="s">
        <v>212</v>
      </c>
      <c r="M28" t="s">
        <v>225</v>
      </c>
    </row>
    <row r="29" spans="1:13" ht="15" customHeight="1" x14ac:dyDescent="0.25">
      <c r="A29" t="s">
        <v>307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198</v>
      </c>
      <c r="K29" t="s">
        <v>239</v>
      </c>
      <c r="L29" t="s">
        <v>212</v>
      </c>
      <c r="M29" t="s">
        <v>225</v>
      </c>
    </row>
    <row r="30" spans="1:13" ht="15" customHeight="1" x14ac:dyDescent="0.25">
      <c r="A30" t="s">
        <v>308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198</v>
      </c>
      <c r="K30" t="s">
        <v>241</v>
      </c>
      <c r="L30" t="s">
        <v>212</v>
      </c>
      <c r="M30" t="s">
        <v>225</v>
      </c>
    </row>
    <row r="31" spans="1:13" ht="15" customHeight="1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198</v>
      </c>
      <c r="K31" t="s">
        <v>206</v>
      </c>
      <c r="L31" t="s">
        <v>212</v>
      </c>
      <c r="M31" t="s">
        <v>225</v>
      </c>
    </row>
    <row r="32" spans="1:13" ht="15" customHeight="1" x14ac:dyDescent="0.25">
      <c r="A32" t="s">
        <v>264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 t="s">
        <v>198</v>
      </c>
      <c r="K33" t="s">
        <v>233</v>
      </c>
      <c r="L33" t="s">
        <v>212</v>
      </c>
      <c r="M33" t="s">
        <v>225</v>
      </c>
    </row>
    <row r="34" spans="1:13" ht="15" customHeight="1" x14ac:dyDescent="0.25">
      <c r="A34" t="s">
        <v>17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 t="s">
        <v>198</v>
      </c>
      <c r="K34" t="s">
        <v>202</v>
      </c>
      <c r="L34" t="s">
        <v>213</v>
      </c>
      <c r="M34" t="s">
        <v>225</v>
      </c>
    </row>
    <row r="35" spans="1:13" ht="15" customHeight="1" x14ac:dyDescent="0.25">
      <c r="A35" t="s">
        <v>18</v>
      </c>
      <c r="B35">
        <v>1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0</v>
      </c>
      <c r="J35" t="s">
        <v>198</v>
      </c>
      <c r="K35" t="s">
        <v>203</v>
      </c>
      <c r="L35" t="s">
        <v>213</v>
      </c>
      <c r="M35" t="s">
        <v>225</v>
      </c>
    </row>
    <row r="36" spans="1:13" ht="15" customHeight="1" x14ac:dyDescent="0.25">
      <c r="A36" t="s">
        <v>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198</v>
      </c>
      <c r="K36" t="s">
        <v>204</v>
      </c>
      <c r="L36" t="s">
        <v>213</v>
      </c>
      <c r="M36" t="s">
        <v>225</v>
      </c>
    </row>
    <row r="37" spans="1:13" ht="15" customHeight="1" x14ac:dyDescent="0.25">
      <c r="A37" t="s">
        <v>310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198</v>
      </c>
      <c r="K38" t="s">
        <v>241</v>
      </c>
      <c r="L38" t="s">
        <v>213</v>
      </c>
      <c r="M38" t="s">
        <v>225</v>
      </c>
    </row>
    <row r="39" spans="1:13" ht="15" customHeight="1" x14ac:dyDescent="0.25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198</v>
      </c>
      <c r="K39" t="s">
        <v>206</v>
      </c>
      <c r="L39" t="s">
        <v>213</v>
      </c>
      <c r="M39" t="s">
        <v>225</v>
      </c>
    </row>
    <row r="40" spans="1:13" ht="15" customHeight="1" x14ac:dyDescent="0.25">
      <c r="A40" t="s">
        <v>265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198</v>
      </c>
      <c r="K40" t="s">
        <v>207</v>
      </c>
      <c r="L40" t="s">
        <v>213</v>
      </c>
      <c r="M40" t="s">
        <v>225</v>
      </c>
    </row>
    <row r="41" spans="1:13" ht="15" customHeight="1" x14ac:dyDescent="0.25">
      <c r="A41" t="s">
        <v>312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198</v>
      </c>
      <c r="K41" t="s">
        <v>233</v>
      </c>
      <c r="L41" t="s">
        <v>213</v>
      </c>
      <c r="M41" t="s">
        <v>225</v>
      </c>
    </row>
    <row r="42" spans="1:13" ht="15" customHeight="1" x14ac:dyDescent="0.25">
      <c r="A42" t="s">
        <v>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 t="s">
        <v>198</v>
      </c>
      <c r="K43" t="s">
        <v>203</v>
      </c>
      <c r="L43" t="s">
        <v>214</v>
      </c>
      <c r="M43" t="s">
        <v>225</v>
      </c>
    </row>
    <row r="44" spans="1:13" ht="15" customHeight="1" x14ac:dyDescent="0.25">
      <c r="A44" t="s">
        <v>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198</v>
      </c>
      <c r="K44" t="s">
        <v>204</v>
      </c>
      <c r="L44" t="s">
        <v>214</v>
      </c>
      <c r="M44" t="s">
        <v>225</v>
      </c>
    </row>
    <row r="45" spans="1:13" ht="15" customHeight="1" x14ac:dyDescent="0.25">
      <c r="A45" t="s">
        <v>313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198</v>
      </c>
      <c r="K45" t="s">
        <v>239</v>
      </c>
      <c r="L45" t="s">
        <v>214</v>
      </c>
      <c r="M45" t="s">
        <v>225</v>
      </c>
    </row>
    <row r="46" spans="1:13" ht="15" customHeight="1" x14ac:dyDescent="0.25">
      <c r="A46" t="s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198</v>
      </c>
      <c r="K46" t="s">
        <v>241</v>
      </c>
      <c r="L46" t="s">
        <v>214</v>
      </c>
      <c r="M46" t="s">
        <v>225</v>
      </c>
    </row>
    <row r="47" spans="1:13" ht="15" customHeight="1" x14ac:dyDescent="0.25">
      <c r="A47" t="s">
        <v>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207</v>
      </c>
      <c r="L48" t="s">
        <v>214</v>
      </c>
      <c r="M48" t="s">
        <v>225</v>
      </c>
    </row>
    <row r="49" spans="1:13" ht="15" customHeight="1" x14ac:dyDescent="0.25">
      <c r="A49" t="s">
        <v>315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198</v>
      </c>
      <c r="K49" t="s">
        <v>233</v>
      </c>
      <c r="L49" t="s">
        <v>214</v>
      </c>
      <c r="M49" t="s">
        <v>225</v>
      </c>
    </row>
    <row r="50" spans="1:13" ht="15" customHeight="1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 t="s">
        <v>198</v>
      </c>
      <c r="K50" t="s">
        <v>202</v>
      </c>
      <c r="L50" t="s">
        <v>215</v>
      </c>
      <c r="M50" t="s">
        <v>225</v>
      </c>
    </row>
    <row r="51" spans="1:13" ht="15" customHeight="1" x14ac:dyDescent="0.25">
      <c r="A51" t="s">
        <v>26</v>
      </c>
      <c r="B51">
        <v>1</v>
      </c>
      <c r="C51">
        <v>1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 t="s">
        <v>198</v>
      </c>
      <c r="K51" t="s">
        <v>203</v>
      </c>
      <c r="L51" t="s">
        <v>215</v>
      </c>
      <c r="M51" t="s">
        <v>225</v>
      </c>
    </row>
    <row r="52" spans="1:13" ht="15" customHeight="1" x14ac:dyDescent="0.25">
      <c r="A52" t="s">
        <v>27</v>
      </c>
      <c r="B52">
        <v>0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198</v>
      </c>
      <c r="K53" t="s">
        <v>239</v>
      </c>
      <c r="L53" t="s">
        <v>215</v>
      </c>
      <c r="M53" t="s">
        <v>225</v>
      </c>
    </row>
    <row r="54" spans="1:13" ht="15" customHeight="1" x14ac:dyDescent="0.25">
      <c r="A54" t="s">
        <v>317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198</v>
      </c>
      <c r="K54" t="s">
        <v>241</v>
      </c>
      <c r="L54" t="s">
        <v>215</v>
      </c>
      <c r="M54" t="s">
        <v>225</v>
      </c>
    </row>
    <row r="55" spans="1:13" ht="15" customHeight="1" x14ac:dyDescent="0.25">
      <c r="A55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198</v>
      </c>
      <c r="K55" t="s">
        <v>206</v>
      </c>
      <c r="L55" t="s">
        <v>215</v>
      </c>
      <c r="M55" t="s">
        <v>225</v>
      </c>
    </row>
    <row r="56" spans="1:13" ht="15" customHeight="1" x14ac:dyDescent="0.25">
      <c r="A56" t="s">
        <v>267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198</v>
      </c>
      <c r="K56" t="s">
        <v>207</v>
      </c>
      <c r="L56" t="s">
        <v>215</v>
      </c>
      <c r="M56" t="s">
        <v>225</v>
      </c>
    </row>
    <row r="57" spans="1:13" ht="15" customHeight="1" x14ac:dyDescent="0.25">
      <c r="A57" t="s">
        <v>318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B58">
        <v>1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 t="s">
        <v>198</v>
      </c>
      <c r="K58" t="s">
        <v>202</v>
      </c>
      <c r="L58" t="s">
        <v>216</v>
      </c>
      <c r="M58" t="s">
        <v>225</v>
      </c>
    </row>
    <row r="59" spans="1:13" ht="15" customHeight="1" x14ac:dyDescent="0.25">
      <c r="A59" t="s">
        <v>30</v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 t="s">
        <v>198</v>
      </c>
      <c r="K59" t="s">
        <v>203</v>
      </c>
      <c r="L59" t="s">
        <v>216</v>
      </c>
      <c r="M59" t="s">
        <v>225</v>
      </c>
    </row>
    <row r="60" spans="1:13" ht="15" customHeight="1" x14ac:dyDescent="0.25">
      <c r="A60" t="s">
        <v>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 t="s">
        <v>198</v>
      </c>
      <c r="K60" t="s">
        <v>204</v>
      </c>
      <c r="L60" t="s">
        <v>216</v>
      </c>
      <c r="M60" t="s">
        <v>225</v>
      </c>
    </row>
    <row r="61" spans="1:13" ht="15" customHeight="1" x14ac:dyDescent="0.25">
      <c r="A61" t="s">
        <v>319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198</v>
      </c>
      <c r="K61" t="s">
        <v>239</v>
      </c>
      <c r="L61" t="s">
        <v>216</v>
      </c>
      <c r="M61" t="s">
        <v>225</v>
      </c>
    </row>
    <row r="62" spans="1:13" ht="15" customHeight="1" x14ac:dyDescent="0.25">
      <c r="A62" t="s">
        <v>320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198</v>
      </c>
      <c r="K63" t="s">
        <v>206</v>
      </c>
      <c r="L63" t="s">
        <v>216</v>
      </c>
      <c r="M63" t="s">
        <v>225</v>
      </c>
    </row>
    <row r="64" spans="1:13" ht="15" customHeight="1" x14ac:dyDescent="0.25">
      <c r="A64" t="s">
        <v>268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198</v>
      </c>
      <c r="K64" t="s">
        <v>207</v>
      </c>
      <c r="L64" t="s">
        <v>216</v>
      </c>
      <c r="M64" t="s">
        <v>225</v>
      </c>
    </row>
    <row r="65" spans="1:13" ht="15" customHeight="1" x14ac:dyDescent="0.25">
      <c r="A65" t="s">
        <v>321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 t="s">
        <v>198</v>
      </c>
      <c r="K65" t="s">
        <v>233</v>
      </c>
      <c r="L65" t="s">
        <v>216</v>
      </c>
      <c r="M65" t="s">
        <v>225</v>
      </c>
    </row>
    <row r="66" spans="1:13" ht="15" customHeight="1" x14ac:dyDescent="0.25">
      <c r="A66" t="s">
        <v>33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 t="s">
        <v>198</v>
      </c>
      <c r="K66" t="s">
        <v>202</v>
      </c>
      <c r="L66" t="s">
        <v>217</v>
      </c>
      <c r="M66" t="s">
        <v>225</v>
      </c>
    </row>
    <row r="67" spans="1:13" ht="15" customHeight="1" x14ac:dyDescent="0.25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198</v>
      </c>
      <c r="K68" t="s">
        <v>204</v>
      </c>
      <c r="L68" t="s">
        <v>217</v>
      </c>
      <c r="M68" t="s">
        <v>225</v>
      </c>
    </row>
    <row r="69" spans="1:13" ht="15" customHeight="1" x14ac:dyDescent="0.25">
      <c r="A69" t="s">
        <v>322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198</v>
      </c>
      <c r="K69" t="s">
        <v>239</v>
      </c>
      <c r="L69" t="s">
        <v>217</v>
      </c>
      <c r="M69" t="s">
        <v>225</v>
      </c>
    </row>
    <row r="70" spans="1:13" ht="15" customHeight="1" x14ac:dyDescent="0.25">
      <c r="A70" t="s">
        <v>323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198</v>
      </c>
      <c r="K70" t="s">
        <v>241</v>
      </c>
      <c r="L70" t="s">
        <v>217</v>
      </c>
      <c r="M70" t="s">
        <v>225</v>
      </c>
    </row>
    <row r="71" spans="1:13" ht="15" customHeight="1" x14ac:dyDescent="0.25">
      <c r="A71" t="s">
        <v>36</v>
      </c>
      <c r="B71">
        <v>1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 t="s">
        <v>198</v>
      </c>
      <c r="K71" t="s">
        <v>206</v>
      </c>
      <c r="L71" t="s">
        <v>217</v>
      </c>
      <c r="M71" t="s">
        <v>225</v>
      </c>
    </row>
    <row r="72" spans="1:13" ht="15" customHeight="1" x14ac:dyDescent="0.25">
      <c r="A72" t="s">
        <v>269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198</v>
      </c>
      <c r="K73" t="s">
        <v>233</v>
      </c>
      <c r="L73" t="s">
        <v>217</v>
      </c>
      <c r="M73" t="s">
        <v>225</v>
      </c>
    </row>
    <row r="74" spans="1:13" ht="15" customHeight="1" x14ac:dyDescent="0.25">
      <c r="A74" t="s">
        <v>37</v>
      </c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>
        <v>0</v>
      </c>
      <c r="J74" t="s">
        <v>198</v>
      </c>
      <c r="K74" t="s">
        <v>202</v>
      </c>
      <c r="L74" t="s">
        <v>218</v>
      </c>
      <c r="M74" t="s">
        <v>225</v>
      </c>
    </row>
    <row r="75" spans="1:13" ht="15" customHeight="1" x14ac:dyDescent="0.25">
      <c r="A75" t="s">
        <v>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198</v>
      </c>
      <c r="K75" t="s">
        <v>203</v>
      </c>
      <c r="L75" t="s">
        <v>218</v>
      </c>
      <c r="M75" t="s">
        <v>225</v>
      </c>
    </row>
    <row r="76" spans="1:13" ht="15" customHeight="1" x14ac:dyDescent="0.25">
      <c r="A76" t="s">
        <v>39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198</v>
      </c>
      <c r="K76" t="s">
        <v>204</v>
      </c>
      <c r="L76" t="s">
        <v>218</v>
      </c>
      <c r="M76" t="s">
        <v>225</v>
      </c>
    </row>
    <row r="77" spans="1:13" ht="15" customHeight="1" x14ac:dyDescent="0.25">
      <c r="A77" t="s">
        <v>325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198</v>
      </c>
      <c r="K78" t="s">
        <v>241</v>
      </c>
      <c r="L78" t="s">
        <v>218</v>
      </c>
      <c r="M78" t="s">
        <v>225</v>
      </c>
    </row>
    <row r="79" spans="1:13" ht="15" customHeight="1" x14ac:dyDescent="0.25">
      <c r="A79" t="s">
        <v>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198</v>
      </c>
      <c r="K79" t="s">
        <v>206</v>
      </c>
      <c r="L79" t="s">
        <v>218</v>
      </c>
      <c r="M79" t="s">
        <v>225</v>
      </c>
    </row>
    <row r="80" spans="1:13" ht="15" customHeight="1" x14ac:dyDescent="0.25">
      <c r="A80" t="s">
        <v>270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198</v>
      </c>
      <c r="K80" t="s">
        <v>207</v>
      </c>
      <c r="L80" t="s">
        <v>218</v>
      </c>
      <c r="M80" t="s">
        <v>225</v>
      </c>
    </row>
    <row r="81" spans="1:13" ht="15" customHeight="1" x14ac:dyDescent="0.25">
      <c r="A81" t="s">
        <v>327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 t="s">
        <v>198</v>
      </c>
      <c r="K81" t="s">
        <v>233</v>
      </c>
      <c r="L81" t="s">
        <v>218</v>
      </c>
      <c r="M81" t="s">
        <v>225</v>
      </c>
    </row>
    <row r="82" spans="1:13" ht="15" customHeight="1" x14ac:dyDescent="0.25">
      <c r="A82" t="s">
        <v>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 t="s">
        <v>198</v>
      </c>
      <c r="K83" t="s">
        <v>203</v>
      </c>
      <c r="L83" t="s">
        <v>219</v>
      </c>
      <c r="M83" t="s">
        <v>225</v>
      </c>
    </row>
    <row r="84" spans="1:13" ht="15" customHeight="1" x14ac:dyDescent="0.25">
      <c r="A84" t="s">
        <v>43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198</v>
      </c>
      <c r="K84" t="s">
        <v>204</v>
      </c>
      <c r="L84" t="s">
        <v>219</v>
      </c>
      <c r="M84" t="s">
        <v>225</v>
      </c>
    </row>
    <row r="85" spans="1:13" ht="15" customHeight="1" x14ac:dyDescent="0.25">
      <c r="A85" t="s">
        <v>328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198</v>
      </c>
      <c r="K85" t="s">
        <v>239</v>
      </c>
      <c r="L85" t="s">
        <v>219</v>
      </c>
      <c r="M85" t="s">
        <v>225</v>
      </c>
    </row>
    <row r="86" spans="1:13" ht="15" customHeight="1" x14ac:dyDescent="0.25">
      <c r="A86" t="s">
        <v>329</v>
      </c>
      <c r="B86">
        <v>0</v>
      </c>
      <c r="C86">
        <v>1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 t="s">
        <v>198</v>
      </c>
      <c r="K86" t="s">
        <v>241</v>
      </c>
      <c r="L86" t="s">
        <v>219</v>
      </c>
      <c r="M86" t="s">
        <v>225</v>
      </c>
    </row>
    <row r="87" spans="1:13" ht="15" customHeight="1" x14ac:dyDescent="0.25">
      <c r="A87" t="s">
        <v>44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198</v>
      </c>
      <c r="K88" t="s">
        <v>207</v>
      </c>
      <c r="L88" t="s">
        <v>219</v>
      </c>
      <c r="M88" t="s">
        <v>225</v>
      </c>
    </row>
    <row r="89" spans="1:13" ht="15" customHeight="1" x14ac:dyDescent="0.25">
      <c r="A89" t="s">
        <v>330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 t="s">
        <v>198</v>
      </c>
      <c r="K89" t="s">
        <v>233</v>
      </c>
      <c r="L89" t="s">
        <v>219</v>
      </c>
      <c r="M89" t="s">
        <v>225</v>
      </c>
    </row>
    <row r="90" spans="1:13" ht="15" customHeight="1" x14ac:dyDescent="0.25">
      <c r="A90" t="s">
        <v>45</v>
      </c>
      <c r="B90">
        <v>0</v>
      </c>
      <c r="C90">
        <v>0</v>
      </c>
      <c r="D90">
        <v>1</v>
      </c>
      <c r="E90">
        <v>0</v>
      </c>
      <c r="F90">
        <v>1</v>
      </c>
      <c r="G90">
        <v>1</v>
      </c>
      <c r="H90">
        <v>0</v>
      </c>
      <c r="I90">
        <v>1</v>
      </c>
      <c r="J90" t="s">
        <v>198</v>
      </c>
      <c r="K90" t="s">
        <v>202</v>
      </c>
      <c r="L90" t="s">
        <v>220</v>
      </c>
      <c r="M90" t="s">
        <v>225</v>
      </c>
    </row>
    <row r="91" spans="1:13" ht="15" customHeight="1" x14ac:dyDescent="0.25">
      <c r="A91" t="s">
        <v>46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 t="s">
        <v>198</v>
      </c>
      <c r="K91" t="s">
        <v>203</v>
      </c>
      <c r="L91" t="s">
        <v>220</v>
      </c>
      <c r="M91" t="s">
        <v>225</v>
      </c>
    </row>
    <row r="92" spans="1:13" ht="15" customHeight="1" x14ac:dyDescent="0.25">
      <c r="A92" t="s">
        <v>47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198</v>
      </c>
      <c r="K93" t="s">
        <v>239</v>
      </c>
      <c r="L93" t="s">
        <v>220</v>
      </c>
      <c r="M93" t="s">
        <v>225</v>
      </c>
    </row>
    <row r="94" spans="1:13" ht="15" customHeight="1" x14ac:dyDescent="0.25">
      <c r="A94" t="s">
        <v>332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198</v>
      </c>
      <c r="K94" t="s">
        <v>241</v>
      </c>
      <c r="L94" t="s">
        <v>220</v>
      </c>
      <c r="M94" t="s">
        <v>225</v>
      </c>
    </row>
    <row r="95" spans="1:13" ht="15" customHeight="1" x14ac:dyDescent="0.25">
      <c r="A95" t="s">
        <v>48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198</v>
      </c>
      <c r="K95" t="s">
        <v>206</v>
      </c>
      <c r="L95" t="s">
        <v>220</v>
      </c>
      <c r="M95" t="s">
        <v>225</v>
      </c>
    </row>
    <row r="96" spans="1:13" ht="15" customHeight="1" x14ac:dyDescent="0.25">
      <c r="A96" t="s">
        <v>272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198</v>
      </c>
      <c r="K96" t="s">
        <v>207</v>
      </c>
      <c r="L96" t="s">
        <v>220</v>
      </c>
      <c r="M96" t="s">
        <v>225</v>
      </c>
    </row>
    <row r="97" spans="1:13" ht="15" customHeight="1" x14ac:dyDescent="0.25">
      <c r="A97" t="s">
        <v>333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 t="s">
        <v>198</v>
      </c>
      <c r="K98" t="s">
        <v>202</v>
      </c>
      <c r="L98" t="s">
        <v>221</v>
      </c>
      <c r="M98" t="s">
        <v>225</v>
      </c>
    </row>
    <row r="99" spans="1:13" ht="15" customHeight="1" x14ac:dyDescent="0.25">
      <c r="A99" t="s">
        <v>50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 t="s">
        <v>198</v>
      </c>
      <c r="K99" t="s">
        <v>203</v>
      </c>
      <c r="L99" t="s">
        <v>221</v>
      </c>
      <c r="M99" t="s">
        <v>225</v>
      </c>
    </row>
    <row r="100" spans="1:13" ht="15" customHeight="1" x14ac:dyDescent="0.25">
      <c r="A100" t="s">
        <v>51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 t="s">
        <v>198</v>
      </c>
      <c r="K100" t="s">
        <v>204</v>
      </c>
      <c r="L100" t="s">
        <v>221</v>
      </c>
      <c r="M100" t="s">
        <v>225</v>
      </c>
    </row>
    <row r="101" spans="1:13" ht="15" customHeight="1" x14ac:dyDescent="0.25">
      <c r="A101" t="s">
        <v>334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198</v>
      </c>
      <c r="K101" t="s">
        <v>239</v>
      </c>
      <c r="L101" t="s">
        <v>221</v>
      </c>
      <c r="M101" t="s">
        <v>225</v>
      </c>
    </row>
    <row r="102" spans="1:13" ht="15" customHeight="1" x14ac:dyDescent="0.25">
      <c r="A102" t="s">
        <v>335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198</v>
      </c>
      <c r="K103" t="s">
        <v>206</v>
      </c>
      <c r="L103" t="s">
        <v>221</v>
      </c>
      <c r="M103" t="s">
        <v>225</v>
      </c>
    </row>
    <row r="104" spans="1:13" ht="15" customHeight="1" x14ac:dyDescent="0.25">
      <c r="A104" t="s">
        <v>273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198</v>
      </c>
      <c r="K104" t="s">
        <v>207</v>
      </c>
      <c r="L104" t="s">
        <v>221</v>
      </c>
      <c r="M104" t="s">
        <v>225</v>
      </c>
    </row>
    <row r="105" spans="1:13" ht="15" customHeight="1" x14ac:dyDescent="0.25">
      <c r="A105" t="s">
        <v>336</v>
      </c>
      <c r="B105">
        <v>0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 t="s">
        <v>198</v>
      </c>
      <c r="K105" t="s">
        <v>233</v>
      </c>
      <c r="L105" t="s">
        <v>221</v>
      </c>
      <c r="M105" t="s">
        <v>225</v>
      </c>
    </row>
    <row r="106" spans="1:13" ht="15" customHeight="1" x14ac:dyDescent="0.25">
      <c r="A106" t="s">
        <v>53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198</v>
      </c>
      <c r="K106" t="s">
        <v>202</v>
      </c>
      <c r="L106" t="s">
        <v>222</v>
      </c>
      <c r="M106" t="s">
        <v>225</v>
      </c>
    </row>
    <row r="107" spans="1:13" ht="15" customHeight="1" x14ac:dyDescent="0.25">
      <c r="A107" t="s">
        <v>54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0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 t="s">
        <v>198</v>
      </c>
      <c r="K108" t="s">
        <v>204</v>
      </c>
      <c r="L108" t="s">
        <v>222</v>
      </c>
      <c r="M108" t="s">
        <v>225</v>
      </c>
    </row>
    <row r="109" spans="1:13" ht="15" customHeight="1" x14ac:dyDescent="0.25">
      <c r="A109" t="s">
        <v>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198</v>
      </c>
      <c r="K109" t="s">
        <v>239</v>
      </c>
      <c r="L109" t="s">
        <v>222</v>
      </c>
      <c r="M109" t="s">
        <v>225</v>
      </c>
    </row>
    <row r="110" spans="1:13" ht="15" customHeight="1" x14ac:dyDescent="0.25">
      <c r="A110" t="s">
        <v>338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198</v>
      </c>
      <c r="K110" t="s">
        <v>241</v>
      </c>
      <c r="L110" t="s">
        <v>222</v>
      </c>
      <c r="M110" t="s">
        <v>225</v>
      </c>
    </row>
    <row r="111" spans="1:13" ht="15" customHeight="1" x14ac:dyDescent="0.25">
      <c r="A111" t="s">
        <v>56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 t="s">
        <v>198</v>
      </c>
      <c r="K111" t="s">
        <v>206</v>
      </c>
      <c r="L111" t="s">
        <v>222</v>
      </c>
      <c r="M111" t="s">
        <v>225</v>
      </c>
    </row>
    <row r="112" spans="1:13" ht="15" customHeight="1" x14ac:dyDescent="0.25">
      <c r="A112" t="s">
        <v>274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 t="s">
        <v>198</v>
      </c>
      <c r="K113" t="s">
        <v>233</v>
      </c>
      <c r="L113" t="s">
        <v>222</v>
      </c>
      <c r="M113" t="s">
        <v>225</v>
      </c>
    </row>
    <row r="114" spans="1:13" ht="15" customHeight="1" x14ac:dyDescent="0.25">
      <c r="A114" t="s">
        <v>57</v>
      </c>
      <c r="B114">
        <v>1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 t="s">
        <v>198</v>
      </c>
      <c r="K114" t="s">
        <v>202</v>
      </c>
      <c r="L114" t="s">
        <v>223</v>
      </c>
      <c r="M114" t="s">
        <v>225</v>
      </c>
    </row>
    <row r="115" spans="1:13" ht="15" customHeight="1" x14ac:dyDescent="0.25">
      <c r="A115" t="s">
        <v>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 t="s">
        <v>198</v>
      </c>
      <c r="K115" t="s">
        <v>203</v>
      </c>
      <c r="L115" t="s">
        <v>223</v>
      </c>
      <c r="M115" t="s">
        <v>225</v>
      </c>
    </row>
    <row r="116" spans="1:13" ht="15" customHeight="1" x14ac:dyDescent="0.25">
      <c r="A116" t="s">
        <v>59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 t="s">
        <v>198</v>
      </c>
      <c r="K116" t="s">
        <v>204</v>
      </c>
      <c r="L116" t="s">
        <v>223</v>
      </c>
      <c r="M116" t="s">
        <v>225</v>
      </c>
    </row>
    <row r="117" spans="1:13" ht="15" customHeight="1" x14ac:dyDescent="0.25">
      <c r="A117" t="s">
        <v>340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 t="s">
        <v>198</v>
      </c>
      <c r="K118" t="s">
        <v>241</v>
      </c>
      <c r="L118" t="s">
        <v>223</v>
      </c>
      <c r="M118" t="s">
        <v>225</v>
      </c>
    </row>
    <row r="119" spans="1:13" ht="15" customHeight="1" x14ac:dyDescent="0.25">
      <c r="A119" t="s">
        <v>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198</v>
      </c>
      <c r="K119" t="s">
        <v>206</v>
      </c>
      <c r="L119" t="s">
        <v>223</v>
      </c>
      <c r="M119" t="s">
        <v>225</v>
      </c>
    </row>
    <row r="120" spans="1:13" ht="15" customHeight="1" x14ac:dyDescent="0.25">
      <c r="A120" t="s">
        <v>275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198</v>
      </c>
      <c r="K120" t="s">
        <v>207</v>
      </c>
      <c r="L120" t="s">
        <v>223</v>
      </c>
      <c r="M120" t="s">
        <v>225</v>
      </c>
    </row>
    <row r="121" spans="1:13" ht="15" customHeight="1" x14ac:dyDescent="0.25">
      <c r="A121" t="s">
        <v>342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198</v>
      </c>
      <c r="K121" t="s">
        <v>233</v>
      </c>
      <c r="L121" t="s">
        <v>223</v>
      </c>
      <c r="M121" t="s">
        <v>225</v>
      </c>
    </row>
    <row r="122" spans="1:13" ht="15" customHeight="1" x14ac:dyDescent="0.25">
      <c r="A122" t="s">
        <v>61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199</v>
      </c>
      <c r="K123" t="s">
        <v>203</v>
      </c>
      <c r="L123" t="s">
        <v>209</v>
      </c>
      <c r="M123" t="s">
        <v>225</v>
      </c>
    </row>
    <row r="124" spans="1:13" ht="15" customHeight="1" x14ac:dyDescent="0.25">
      <c r="A124" t="s">
        <v>63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199</v>
      </c>
      <c r="K124" t="s">
        <v>204</v>
      </c>
      <c r="L124" t="s">
        <v>209</v>
      </c>
      <c r="M124" t="s">
        <v>225</v>
      </c>
    </row>
    <row r="125" spans="1:13" ht="15" customHeight="1" x14ac:dyDescent="0.25">
      <c r="A125" t="s">
        <v>343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199</v>
      </c>
      <c r="K125" t="s">
        <v>239</v>
      </c>
      <c r="L125" t="s">
        <v>209</v>
      </c>
      <c r="M125" t="s">
        <v>225</v>
      </c>
    </row>
    <row r="126" spans="1:13" ht="15" customHeight="1" x14ac:dyDescent="0.25">
      <c r="A126" t="s">
        <v>344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199</v>
      </c>
      <c r="K126" t="s">
        <v>241</v>
      </c>
      <c r="L126" t="s">
        <v>209</v>
      </c>
      <c r="M126" t="s">
        <v>225</v>
      </c>
    </row>
    <row r="127" spans="1:13" ht="15" customHeight="1" x14ac:dyDescent="0.25">
      <c r="A127" t="s">
        <v>64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199</v>
      </c>
      <c r="K128" t="s">
        <v>207</v>
      </c>
      <c r="L128" t="s">
        <v>209</v>
      </c>
      <c r="M128" t="s">
        <v>225</v>
      </c>
    </row>
    <row r="129" spans="1:13" ht="15" customHeight="1" x14ac:dyDescent="0.25">
      <c r="A129" t="s">
        <v>345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199</v>
      </c>
      <c r="K129" t="s">
        <v>233</v>
      </c>
      <c r="L129" t="s">
        <v>209</v>
      </c>
      <c r="M129" t="s">
        <v>225</v>
      </c>
    </row>
    <row r="130" spans="1:13" ht="15" customHeight="1" x14ac:dyDescent="0.25">
      <c r="A130" t="s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199</v>
      </c>
      <c r="K130" t="s">
        <v>202</v>
      </c>
      <c r="L130" t="s">
        <v>210</v>
      </c>
      <c r="M130" t="s">
        <v>225</v>
      </c>
    </row>
    <row r="131" spans="1:13" ht="15" customHeight="1" x14ac:dyDescent="0.25">
      <c r="A131" t="s">
        <v>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 t="s">
        <v>199</v>
      </c>
      <c r="K131" t="s">
        <v>203</v>
      </c>
      <c r="L131" t="s">
        <v>210</v>
      </c>
      <c r="M131" t="s">
        <v>225</v>
      </c>
    </row>
    <row r="132" spans="1:13" ht="15" customHeight="1" x14ac:dyDescent="0.25">
      <c r="A132" t="s">
        <v>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199</v>
      </c>
      <c r="K133" t="s">
        <v>239</v>
      </c>
      <c r="L133" t="s">
        <v>210</v>
      </c>
      <c r="M133" t="s">
        <v>225</v>
      </c>
    </row>
    <row r="134" spans="1:13" ht="15" customHeight="1" x14ac:dyDescent="0.25">
      <c r="A134" t="s">
        <v>347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199</v>
      </c>
      <c r="K134" t="s">
        <v>241</v>
      </c>
      <c r="L134" t="s">
        <v>210</v>
      </c>
      <c r="M134" t="s">
        <v>225</v>
      </c>
    </row>
    <row r="135" spans="1:13" ht="15" customHeight="1" x14ac:dyDescent="0.25">
      <c r="A135" t="s">
        <v>68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0</v>
      </c>
      <c r="J135" t="s">
        <v>199</v>
      </c>
      <c r="K135" t="s">
        <v>206</v>
      </c>
      <c r="L135" t="s">
        <v>210</v>
      </c>
      <c r="M135" t="s">
        <v>225</v>
      </c>
    </row>
    <row r="136" spans="1:13" ht="15" customHeight="1" x14ac:dyDescent="0.25">
      <c r="A136" t="s">
        <v>277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199</v>
      </c>
      <c r="K136" t="s">
        <v>207</v>
      </c>
      <c r="L136" t="s">
        <v>210</v>
      </c>
      <c r="M136" t="s">
        <v>225</v>
      </c>
    </row>
    <row r="137" spans="1:13" ht="15" customHeight="1" x14ac:dyDescent="0.25">
      <c r="A137" t="s">
        <v>348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199</v>
      </c>
      <c r="K138" t="s">
        <v>202</v>
      </c>
      <c r="L138" t="s">
        <v>211</v>
      </c>
      <c r="M138" t="s">
        <v>225</v>
      </c>
    </row>
    <row r="139" spans="1:13" ht="15" customHeight="1" x14ac:dyDescent="0.25">
      <c r="A139" t="s">
        <v>70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 t="s">
        <v>199</v>
      </c>
      <c r="K139" t="s">
        <v>203</v>
      </c>
      <c r="L139" t="s">
        <v>211</v>
      </c>
      <c r="M139" t="s">
        <v>225</v>
      </c>
    </row>
    <row r="140" spans="1:13" ht="15" customHeight="1" x14ac:dyDescent="0.25">
      <c r="A140" t="s">
        <v>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199</v>
      </c>
      <c r="K140" t="s">
        <v>204</v>
      </c>
      <c r="L140" t="s">
        <v>211</v>
      </c>
      <c r="M140" t="s">
        <v>225</v>
      </c>
    </row>
    <row r="141" spans="1:13" ht="15" customHeight="1" x14ac:dyDescent="0.25">
      <c r="A141" t="s">
        <v>349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199</v>
      </c>
      <c r="K141" t="s">
        <v>239</v>
      </c>
      <c r="L141" t="s">
        <v>211</v>
      </c>
      <c r="M141" t="s">
        <v>225</v>
      </c>
    </row>
    <row r="142" spans="1:13" ht="15" customHeight="1" x14ac:dyDescent="0.25">
      <c r="A142" t="s">
        <v>350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199</v>
      </c>
      <c r="K143" t="s">
        <v>206</v>
      </c>
      <c r="L143" t="s">
        <v>211</v>
      </c>
      <c r="M143" t="s">
        <v>225</v>
      </c>
    </row>
    <row r="144" spans="1:13" ht="15" customHeight="1" x14ac:dyDescent="0.25">
      <c r="A144" t="s">
        <v>278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199</v>
      </c>
      <c r="K144" t="s">
        <v>207</v>
      </c>
      <c r="L144" t="s">
        <v>211</v>
      </c>
      <c r="M144" t="s">
        <v>225</v>
      </c>
    </row>
    <row r="145" spans="1:13" ht="15" customHeight="1" x14ac:dyDescent="0.25">
      <c r="A145" t="s">
        <v>351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199</v>
      </c>
      <c r="K145" t="s">
        <v>233</v>
      </c>
      <c r="L145" t="s">
        <v>211</v>
      </c>
      <c r="M145" t="s">
        <v>225</v>
      </c>
    </row>
    <row r="146" spans="1:13" ht="15" customHeight="1" x14ac:dyDescent="0.25">
      <c r="A146" t="s">
        <v>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199</v>
      </c>
      <c r="K146" t="s">
        <v>202</v>
      </c>
      <c r="L146" t="s">
        <v>212</v>
      </c>
      <c r="M146" t="s">
        <v>225</v>
      </c>
    </row>
    <row r="147" spans="1:13" ht="15" customHeight="1" x14ac:dyDescent="0.25">
      <c r="A147" t="s">
        <v>74</v>
      </c>
      <c r="B147">
        <v>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 t="s">
        <v>199</v>
      </c>
      <c r="K148" t="s">
        <v>204</v>
      </c>
      <c r="L148" t="s">
        <v>212</v>
      </c>
      <c r="M148" t="s">
        <v>225</v>
      </c>
    </row>
    <row r="149" spans="1:13" ht="15" customHeight="1" x14ac:dyDescent="0.25">
      <c r="A149" t="s">
        <v>352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 t="s">
        <v>199</v>
      </c>
      <c r="K149" t="s">
        <v>239</v>
      </c>
      <c r="L149" t="s">
        <v>212</v>
      </c>
      <c r="M149" t="s">
        <v>225</v>
      </c>
    </row>
    <row r="150" spans="1:13" ht="15" customHeight="1" x14ac:dyDescent="0.25">
      <c r="A150" t="s">
        <v>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199</v>
      </c>
      <c r="K150" t="s">
        <v>241</v>
      </c>
      <c r="L150" t="s">
        <v>212</v>
      </c>
      <c r="M150" t="s">
        <v>225</v>
      </c>
    </row>
    <row r="151" spans="1:13" ht="15" customHeight="1" x14ac:dyDescent="0.25">
      <c r="A151" t="s">
        <v>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199</v>
      </c>
      <c r="K151" t="s">
        <v>206</v>
      </c>
      <c r="L151" t="s">
        <v>212</v>
      </c>
      <c r="M151" t="s">
        <v>225</v>
      </c>
    </row>
    <row r="152" spans="1:13" ht="15" customHeight="1" x14ac:dyDescent="0.25">
      <c r="A152" t="s">
        <v>279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199</v>
      </c>
      <c r="K153" t="s">
        <v>233</v>
      </c>
      <c r="L153" t="s">
        <v>212</v>
      </c>
      <c r="M153" t="s">
        <v>225</v>
      </c>
    </row>
    <row r="154" spans="1:13" ht="15" customHeight="1" x14ac:dyDescent="0.25">
      <c r="A154" t="s">
        <v>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 t="s">
        <v>199</v>
      </c>
      <c r="K154" t="s">
        <v>202</v>
      </c>
      <c r="L154" t="s">
        <v>213</v>
      </c>
      <c r="M154" t="s">
        <v>225</v>
      </c>
    </row>
    <row r="155" spans="1:13" ht="15" customHeight="1" x14ac:dyDescent="0.25">
      <c r="A155" t="s">
        <v>78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199</v>
      </c>
      <c r="K155" t="s">
        <v>203</v>
      </c>
      <c r="L155" t="s">
        <v>213</v>
      </c>
      <c r="M155" t="s">
        <v>225</v>
      </c>
    </row>
    <row r="156" spans="1:13" ht="15" customHeight="1" x14ac:dyDescent="0.25">
      <c r="A156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199</v>
      </c>
      <c r="K156" t="s">
        <v>204</v>
      </c>
      <c r="L156" t="s">
        <v>213</v>
      </c>
      <c r="M156" t="s">
        <v>225</v>
      </c>
    </row>
    <row r="157" spans="1:13" ht="15" customHeight="1" x14ac:dyDescent="0.25">
      <c r="A157" t="s">
        <v>355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199</v>
      </c>
      <c r="K158" t="s">
        <v>241</v>
      </c>
      <c r="L158" t="s">
        <v>213</v>
      </c>
      <c r="M158" t="s">
        <v>225</v>
      </c>
    </row>
    <row r="159" spans="1:13" ht="15" customHeight="1" x14ac:dyDescent="0.25">
      <c r="A159" t="s">
        <v>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 t="s">
        <v>199</v>
      </c>
      <c r="K159" t="s">
        <v>206</v>
      </c>
      <c r="L159" t="s">
        <v>213</v>
      </c>
      <c r="M159" t="s">
        <v>225</v>
      </c>
    </row>
    <row r="160" spans="1:13" ht="15" customHeight="1" x14ac:dyDescent="0.25">
      <c r="A160" t="s">
        <v>280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199</v>
      </c>
      <c r="K160" t="s">
        <v>207</v>
      </c>
      <c r="L160" t="s">
        <v>213</v>
      </c>
      <c r="M160" t="s">
        <v>225</v>
      </c>
    </row>
    <row r="161" spans="1:13" ht="15" customHeight="1" x14ac:dyDescent="0.25">
      <c r="A161" t="s">
        <v>357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1</v>
      </c>
      <c r="I161">
        <v>0</v>
      </c>
      <c r="J161" t="s">
        <v>199</v>
      </c>
      <c r="K161" t="s">
        <v>233</v>
      </c>
      <c r="L161" t="s">
        <v>213</v>
      </c>
      <c r="M161" t="s">
        <v>225</v>
      </c>
    </row>
    <row r="162" spans="1:13" ht="15" customHeight="1" x14ac:dyDescent="0.25">
      <c r="A162" t="s">
        <v>81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 t="s">
        <v>199</v>
      </c>
      <c r="K163" t="s">
        <v>203</v>
      </c>
      <c r="L163" t="s">
        <v>214</v>
      </c>
      <c r="M163" t="s">
        <v>225</v>
      </c>
    </row>
    <row r="164" spans="1:13" ht="15" customHeight="1" x14ac:dyDescent="0.25">
      <c r="A164" t="s">
        <v>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199</v>
      </c>
      <c r="K164" t="s">
        <v>204</v>
      </c>
      <c r="L164" t="s">
        <v>214</v>
      </c>
      <c r="M164" t="s">
        <v>225</v>
      </c>
    </row>
    <row r="165" spans="1:13" ht="15" customHeight="1" x14ac:dyDescent="0.25">
      <c r="A165" t="s">
        <v>358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199</v>
      </c>
      <c r="K165" t="s">
        <v>239</v>
      </c>
      <c r="L165" t="s">
        <v>214</v>
      </c>
      <c r="M165" t="s">
        <v>225</v>
      </c>
    </row>
    <row r="166" spans="1:13" ht="15" customHeight="1" x14ac:dyDescent="0.25">
      <c r="A166" t="s">
        <v>359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199</v>
      </c>
      <c r="K166" t="s">
        <v>241</v>
      </c>
      <c r="L166" t="s">
        <v>214</v>
      </c>
      <c r="M166" t="s">
        <v>225</v>
      </c>
    </row>
    <row r="167" spans="1:13" ht="15" customHeight="1" x14ac:dyDescent="0.25">
      <c r="A167" t="s">
        <v>84</v>
      </c>
      <c r="B167">
        <v>1</v>
      </c>
      <c r="C167">
        <v>0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1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199</v>
      </c>
      <c r="K168" t="s">
        <v>207</v>
      </c>
      <c r="L168" t="s">
        <v>214</v>
      </c>
      <c r="M168" t="s">
        <v>225</v>
      </c>
    </row>
    <row r="169" spans="1:13" ht="15" customHeight="1" x14ac:dyDescent="0.25">
      <c r="A169" t="s">
        <v>360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199</v>
      </c>
      <c r="K169" t="s">
        <v>233</v>
      </c>
      <c r="L169" t="s">
        <v>214</v>
      </c>
      <c r="M169" t="s">
        <v>225</v>
      </c>
    </row>
    <row r="170" spans="1:13" ht="15" customHeight="1" x14ac:dyDescent="0.25">
      <c r="A170" t="s">
        <v>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199</v>
      </c>
      <c r="K170" t="s">
        <v>202</v>
      </c>
      <c r="L170" t="s">
        <v>215</v>
      </c>
      <c r="M170" t="s">
        <v>225</v>
      </c>
    </row>
    <row r="171" spans="1:13" ht="15" customHeight="1" x14ac:dyDescent="0.25">
      <c r="A171" t="s">
        <v>86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199</v>
      </c>
      <c r="K171" t="s">
        <v>203</v>
      </c>
      <c r="L171" t="s">
        <v>215</v>
      </c>
      <c r="M171" t="s">
        <v>225</v>
      </c>
    </row>
    <row r="172" spans="1:13" ht="15" customHeight="1" x14ac:dyDescent="0.25">
      <c r="A172" t="s">
        <v>87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199</v>
      </c>
      <c r="K173" t="s">
        <v>239</v>
      </c>
      <c r="L173" t="s">
        <v>215</v>
      </c>
      <c r="M173" t="s">
        <v>225</v>
      </c>
    </row>
    <row r="174" spans="1:13" ht="15" customHeight="1" x14ac:dyDescent="0.25">
      <c r="A174" t="s">
        <v>362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199</v>
      </c>
      <c r="K174" t="s">
        <v>241</v>
      </c>
      <c r="L174" t="s">
        <v>215</v>
      </c>
      <c r="M174" t="s">
        <v>225</v>
      </c>
    </row>
    <row r="175" spans="1:13" ht="15" customHeight="1" x14ac:dyDescent="0.25">
      <c r="A175" t="s">
        <v>88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 t="s">
        <v>199</v>
      </c>
      <c r="K175" t="s">
        <v>206</v>
      </c>
      <c r="L175" t="s">
        <v>215</v>
      </c>
      <c r="M175" t="s">
        <v>225</v>
      </c>
    </row>
    <row r="176" spans="1:13" ht="15" customHeight="1" x14ac:dyDescent="0.25">
      <c r="A176" t="s">
        <v>282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199</v>
      </c>
      <c r="K176" t="s">
        <v>207</v>
      </c>
      <c r="L176" t="s">
        <v>215</v>
      </c>
      <c r="M176" t="s">
        <v>225</v>
      </c>
    </row>
    <row r="177" spans="1:13" ht="15" customHeight="1" x14ac:dyDescent="0.25">
      <c r="A177" t="s">
        <v>363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199</v>
      </c>
      <c r="K178" t="s">
        <v>202</v>
      </c>
      <c r="L178" t="s">
        <v>216</v>
      </c>
      <c r="M178" t="s">
        <v>225</v>
      </c>
    </row>
    <row r="179" spans="1:13" ht="15" customHeight="1" x14ac:dyDescent="0.25">
      <c r="A179" t="s">
        <v>90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199</v>
      </c>
      <c r="K179" t="s">
        <v>203</v>
      </c>
      <c r="L179" t="s">
        <v>216</v>
      </c>
      <c r="M179" t="s">
        <v>225</v>
      </c>
    </row>
    <row r="180" spans="1:13" ht="15" customHeight="1" x14ac:dyDescent="0.25">
      <c r="A180" t="s">
        <v>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199</v>
      </c>
      <c r="K180" t="s">
        <v>204</v>
      </c>
      <c r="L180" t="s">
        <v>216</v>
      </c>
      <c r="M180" t="s">
        <v>225</v>
      </c>
    </row>
    <row r="181" spans="1:13" ht="15" customHeight="1" x14ac:dyDescent="0.25">
      <c r="A181" t="s">
        <v>364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199</v>
      </c>
      <c r="K181" t="s">
        <v>239</v>
      </c>
      <c r="L181" t="s">
        <v>216</v>
      </c>
      <c r="M181" t="s">
        <v>225</v>
      </c>
    </row>
    <row r="182" spans="1:13" ht="15" customHeight="1" x14ac:dyDescent="0.25">
      <c r="A182" t="s">
        <v>365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199</v>
      </c>
      <c r="K183" t="s">
        <v>206</v>
      </c>
      <c r="L183" t="s">
        <v>216</v>
      </c>
      <c r="M183" t="s">
        <v>225</v>
      </c>
    </row>
    <row r="184" spans="1:13" ht="15" customHeight="1" x14ac:dyDescent="0.25">
      <c r="A184" t="s">
        <v>283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199</v>
      </c>
      <c r="K184" t="s">
        <v>207</v>
      </c>
      <c r="L184" t="s">
        <v>216</v>
      </c>
      <c r="M184" t="s">
        <v>225</v>
      </c>
    </row>
    <row r="185" spans="1:13" ht="15" customHeight="1" x14ac:dyDescent="0.25">
      <c r="A185" t="s">
        <v>366</v>
      </c>
      <c r="B185">
        <v>0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0</v>
      </c>
      <c r="J185" t="s">
        <v>199</v>
      </c>
      <c r="K185" t="s">
        <v>233</v>
      </c>
      <c r="L185" t="s">
        <v>216</v>
      </c>
      <c r="M185" t="s">
        <v>225</v>
      </c>
    </row>
    <row r="186" spans="1:13" ht="15" customHeight="1" x14ac:dyDescent="0.25">
      <c r="A186" t="s">
        <v>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199</v>
      </c>
      <c r="K186" t="s">
        <v>202</v>
      </c>
      <c r="L186" t="s">
        <v>217</v>
      </c>
      <c r="M186" t="s">
        <v>225</v>
      </c>
    </row>
    <row r="187" spans="1:13" ht="15" customHeight="1" x14ac:dyDescent="0.25">
      <c r="A187" t="s">
        <v>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 t="s">
        <v>199</v>
      </c>
      <c r="K188" t="s">
        <v>204</v>
      </c>
      <c r="L188" t="s">
        <v>217</v>
      </c>
      <c r="M188" t="s">
        <v>225</v>
      </c>
    </row>
    <row r="189" spans="1:13" ht="15" customHeight="1" x14ac:dyDescent="0.25">
      <c r="A189" t="s">
        <v>367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199</v>
      </c>
      <c r="K189" t="s">
        <v>239</v>
      </c>
      <c r="L189" t="s">
        <v>217</v>
      </c>
      <c r="M189" t="s">
        <v>225</v>
      </c>
    </row>
    <row r="190" spans="1:13" ht="15" customHeight="1" x14ac:dyDescent="0.25">
      <c r="A190" t="s">
        <v>368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199</v>
      </c>
      <c r="K190" t="s">
        <v>241</v>
      </c>
      <c r="L190" t="s">
        <v>217</v>
      </c>
      <c r="M190" t="s">
        <v>225</v>
      </c>
    </row>
    <row r="191" spans="1:13" ht="15" customHeight="1" x14ac:dyDescent="0.25">
      <c r="A191" t="s">
        <v>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199</v>
      </c>
      <c r="K191" t="s">
        <v>206</v>
      </c>
      <c r="L191" t="s">
        <v>217</v>
      </c>
      <c r="M191" t="s">
        <v>225</v>
      </c>
    </row>
    <row r="192" spans="1:13" ht="15" customHeight="1" x14ac:dyDescent="0.25">
      <c r="A192" t="s">
        <v>284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1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0</v>
      </c>
      <c r="I193">
        <v>1</v>
      </c>
      <c r="J193" t="s">
        <v>199</v>
      </c>
      <c r="K193" t="s">
        <v>233</v>
      </c>
      <c r="L193" t="s">
        <v>217</v>
      </c>
      <c r="M193" t="s">
        <v>225</v>
      </c>
    </row>
    <row r="194" spans="1:13" ht="15" customHeight="1" x14ac:dyDescent="0.25">
      <c r="A194" t="s">
        <v>97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0</v>
      </c>
      <c r="J194" t="s">
        <v>199</v>
      </c>
      <c r="K194" t="s">
        <v>202</v>
      </c>
      <c r="L194" t="s">
        <v>218</v>
      </c>
      <c r="M194" t="s">
        <v>225</v>
      </c>
    </row>
    <row r="195" spans="1:13" ht="15" customHeight="1" x14ac:dyDescent="0.25">
      <c r="A195" t="s">
        <v>98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 t="s">
        <v>199</v>
      </c>
      <c r="K195" t="s">
        <v>203</v>
      </c>
      <c r="L195" t="s">
        <v>218</v>
      </c>
      <c r="M195" t="s">
        <v>225</v>
      </c>
    </row>
    <row r="196" spans="1:13" ht="15" customHeight="1" x14ac:dyDescent="0.25">
      <c r="A196" t="s">
        <v>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199</v>
      </c>
      <c r="K196" t="s">
        <v>204</v>
      </c>
      <c r="L196" t="s">
        <v>218</v>
      </c>
      <c r="M196" t="s">
        <v>225</v>
      </c>
    </row>
    <row r="197" spans="1:13" ht="15" customHeight="1" x14ac:dyDescent="0.25">
      <c r="A197" t="s">
        <v>370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1</v>
      </c>
      <c r="J198" t="s">
        <v>199</v>
      </c>
      <c r="K198" t="s">
        <v>241</v>
      </c>
      <c r="L198" t="s">
        <v>218</v>
      </c>
      <c r="M198" t="s">
        <v>225</v>
      </c>
    </row>
    <row r="199" spans="1:13" ht="15" customHeight="1" x14ac:dyDescent="0.25">
      <c r="A199" t="s">
        <v>100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199</v>
      </c>
      <c r="K199" t="s">
        <v>206</v>
      </c>
      <c r="L199" t="s">
        <v>218</v>
      </c>
      <c r="M199" t="s">
        <v>225</v>
      </c>
    </row>
    <row r="200" spans="1:13" ht="15" customHeight="1" x14ac:dyDescent="0.25">
      <c r="A200" t="s">
        <v>285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199</v>
      </c>
      <c r="K200" t="s">
        <v>207</v>
      </c>
      <c r="L200" t="s">
        <v>218</v>
      </c>
      <c r="M200" t="s">
        <v>225</v>
      </c>
    </row>
    <row r="201" spans="1:13" ht="15" customHeight="1" x14ac:dyDescent="0.25">
      <c r="A201" t="s">
        <v>372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199</v>
      </c>
      <c r="K201" t="s">
        <v>233</v>
      </c>
      <c r="L201" t="s">
        <v>218</v>
      </c>
      <c r="M201" t="s">
        <v>225</v>
      </c>
    </row>
    <row r="202" spans="1:13" ht="15" customHeight="1" x14ac:dyDescent="0.25">
      <c r="A202" t="s">
        <v>101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199</v>
      </c>
      <c r="K203" t="s">
        <v>203</v>
      </c>
      <c r="L203" t="s">
        <v>219</v>
      </c>
      <c r="M203" t="s">
        <v>225</v>
      </c>
    </row>
    <row r="204" spans="1:13" ht="15" customHeight="1" x14ac:dyDescent="0.25">
      <c r="A204" t="s">
        <v>103</v>
      </c>
      <c r="B204">
        <v>0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 t="s">
        <v>199</v>
      </c>
      <c r="K204" t="s">
        <v>204</v>
      </c>
      <c r="L204" t="s">
        <v>219</v>
      </c>
      <c r="M204" t="s">
        <v>225</v>
      </c>
    </row>
    <row r="205" spans="1:13" ht="15" customHeight="1" x14ac:dyDescent="0.25">
      <c r="A205" t="s">
        <v>373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199</v>
      </c>
      <c r="K205" t="s">
        <v>239</v>
      </c>
      <c r="L205" t="s">
        <v>219</v>
      </c>
      <c r="M205" t="s">
        <v>225</v>
      </c>
    </row>
    <row r="206" spans="1:13" ht="15" customHeight="1" x14ac:dyDescent="0.25">
      <c r="A206" t="s">
        <v>374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199</v>
      </c>
      <c r="K206" t="s">
        <v>241</v>
      </c>
      <c r="L206" t="s">
        <v>219</v>
      </c>
      <c r="M206" t="s">
        <v>225</v>
      </c>
    </row>
    <row r="207" spans="1:13" ht="15" customHeight="1" x14ac:dyDescent="0.25">
      <c r="A207" t="s">
        <v>104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1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199</v>
      </c>
      <c r="K208" t="s">
        <v>207</v>
      </c>
      <c r="L208" t="s">
        <v>219</v>
      </c>
      <c r="M208" t="s">
        <v>225</v>
      </c>
    </row>
    <row r="209" spans="1:13" ht="15" customHeight="1" x14ac:dyDescent="0.25">
      <c r="A209" t="s">
        <v>375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199</v>
      </c>
      <c r="K209" t="s">
        <v>233</v>
      </c>
      <c r="L209" t="s">
        <v>219</v>
      </c>
      <c r="M209" t="s">
        <v>225</v>
      </c>
    </row>
    <row r="210" spans="1:13" ht="15" customHeight="1" x14ac:dyDescent="0.25">
      <c r="A210" t="s">
        <v>105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 t="s">
        <v>199</v>
      </c>
      <c r="K210" t="s">
        <v>202</v>
      </c>
      <c r="L210" t="s">
        <v>220</v>
      </c>
      <c r="M210" t="s">
        <v>225</v>
      </c>
    </row>
    <row r="211" spans="1:13" ht="15" customHeight="1" x14ac:dyDescent="0.25">
      <c r="A211" t="s">
        <v>106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199</v>
      </c>
      <c r="K211" t="s">
        <v>203</v>
      </c>
      <c r="L211" t="s">
        <v>220</v>
      </c>
      <c r="M211" t="s">
        <v>225</v>
      </c>
    </row>
    <row r="212" spans="1:13" ht="15" customHeight="1" x14ac:dyDescent="0.25">
      <c r="A212" t="s">
        <v>107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1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199</v>
      </c>
      <c r="K213" t="s">
        <v>239</v>
      </c>
      <c r="L213" t="s">
        <v>220</v>
      </c>
      <c r="M213" t="s">
        <v>225</v>
      </c>
    </row>
    <row r="214" spans="1:13" ht="15" customHeight="1" x14ac:dyDescent="0.25">
      <c r="A214" t="s">
        <v>377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199</v>
      </c>
      <c r="K214" t="s">
        <v>241</v>
      </c>
      <c r="L214" t="s">
        <v>220</v>
      </c>
      <c r="M214" t="s">
        <v>225</v>
      </c>
    </row>
    <row r="215" spans="1:13" ht="15" customHeight="1" x14ac:dyDescent="0.25">
      <c r="A215" t="s">
        <v>108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199</v>
      </c>
      <c r="K215" t="s">
        <v>206</v>
      </c>
      <c r="L215" t="s">
        <v>220</v>
      </c>
      <c r="M215" t="s">
        <v>225</v>
      </c>
    </row>
    <row r="216" spans="1:13" ht="15" customHeight="1" x14ac:dyDescent="0.25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199</v>
      </c>
      <c r="K216" t="s">
        <v>207</v>
      </c>
      <c r="L216" t="s">
        <v>220</v>
      </c>
      <c r="M216" t="s">
        <v>225</v>
      </c>
    </row>
    <row r="217" spans="1:13" ht="15" customHeight="1" x14ac:dyDescent="0.25">
      <c r="A217" t="s">
        <v>378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 t="s">
        <v>199</v>
      </c>
      <c r="K218" t="s">
        <v>202</v>
      </c>
      <c r="L218" t="s">
        <v>221</v>
      </c>
      <c r="M218" t="s">
        <v>225</v>
      </c>
    </row>
    <row r="219" spans="1:13" ht="15" customHeight="1" x14ac:dyDescent="0.25">
      <c r="A219" t="s">
        <v>110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199</v>
      </c>
      <c r="K219" t="s">
        <v>203</v>
      </c>
      <c r="L219" t="s">
        <v>221</v>
      </c>
      <c r="M219" t="s">
        <v>225</v>
      </c>
    </row>
    <row r="220" spans="1:13" ht="15" customHeight="1" x14ac:dyDescent="0.25">
      <c r="A220" t="s">
        <v>111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199</v>
      </c>
      <c r="K220" t="s">
        <v>204</v>
      </c>
      <c r="L220" t="s">
        <v>221</v>
      </c>
      <c r="M220" t="s">
        <v>225</v>
      </c>
    </row>
    <row r="221" spans="1:13" ht="15" customHeight="1" x14ac:dyDescent="0.25">
      <c r="A221" t="s">
        <v>379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199</v>
      </c>
      <c r="K221" t="s">
        <v>239</v>
      </c>
      <c r="L221" t="s">
        <v>221</v>
      </c>
      <c r="M221" t="s">
        <v>225</v>
      </c>
    </row>
    <row r="222" spans="1:13" ht="15" customHeight="1" x14ac:dyDescent="0.25">
      <c r="A222" t="s">
        <v>380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 t="s">
        <v>199</v>
      </c>
      <c r="K223" t="s">
        <v>206</v>
      </c>
      <c r="L223" t="s">
        <v>221</v>
      </c>
      <c r="M223" t="s">
        <v>225</v>
      </c>
    </row>
    <row r="224" spans="1:13" ht="15" customHeight="1" x14ac:dyDescent="0.25">
      <c r="A224" t="s">
        <v>288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199</v>
      </c>
      <c r="K224" t="s">
        <v>207</v>
      </c>
      <c r="L224" t="s">
        <v>221</v>
      </c>
      <c r="M224" t="s">
        <v>225</v>
      </c>
    </row>
    <row r="225" spans="1:13" ht="15" customHeight="1" x14ac:dyDescent="0.25">
      <c r="A225" t="s">
        <v>381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199</v>
      </c>
      <c r="K225" t="s">
        <v>233</v>
      </c>
      <c r="L225" t="s">
        <v>221</v>
      </c>
      <c r="M225" t="s">
        <v>225</v>
      </c>
    </row>
    <row r="226" spans="1:13" ht="15" customHeight="1" x14ac:dyDescent="0.25">
      <c r="A226" t="s">
        <v>113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199</v>
      </c>
      <c r="K226" t="s">
        <v>202</v>
      </c>
      <c r="L226" t="s">
        <v>222</v>
      </c>
      <c r="M226" t="s">
        <v>225</v>
      </c>
    </row>
    <row r="227" spans="1:13" ht="15" customHeight="1" x14ac:dyDescent="0.25">
      <c r="A227" t="s">
        <v>114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199</v>
      </c>
      <c r="K227" t="s">
        <v>203</v>
      </c>
      <c r="L227" t="s">
        <v>222</v>
      </c>
      <c r="M227" t="s">
        <v>225</v>
      </c>
    </row>
    <row r="228" spans="1:13" ht="15" customHeight="1" x14ac:dyDescent="0.25">
      <c r="A228" t="s">
        <v>115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199</v>
      </c>
      <c r="K228" t="s">
        <v>204</v>
      </c>
      <c r="L228" t="s">
        <v>222</v>
      </c>
      <c r="M228" t="s">
        <v>225</v>
      </c>
    </row>
    <row r="229" spans="1:13" ht="15" customHeight="1" x14ac:dyDescent="0.25">
      <c r="A229" t="s">
        <v>382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199</v>
      </c>
      <c r="K229" t="s">
        <v>239</v>
      </c>
      <c r="L229" t="s">
        <v>222</v>
      </c>
      <c r="M229" t="s">
        <v>225</v>
      </c>
    </row>
    <row r="230" spans="1:13" ht="15" customHeight="1" x14ac:dyDescent="0.25">
      <c r="A230" t="s">
        <v>383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199</v>
      </c>
      <c r="K230" t="s">
        <v>241</v>
      </c>
      <c r="L230" t="s">
        <v>222</v>
      </c>
      <c r="M230" t="s">
        <v>225</v>
      </c>
    </row>
    <row r="231" spans="1:13" ht="15" customHeight="1" x14ac:dyDescent="0.25">
      <c r="A231" t="s">
        <v>116</v>
      </c>
      <c r="B231">
        <v>0</v>
      </c>
      <c r="C231">
        <v>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 t="s">
        <v>199</v>
      </c>
      <c r="K231" t="s">
        <v>206</v>
      </c>
      <c r="L231" t="s">
        <v>222</v>
      </c>
      <c r="M231" t="s">
        <v>225</v>
      </c>
    </row>
    <row r="232" spans="1:13" ht="15" customHeight="1" x14ac:dyDescent="0.25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199</v>
      </c>
      <c r="K232" t="s">
        <v>207</v>
      </c>
      <c r="L232" t="s">
        <v>222</v>
      </c>
      <c r="M232" t="s">
        <v>225</v>
      </c>
    </row>
    <row r="233" spans="1:13" ht="15" customHeight="1" x14ac:dyDescent="0.25">
      <c r="A233" t="s">
        <v>384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199</v>
      </c>
      <c r="K233" t="s">
        <v>233</v>
      </c>
      <c r="L233" t="s">
        <v>222</v>
      </c>
      <c r="M233" t="s">
        <v>225</v>
      </c>
    </row>
    <row r="234" spans="1:13" ht="15" customHeight="1" x14ac:dyDescent="0.25">
      <c r="A234" t="s">
        <v>117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199</v>
      </c>
      <c r="K234" t="s">
        <v>202</v>
      </c>
      <c r="L234" t="s">
        <v>223</v>
      </c>
      <c r="M234" t="s">
        <v>225</v>
      </c>
    </row>
    <row r="235" spans="1:13" ht="15" customHeight="1" x14ac:dyDescent="0.25">
      <c r="A235" t="s">
        <v>118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199</v>
      </c>
      <c r="K235" t="s">
        <v>203</v>
      </c>
      <c r="L235" t="s">
        <v>223</v>
      </c>
      <c r="M235" t="s">
        <v>225</v>
      </c>
    </row>
    <row r="236" spans="1:13" ht="15" customHeight="1" x14ac:dyDescent="0.25">
      <c r="A236" t="s">
        <v>119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199</v>
      </c>
      <c r="K236" t="s">
        <v>204</v>
      </c>
      <c r="L236" t="s">
        <v>223</v>
      </c>
      <c r="M236" t="s">
        <v>225</v>
      </c>
    </row>
    <row r="237" spans="1:13" ht="15" customHeight="1" x14ac:dyDescent="0.25">
      <c r="A237" t="s">
        <v>385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199</v>
      </c>
      <c r="K237" t="s">
        <v>239</v>
      </c>
      <c r="L237" t="s">
        <v>223</v>
      </c>
      <c r="M237" t="s">
        <v>225</v>
      </c>
    </row>
    <row r="238" spans="1:13" ht="15" customHeight="1" x14ac:dyDescent="0.25">
      <c r="A238" t="s">
        <v>386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 t="s">
        <v>199</v>
      </c>
      <c r="K238" t="s">
        <v>241</v>
      </c>
      <c r="L238" t="s">
        <v>223</v>
      </c>
      <c r="M238" t="s">
        <v>225</v>
      </c>
    </row>
    <row r="239" spans="1:13" ht="15" customHeight="1" x14ac:dyDescent="0.25">
      <c r="A239" t="s">
        <v>120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1</v>
      </c>
      <c r="J239" t="s">
        <v>199</v>
      </c>
      <c r="K239" t="s">
        <v>206</v>
      </c>
      <c r="L239" t="s">
        <v>223</v>
      </c>
      <c r="M239" t="s">
        <v>225</v>
      </c>
    </row>
    <row r="240" spans="1:13" ht="15" customHeight="1" x14ac:dyDescent="0.25">
      <c r="A240" t="s">
        <v>290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199</v>
      </c>
      <c r="K240" t="s">
        <v>207</v>
      </c>
      <c r="L240" t="s">
        <v>223</v>
      </c>
      <c r="M240" t="s">
        <v>225</v>
      </c>
    </row>
    <row r="241" spans="1:13" ht="15" customHeight="1" x14ac:dyDescent="0.25">
      <c r="A241" t="s">
        <v>387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199</v>
      </c>
      <c r="K241" t="s">
        <v>233</v>
      </c>
      <c r="L241" t="s">
        <v>223</v>
      </c>
      <c r="M241" t="s">
        <v>225</v>
      </c>
    </row>
    <row r="242" spans="1:13" ht="15" customHeight="1" x14ac:dyDescent="0.25">
      <c r="A242" t="s">
        <v>121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200</v>
      </c>
      <c r="K242" t="s">
        <v>202</v>
      </c>
      <c r="L242" t="s">
        <v>209</v>
      </c>
      <c r="M242" t="s">
        <v>225</v>
      </c>
    </row>
    <row r="243" spans="1:13" ht="15" customHeight="1" x14ac:dyDescent="0.25">
      <c r="A243" t="s">
        <v>122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200</v>
      </c>
      <c r="K243" t="s">
        <v>203</v>
      </c>
      <c r="L243" t="s">
        <v>209</v>
      </c>
      <c r="M243" t="s">
        <v>225</v>
      </c>
    </row>
    <row r="244" spans="1:13" ht="15" customHeight="1" x14ac:dyDescent="0.25">
      <c r="A244" t="s">
        <v>123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0</v>
      </c>
      <c r="J244" t="s">
        <v>200</v>
      </c>
      <c r="K244" t="s">
        <v>204</v>
      </c>
      <c r="L244" t="s">
        <v>209</v>
      </c>
      <c r="M244" t="s">
        <v>225</v>
      </c>
    </row>
    <row r="245" spans="1:13" ht="15" customHeight="1" x14ac:dyDescent="0.2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200</v>
      </c>
      <c r="K245" t="s">
        <v>239</v>
      </c>
      <c r="L245" t="s">
        <v>209</v>
      </c>
      <c r="M245" t="s">
        <v>225</v>
      </c>
    </row>
    <row r="246" spans="1:13" ht="15" customHeight="1" x14ac:dyDescent="0.2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 t="s">
        <v>200</v>
      </c>
      <c r="K246" t="s">
        <v>241</v>
      </c>
      <c r="L246" t="s">
        <v>209</v>
      </c>
      <c r="M246" t="s">
        <v>225</v>
      </c>
    </row>
    <row r="247" spans="1:13" ht="15" customHeight="1" x14ac:dyDescent="0.25">
      <c r="A247" t="s">
        <v>124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1</v>
      </c>
      <c r="J247" t="s">
        <v>200</v>
      </c>
      <c r="K247" t="s">
        <v>206</v>
      </c>
      <c r="L247" t="s">
        <v>209</v>
      </c>
      <c r="M247" t="s">
        <v>225</v>
      </c>
    </row>
    <row r="248" spans="1:13" ht="15" customHeight="1" x14ac:dyDescent="0.25">
      <c r="A248" t="s">
        <v>291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200</v>
      </c>
      <c r="K248" t="s">
        <v>207</v>
      </c>
      <c r="L248" t="s">
        <v>209</v>
      </c>
      <c r="M248" t="s">
        <v>225</v>
      </c>
    </row>
    <row r="249" spans="1:13" ht="15" customHeight="1" x14ac:dyDescent="0.25">
      <c r="A249" t="s">
        <v>390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200</v>
      </c>
      <c r="K249" t="s">
        <v>233</v>
      </c>
      <c r="L249" t="s">
        <v>209</v>
      </c>
      <c r="M249" t="s">
        <v>225</v>
      </c>
    </row>
    <row r="250" spans="1:13" ht="15" customHeight="1" x14ac:dyDescent="0.25">
      <c r="A250" t="s">
        <v>125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 t="s">
        <v>200</v>
      </c>
      <c r="K250" t="s">
        <v>202</v>
      </c>
      <c r="L250" t="s">
        <v>210</v>
      </c>
      <c r="M250" t="s">
        <v>225</v>
      </c>
    </row>
    <row r="251" spans="1:13" ht="15" customHeight="1" x14ac:dyDescent="0.25">
      <c r="A251" t="s">
        <v>126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200</v>
      </c>
      <c r="K251" t="s">
        <v>203</v>
      </c>
      <c r="L251" t="s">
        <v>210</v>
      </c>
      <c r="M251" t="s">
        <v>225</v>
      </c>
    </row>
    <row r="252" spans="1:13" ht="15" customHeight="1" x14ac:dyDescent="0.25">
      <c r="A252" t="s">
        <v>127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200</v>
      </c>
      <c r="K252" t="s">
        <v>204</v>
      </c>
      <c r="L252" t="s">
        <v>210</v>
      </c>
      <c r="M252" t="s">
        <v>225</v>
      </c>
    </row>
    <row r="253" spans="1:13" ht="15" customHeight="1" x14ac:dyDescent="0.25">
      <c r="A253" t="s">
        <v>391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200</v>
      </c>
      <c r="K253" t="s">
        <v>239</v>
      </c>
      <c r="L253" t="s">
        <v>210</v>
      </c>
      <c r="M253" t="s">
        <v>225</v>
      </c>
    </row>
    <row r="254" spans="1:13" ht="15" customHeight="1" x14ac:dyDescent="0.25">
      <c r="A254" t="s">
        <v>392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200</v>
      </c>
      <c r="K254" t="s">
        <v>241</v>
      </c>
      <c r="L254" t="s">
        <v>210</v>
      </c>
      <c r="M254" t="s">
        <v>225</v>
      </c>
    </row>
    <row r="255" spans="1:13" ht="15" customHeight="1" x14ac:dyDescent="0.25">
      <c r="A255" t="s">
        <v>128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200</v>
      </c>
      <c r="K255" t="s">
        <v>206</v>
      </c>
      <c r="L255" t="s">
        <v>210</v>
      </c>
      <c r="M255" t="s">
        <v>225</v>
      </c>
    </row>
    <row r="256" spans="1:13" ht="15" customHeight="1" x14ac:dyDescent="0.25">
      <c r="A256" t="s">
        <v>292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200</v>
      </c>
      <c r="K256" t="s">
        <v>207</v>
      </c>
      <c r="L256" t="s">
        <v>210</v>
      </c>
      <c r="M256" t="s">
        <v>225</v>
      </c>
    </row>
    <row r="257" spans="1:13" ht="15" customHeight="1" x14ac:dyDescent="0.25">
      <c r="A257" t="s">
        <v>393</v>
      </c>
      <c r="B257">
        <v>1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200</v>
      </c>
      <c r="K257" t="s">
        <v>233</v>
      </c>
      <c r="L257" t="s">
        <v>210</v>
      </c>
      <c r="M257" t="s">
        <v>225</v>
      </c>
    </row>
    <row r="258" spans="1:13" ht="15" customHeight="1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200</v>
      </c>
      <c r="K258" t="s">
        <v>202</v>
      </c>
      <c r="L258" t="s">
        <v>211</v>
      </c>
      <c r="M258" t="s">
        <v>225</v>
      </c>
    </row>
    <row r="259" spans="1:13" ht="15" customHeight="1" x14ac:dyDescent="0.25">
      <c r="A259" t="s">
        <v>130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 t="s">
        <v>200</v>
      </c>
      <c r="K259" t="s">
        <v>203</v>
      </c>
      <c r="L259" t="s">
        <v>211</v>
      </c>
      <c r="M259" t="s">
        <v>225</v>
      </c>
    </row>
    <row r="260" spans="1:13" ht="15" customHeight="1" x14ac:dyDescent="0.25">
      <c r="A260" t="s">
        <v>131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200</v>
      </c>
      <c r="K260" t="s">
        <v>204</v>
      </c>
      <c r="L260" t="s">
        <v>211</v>
      </c>
      <c r="M260" t="s">
        <v>225</v>
      </c>
    </row>
    <row r="261" spans="1:13" ht="15" customHeight="1" x14ac:dyDescent="0.25">
      <c r="A261" t="s">
        <v>394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200</v>
      </c>
      <c r="K261" t="s">
        <v>239</v>
      </c>
      <c r="L261" t="s">
        <v>211</v>
      </c>
      <c r="M261" t="s">
        <v>225</v>
      </c>
    </row>
    <row r="262" spans="1:13" ht="15" customHeight="1" x14ac:dyDescent="0.25">
      <c r="A262" t="s">
        <v>395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200</v>
      </c>
      <c r="K262" t="s">
        <v>241</v>
      </c>
      <c r="L262" t="s">
        <v>211</v>
      </c>
      <c r="M262" t="s">
        <v>225</v>
      </c>
    </row>
    <row r="263" spans="1:13" ht="15" customHeight="1" x14ac:dyDescent="0.25">
      <c r="A263" t="s">
        <v>132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 t="s">
        <v>200</v>
      </c>
      <c r="K263" t="s">
        <v>206</v>
      </c>
      <c r="L263" t="s">
        <v>211</v>
      </c>
      <c r="M263" t="s">
        <v>225</v>
      </c>
    </row>
    <row r="264" spans="1:13" ht="15" customHeight="1" x14ac:dyDescent="0.25">
      <c r="A264" t="s">
        <v>293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200</v>
      </c>
      <c r="K264" t="s">
        <v>207</v>
      </c>
      <c r="L264" t="s">
        <v>211</v>
      </c>
      <c r="M264" t="s">
        <v>225</v>
      </c>
    </row>
    <row r="265" spans="1:13" ht="15" customHeight="1" x14ac:dyDescent="0.25">
      <c r="A265" t="s">
        <v>396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200</v>
      </c>
      <c r="K265" t="s">
        <v>233</v>
      </c>
      <c r="L265" t="s">
        <v>211</v>
      </c>
      <c r="M265" t="s">
        <v>225</v>
      </c>
    </row>
    <row r="266" spans="1:13" ht="15" customHeight="1" x14ac:dyDescent="0.25">
      <c r="A266" t="s">
        <v>133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200</v>
      </c>
      <c r="K266" t="s">
        <v>202</v>
      </c>
      <c r="L266" t="s">
        <v>212</v>
      </c>
      <c r="M266" t="s">
        <v>225</v>
      </c>
    </row>
    <row r="267" spans="1:13" ht="15" customHeight="1" x14ac:dyDescent="0.25">
      <c r="A267" t="s">
        <v>134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200</v>
      </c>
      <c r="K267" t="s">
        <v>203</v>
      </c>
      <c r="L267" t="s">
        <v>212</v>
      </c>
      <c r="M267" t="s">
        <v>225</v>
      </c>
    </row>
    <row r="268" spans="1:13" ht="15" customHeight="1" x14ac:dyDescent="0.25">
      <c r="A268" t="s">
        <v>135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200</v>
      </c>
      <c r="K268" t="s">
        <v>204</v>
      </c>
      <c r="L268" t="s">
        <v>212</v>
      </c>
      <c r="M268" t="s">
        <v>225</v>
      </c>
    </row>
    <row r="269" spans="1:13" ht="15" customHeight="1" x14ac:dyDescent="0.25">
      <c r="A269" t="s">
        <v>397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200</v>
      </c>
      <c r="K269" t="s">
        <v>239</v>
      </c>
      <c r="L269" t="s">
        <v>212</v>
      </c>
      <c r="M269" t="s">
        <v>225</v>
      </c>
    </row>
    <row r="270" spans="1:13" ht="15" customHeight="1" x14ac:dyDescent="0.25">
      <c r="A270" t="s">
        <v>398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 t="s">
        <v>200</v>
      </c>
      <c r="K270" t="s">
        <v>241</v>
      </c>
      <c r="L270" t="s">
        <v>212</v>
      </c>
      <c r="M270" t="s">
        <v>225</v>
      </c>
    </row>
    <row r="271" spans="1:13" ht="15" customHeight="1" x14ac:dyDescent="0.25">
      <c r="A271" t="s">
        <v>136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0</v>
      </c>
      <c r="I275">
        <v>0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1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0</v>
      </c>
      <c r="I284">
        <v>0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1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1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0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1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0</v>
      </c>
      <c r="C318">
        <v>0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1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B330">
        <v>1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0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1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1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1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0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1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1</v>
      </c>
      <c r="I406">
        <v>1</v>
      </c>
      <c r="J406" t="s">
        <v>200</v>
      </c>
      <c r="K406" t="s">
        <v>226</v>
      </c>
      <c r="L406" t="s">
        <v>223</v>
      </c>
      <c r="M406" t="s">
        <v>225</v>
      </c>
    </row>
  </sheetData>
  <autoFilter ref="A1:M361" xr:uid="{00000000-0009-0000-0000-000004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C36F-5399-4D6B-A0F7-02428806999A}">
  <dimension ref="A1:C19"/>
  <sheetViews>
    <sheetView workbookViewId="0">
      <selection activeCell="B20" sqref="B20"/>
    </sheetView>
  </sheetViews>
  <sheetFormatPr defaultRowHeight="15" x14ac:dyDescent="0.25"/>
  <cols>
    <col min="2" max="2" width="23.42578125" customWidth="1"/>
  </cols>
  <sheetData>
    <row r="1" spans="1:3" x14ac:dyDescent="0.25">
      <c r="A1" t="s">
        <v>229</v>
      </c>
      <c r="B1" t="s">
        <v>230</v>
      </c>
    </row>
    <row r="2" spans="1:3" x14ac:dyDescent="0.25">
      <c r="A2" t="s">
        <v>203</v>
      </c>
      <c r="B2" t="s">
        <v>446</v>
      </c>
      <c r="C2" t="s">
        <v>231</v>
      </c>
    </row>
    <row r="3" spans="1:3" x14ac:dyDescent="0.25">
      <c r="A3" t="s">
        <v>202</v>
      </c>
      <c r="B3" t="s">
        <v>447</v>
      </c>
      <c r="C3" t="s">
        <v>232</v>
      </c>
    </row>
    <row r="4" spans="1:3" x14ac:dyDescent="0.25">
      <c r="A4" t="s">
        <v>233</v>
      </c>
      <c r="B4" t="s">
        <v>438</v>
      </c>
      <c r="C4" t="s">
        <v>234</v>
      </c>
    </row>
    <row r="5" spans="1:3" x14ac:dyDescent="0.25">
      <c r="A5" t="s">
        <v>204</v>
      </c>
      <c r="B5" t="s">
        <v>448</v>
      </c>
      <c r="C5" t="s">
        <v>235</v>
      </c>
    </row>
    <row r="6" spans="1:3" x14ac:dyDescent="0.25">
      <c r="A6" t="s">
        <v>205</v>
      </c>
      <c r="B6" t="s">
        <v>236</v>
      </c>
      <c r="C6" t="s">
        <v>236</v>
      </c>
    </row>
    <row r="7" spans="1:3" x14ac:dyDescent="0.25">
      <c r="A7" t="s">
        <v>237</v>
      </c>
      <c r="B7" t="s">
        <v>238</v>
      </c>
      <c r="C7" t="s">
        <v>238</v>
      </c>
    </row>
    <row r="8" spans="1:3" x14ac:dyDescent="0.25">
      <c r="A8" t="s">
        <v>239</v>
      </c>
      <c r="B8" t="s">
        <v>439</v>
      </c>
      <c r="C8" t="s">
        <v>240</v>
      </c>
    </row>
    <row r="9" spans="1:3" x14ac:dyDescent="0.25">
      <c r="A9" t="s">
        <v>241</v>
      </c>
      <c r="B9" t="s">
        <v>440</v>
      </c>
      <c r="C9" t="s">
        <v>242</v>
      </c>
    </row>
    <row r="10" spans="1:3" x14ac:dyDescent="0.25">
      <c r="A10" t="s">
        <v>206</v>
      </c>
      <c r="B10" t="s">
        <v>441</v>
      </c>
      <c r="C10" t="s">
        <v>243</v>
      </c>
    </row>
    <row r="11" spans="1:3" x14ac:dyDescent="0.25">
      <c r="A11" t="s">
        <v>207</v>
      </c>
      <c r="B11" t="s">
        <v>442</v>
      </c>
      <c r="C11" t="s">
        <v>244</v>
      </c>
    </row>
    <row r="12" spans="1:3" x14ac:dyDescent="0.25">
      <c r="A12" t="s">
        <v>245</v>
      </c>
      <c r="B12" t="s">
        <v>246</v>
      </c>
      <c r="C12" t="s">
        <v>246</v>
      </c>
    </row>
    <row r="13" spans="1:3" x14ac:dyDescent="0.25">
      <c r="A13" t="s">
        <v>247</v>
      </c>
      <c r="B13" t="s">
        <v>248</v>
      </c>
      <c r="C13" t="s">
        <v>248</v>
      </c>
    </row>
    <row r="14" spans="1:3" x14ac:dyDescent="0.25">
      <c r="A14" t="s">
        <v>249</v>
      </c>
      <c r="B14" t="s">
        <v>250</v>
      </c>
      <c r="C14" t="s">
        <v>250</v>
      </c>
    </row>
    <row r="15" spans="1:3" x14ac:dyDescent="0.25">
      <c r="A15" t="s">
        <v>251</v>
      </c>
      <c r="B15" t="s">
        <v>252</v>
      </c>
      <c r="C15" t="s">
        <v>252</v>
      </c>
    </row>
    <row r="16" spans="1:3" x14ac:dyDescent="0.25">
      <c r="A16" t="s">
        <v>253</v>
      </c>
      <c r="B16" t="s">
        <v>254</v>
      </c>
      <c r="C16" t="s">
        <v>254</v>
      </c>
    </row>
    <row r="17" spans="1:3" x14ac:dyDescent="0.25">
      <c r="A17" t="s">
        <v>255</v>
      </c>
      <c r="B17" t="s">
        <v>256</v>
      </c>
      <c r="C17" t="s">
        <v>256</v>
      </c>
    </row>
    <row r="18" spans="1:3" x14ac:dyDescent="0.25">
      <c r="A18" t="s">
        <v>257</v>
      </c>
      <c r="B18" t="s">
        <v>258</v>
      </c>
      <c r="C18" t="s">
        <v>258</v>
      </c>
    </row>
    <row r="19" spans="1:3" x14ac:dyDescent="0.25">
      <c r="A19" t="s">
        <v>226</v>
      </c>
      <c r="B19" t="s">
        <v>454</v>
      </c>
      <c r="C19" t="s">
        <v>259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8311-2FBC-4544-A299-41BBEB167658}">
  <dimension ref="A1:N406"/>
  <sheetViews>
    <sheetView topLeftCell="A150" workbookViewId="0">
      <selection activeCell="I163" sqref="I163"/>
    </sheetView>
  </sheetViews>
  <sheetFormatPr defaultRowHeight="15" x14ac:dyDescent="0.25"/>
  <cols>
    <col min="1" max="1" width="22.140625" bestFit="1" customWidth="1"/>
    <col min="2" max="9" width="4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4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  <c r="N1" t="s">
        <v>260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198</v>
      </c>
      <c r="K2" t="s">
        <v>202</v>
      </c>
      <c r="L2" t="s">
        <v>209</v>
      </c>
      <c r="M2" t="s">
        <v>225</v>
      </c>
      <c r="N2" t="str">
        <f t="shared" ref="N2:N65" si="0">VLOOKUP(K2,modelNames,2,FALSE)</f>
        <v>ZS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198</v>
      </c>
      <c r="K3" t="s">
        <v>203</v>
      </c>
      <c r="L3" t="s">
        <v>209</v>
      </c>
      <c r="M3" t="s">
        <v>225</v>
      </c>
      <c r="N3" t="str">
        <f t="shared" si="0"/>
        <v>ZS\&amp;POOL</v>
      </c>
    </row>
    <row r="4" spans="1:14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198</v>
      </c>
      <c r="K4" t="s">
        <v>204</v>
      </c>
      <c r="L4" t="s">
        <v>209</v>
      </c>
      <c r="M4" t="s">
        <v>225</v>
      </c>
      <c r="N4" t="str">
        <f t="shared" si="0"/>
        <v>ZSGL</v>
      </c>
    </row>
    <row r="5" spans="1:14" x14ac:dyDescent="0.25">
      <c r="A5" t="s">
        <v>298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198</v>
      </c>
      <c r="K5" t="s">
        <v>239</v>
      </c>
      <c r="L5" t="s">
        <v>209</v>
      </c>
      <c r="M5" t="s">
        <v>225</v>
      </c>
      <c r="N5" t="str">
        <f t="shared" si="0"/>
        <v>BFCS</v>
      </c>
    </row>
    <row r="6" spans="1:14" x14ac:dyDescent="0.25">
      <c r="A6" t="s">
        <v>299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 t="s">
        <v>198</v>
      </c>
      <c r="K6" t="s">
        <v>241</v>
      </c>
      <c r="L6" t="s">
        <v>209</v>
      </c>
      <c r="M6" t="s">
        <v>225</v>
      </c>
      <c r="N6" t="str">
        <f t="shared" si="0"/>
        <v>SSSS</v>
      </c>
    </row>
    <row r="7" spans="1:14" x14ac:dyDescent="0.25">
      <c r="A7" t="s">
        <v>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198</v>
      </c>
      <c r="K7" t="s">
        <v>206</v>
      </c>
      <c r="L7" t="s">
        <v>209</v>
      </c>
      <c r="M7" t="s">
        <v>225</v>
      </c>
      <c r="N7" t="str">
        <f t="shared" si="0"/>
        <v>BMS</v>
      </c>
    </row>
    <row r="8" spans="1:14" x14ac:dyDescent="0.25">
      <c r="A8" t="s">
        <v>261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198</v>
      </c>
      <c r="K8" t="s">
        <v>207</v>
      </c>
      <c r="L8" t="s">
        <v>209</v>
      </c>
      <c r="M8" t="s">
        <v>225</v>
      </c>
      <c r="N8" t="str">
        <f t="shared" si="0"/>
        <v>CC</v>
      </c>
    </row>
    <row r="9" spans="1:14" x14ac:dyDescent="0.25">
      <c r="A9" t="s">
        <v>300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198</v>
      </c>
      <c r="K9" t="s">
        <v>233</v>
      </c>
      <c r="L9" t="s">
        <v>209</v>
      </c>
      <c r="M9" t="s">
        <v>225</v>
      </c>
      <c r="N9" t="str">
        <f t="shared" si="0"/>
        <v>POOL</v>
      </c>
    </row>
    <row r="10" spans="1:14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198</v>
      </c>
      <c r="K10" t="s">
        <v>202</v>
      </c>
      <c r="L10" t="s">
        <v>210</v>
      </c>
      <c r="M10" t="s">
        <v>225</v>
      </c>
      <c r="N10" t="str">
        <f t="shared" si="0"/>
        <v>ZS</v>
      </c>
    </row>
    <row r="11" spans="1:14" x14ac:dyDescent="0.25">
      <c r="A11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 t="s">
        <v>198</v>
      </c>
      <c r="K11" t="s">
        <v>203</v>
      </c>
      <c r="L11" t="s">
        <v>210</v>
      </c>
      <c r="M11" t="s">
        <v>225</v>
      </c>
      <c r="N11" t="str">
        <f t="shared" si="0"/>
        <v>ZS\&amp;POOL</v>
      </c>
    </row>
    <row r="12" spans="1:14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198</v>
      </c>
      <c r="K12" t="s">
        <v>204</v>
      </c>
      <c r="L12" t="s">
        <v>210</v>
      </c>
      <c r="M12" t="s">
        <v>225</v>
      </c>
      <c r="N12" t="str">
        <f t="shared" si="0"/>
        <v>ZSGL</v>
      </c>
    </row>
    <row r="13" spans="1:14" x14ac:dyDescent="0.25">
      <c r="A13" t="s">
        <v>301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198</v>
      </c>
      <c r="K13" t="s">
        <v>239</v>
      </c>
      <c r="L13" t="s">
        <v>210</v>
      </c>
      <c r="M13" t="s">
        <v>225</v>
      </c>
      <c r="N13" t="str">
        <f t="shared" si="0"/>
        <v>BFCS</v>
      </c>
    </row>
    <row r="14" spans="1:14" x14ac:dyDescent="0.25">
      <c r="A14" t="s">
        <v>302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198</v>
      </c>
      <c r="K14" t="s">
        <v>241</v>
      </c>
      <c r="L14" t="s">
        <v>210</v>
      </c>
      <c r="M14" t="s">
        <v>225</v>
      </c>
      <c r="N14" t="str">
        <f t="shared" si="0"/>
        <v>SSSS</v>
      </c>
    </row>
    <row r="15" spans="1:14" x14ac:dyDescent="0.25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198</v>
      </c>
      <c r="K15" t="s">
        <v>206</v>
      </c>
      <c r="L15" t="s">
        <v>210</v>
      </c>
      <c r="M15" t="s">
        <v>225</v>
      </c>
      <c r="N15" t="str">
        <f t="shared" si="0"/>
        <v>BMS</v>
      </c>
    </row>
    <row r="16" spans="1:14" x14ac:dyDescent="0.25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198</v>
      </c>
      <c r="K16" t="s">
        <v>207</v>
      </c>
      <c r="L16" t="s">
        <v>210</v>
      </c>
      <c r="M16" t="s">
        <v>225</v>
      </c>
      <c r="N16" t="str">
        <f t="shared" si="0"/>
        <v>CC</v>
      </c>
    </row>
    <row r="17" spans="1:14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198</v>
      </c>
      <c r="K17" t="s">
        <v>233</v>
      </c>
      <c r="L17" t="s">
        <v>210</v>
      </c>
      <c r="M17" t="s">
        <v>225</v>
      </c>
      <c r="N17" t="str">
        <f t="shared" si="0"/>
        <v>POOL</v>
      </c>
    </row>
    <row r="18" spans="1:14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198</v>
      </c>
      <c r="K18" t="s">
        <v>202</v>
      </c>
      <c r="L18" t="s">
        <v>211</v>
      </c>
      <c r="M18" t="s">
        <v>225</v>
      </c>
      <c r="N18" t="str">
        <f t="shared" si="0"/>
        <v>ZS</v>
      </c>
    </row>
    <row r="19" spans="1:14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198</v>
      </c>
      <c r="K19" t="s">
        <v>203</v>
      </c>
      <c r="L19" t="s">
        <v>211</v>
      </c>
      <c r="M19" t="s">
        <v>225</v>
      </c>
      <c r="N19" t="str">
        <f t="shared" si="0"/>
        <v>ZS\&amp;POOL</v>
      </c>
    </row>
    <row r="20" spans="1:14" x14ac:dyDescent="0.25">
      <c r="A20" t="s">
        <v>11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 t="s">
        <v>198</v>
      </c>
      <c r="K20" t="s">
        <v>204</v>
      </c>
      <c r="L20" t="s">
        <v>211</v>
      </c>
      <c r="M20" t="s">
        <v>225</v>
      </c>
      <c r="N20" t="str">
        <f t="shared" si="0"/>
        <v>ZSGL</v>
      </c>
    </row>
    <row r="21" spans="1:14" x14ac:dyDescent="0.25">
      <c r="A21" t="s">
        <v>304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198</v>
      </c>
      <c r="K21" t="s">
        <v>239</v>
      </c>
      <c r="L21" t="s">
        <v>211</v>
      </c>
      <c r="M21" t="s">
        <v>225</v>
      </c>
      <c r="N21" t="str">
        <f t="shared" si="0"/>
        <v>BFCS</v>
      </c>
    </row>
    <row r="22" spans="1:14" x14ac:dyDescent="0.25">
      <c r="A22" t="s">
        <v>305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198</v>
      </c>
      <c r="K22" t="s">
        <v>241</v>
      </c>
      <c r="L22" t="s">
        <v>211</v>
      </c>
      <c r="M22" t="s">
        <v>225</v>
      </c>
      <c r="N22" t="str">
        <f t="shared" si="0"/>
        <v>SSSS</v>
      </c>
    </row>
    <row r="23" spans="1:14" x14ac:dyDescent="0.25">
      <c r="A23" t="s">
        <v>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198</v>
      </c>
      <c r="K23" t="s">
        <v>206</v>
      </c>
      <c r="L23" t="s">
        <v>211</v>
      </c>
      <c r="M23" t="s">
        <v>225</v>
      </c>
      <c r="N23" t="str">
        <f t="shared" si="0"/>
        <v>BMS</v>
      </c>
    </row>
    <row r="24" spans="1:14" x14ac:dyDescent="0.25">
      <c r="A24" t="s">
        <v>263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198</v>
      </c>
      <c r="K24" t="s">
        <v>207</v>
      </c>
      <c r="L24" t="s">
        <v>211</v>
      </c>
      <c r="M24" t="s">
        <v>225</v>
      </c>
      <c r="N24" t="str">
        <f t="shared" si="0"/>
        <v>CC</v>
      </c>
    </row>
    <row r="25" spans="1:14" x14ac:dyDescent="0.25">
      <c r="A25" t="s">
        <v>306</v>
      </c>
      <c r="B25">
        <v>1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 t="s">
        <v>198</v>
      </c>
      <c r="K25" t="s">
        <v>233</v>
      </c>
      <c r="L25" t="s">
        <v>211</v>
      </c>
      <c r="M25" t="s">
        <v>225</v>
      </c>
      <c r="N25" t="str">
        <f t="shared" si="0"/>
        <v>POOL</v>
      </c>
    </row>
    <row r="26" spans="1:14" x14ac:dyDescent="0.25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198</v>
      </c>
      <c r="K26" t="s">
        <v>202</v>
      </c>
      <c r="L26" t="s">
        <v>212</v>
      </c>
      <c r="M26" t="s">
        <v>225</v>
      </c>
      <c r="N26" t="str">
        <f t="shared" si="0"/>
        <v>ZS</v>
      </c>
    </row>
    <row r="27" spans="1:14" x14ac:dyDescent="0.25">
      <c r="A27" t="s">
        <v>14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198</v>
      </c>
      <c r="K27" t="s">
        <v>203</v>
      </c>
      <c r="L27" t="s">
        <v>212</v>
      </c>
      <c r="M27" t="s">
        <v>225</v>
      </c>
      <c r="N27" t="str">
        <f t="shared" si="0"/>
        <v>ZS\&amp;POOL</v>
      </c>
    </row>
    <row r="28" spans="1:14" x14ac:dyDescent="0.2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198</v>
      </c>
      <c r="K28" t="s">
        <v>204</v>
      </c>
      <c r="L28" t="s">
        <v>212</v>
      </c>
      <c r="M28" t="s">
        <v>225</v>
      </c>
      <c r="N28" t="str">
        <f t="shared" si="0"/>
        <v>ZSGL</v>
      </c>
    </row>
    <row r="29" spans="1:14" x14ac:dyDescent="0.25">
      <c r="A29" t="s">
        <v>307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198</v>
      </c>
      <c r="K29" t="s">
        <v>239</v>
      </c>
      <c r="L29" t="s">
        <v>212</v>
      </c>
      <c r="M29" t="s">
        <v>225</v>
      </c>
      <c r="N29" t="str">
        <f t="shared" si="0"/>
        <v>BFCS</v>
      </c>
    </row>
    <row r="30" spans="1:14" x14ac:dyDescent="0.25">
      <c r="A30" t="s">
        <v>308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198</v>
      </c>
      <c r="K30" t="s">
        <v>241</v>
      </c>
      <c r="L30" t="s">
        <v>212</v>
      </c>
      <c r="M30" t="s">
        <v>225</v>
      </c>
      <c r="N30" t="str">
        <f t="shared" si="0"/>
        <v>SSSS</v>
      </c>
    </row>
    <row r="31" spans="1:14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198</v>
      </c>
      <c r="K31" t="s">
        <v>206</v>
      </c>
      <c r="L31" t="s">
        <v>212</v>
      </c>
      <c r="M31" t="s">
        <v>225</v>
      </c>
      <c r="N31" t="str">
        <f t="shared" si="0"/>
        <v>BMS</v>
      </c>
    </row>
    <row r="32" spans="1:14" x14ac:dyDescent="0.25">
      <c r="A32" t="s">
        <v>264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198</v>
      </c>
      <c r="K32" t="s">
        <v>207</v>
      </c>
      <c r="L32" t="s">
        <v>212</v>
      </c>
      <c r="M32" t="s">
        <v>225</v>
      </c>
      <c r="N32" t="str">
        <f t="shared" si="0"/>
        <v>CC</v>
      </c>
    </row>
    <row r="33" spans="1:14" x14ac:dyDescent="0.25">
      <c r="A33" t="s">
        <v>309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198</v>
      </c>
      <c r="K33" t="s">
        <v>233</v>
      </c>
      <c r="L33" t="s">
        <v>212</v>
      </c>
      <c r="M33" t="s">
        <v>225</v>
      </c>
      <c r="N33" t="str">
        <f t="shared" si="0"/>
        <v>POOL</v>
      </c>
    </row>
    <row r="34" spans="1:14" x14ac:dyDescent="0.25">
      <c r="A34" t="s">
        <v>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198</v>
      </c>
      <c r="K34" t="s">
        <v>202</v>
      </c>
      <c r="L34" t="s">
        <v>213</v>
      </c>
      <c r="M34" t="s">
        <v>225</v>
      </c>
      <c r="N34" t="str">
        <f t="shared" si="0"/>
        <v>ZS</v>
      </c>
    </row>
    <row r="35" spans="1:14" x14ac:dyDescent="0.25">
      <c r="A35" t="s">
        <v>18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 t="s">
        <v>198</v>
      </c>
      <c r="K35" t="s">
        <v>203</v>
      </c>
      <c r="L35" t="s">
        <v>213</v>
      </c>
      <c r="M35" t="s">
        <v>225</v>
      </c>
      <c r="N35" t="str">
        <f t="shared" si="0"/>
        <v>ZS\&amp;POOL</v>
      </c>
    </row>
    <row r="36" spans="1:14" x14ac:dyDescent="0.25">
      <c r="A36" t="s">
        <v>19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 t="s">
        <v>198</v>
      </c>
      <c r="K36" t="s">
        <v>204</v>
      </c>
      <c r="L36" t="s">
        <v>213</v>
      </c>
      <c r="M36" t="s">
        <v>225</v>
      </c>
      <c r="N36" t="str">
        <f t="shared" si="0"/>
        <v>ZSGL</v>
      </c>
    </row>
    <row r="37" spans="1:14" x14ac:dyDescent="0.25">
      <c r="A37" t="s">
        <v>310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198</v>
      </c>
      <c r="K37" t="s">
        <v>239</v>
      </c>
      <c r="L37" t="s">
        <v>213</v>
      </c>
      <c r="M37" t="s">
        <v>225</v>
      </c>
      <c r="N37" t="str">
        <f t="shared" si="0"/>
        <v>BFCS</v>
      </c>
    </row>
    <row r="38" spans="1:14" x14ac:dyDescent="0.25">
      <c r="A38" t="s">
        <v>311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198</v>
      </c>
      <c r="K38" t="s">
        <v>241</v>
      </c>
      <c r="L38" t="s">
        <v>213</v>
      </c>
      <c r="M38" t="s">
        <v>225</v>
      </c>
      <c r="N38" t="str">
        <f t="shared" si="0"/>
        <v>SSSS</v>
      </c>
    </row>
    <row r="39" spans="1:14" x14ac:dyDescent="0.25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198</v>
      </c>
      <c r="K39" t="s">
        <v>206</v>
      </c>
      <c r="L39" t="s">
        <v>213</v>
      </c>
      <c r="M39" t="s">
        <v>225</v>
      </c>
      <c r="N39" t="str">
        <f t="shared" si="0"/>
        <v>BMS</v>
      </c>
    </row>
    <row r="40" spans="1:14" x14ac:dyDescent="0.25">
      <c r="A40" t="s">
        <v>265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198</v>
      </c>
      <c r="K40" t="s">
        <v>207</v>
      </c>
      <c r="L40" t="s">
        <v>213</v>
      </c>
      <c r="M40" t="s">
        <v>225</v>
      </c>
      <c r="N40" t="str">
        <f t="shared" si="0"/>
        <v>CC</v>
      </c>
    </row>
    <row r="41" spans="1:14" x14ac:dyDescent="0.25">
      <c r="A41" t="s">
        <v>312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198</v>
      </c>
      <c r="K41" t="s">
        <v>233</v>
      </c>
      <c r="L41" t="s">
        <v>213</v>
      </c>
      <c r="M41" t="s">
        <v>225</v>
      </c>
      <c r="N41" t="str">
        <f t="shared" si="0"/>
        <v>POOL</v>
      </c>
    </row>
    <row r="42" spans="1:14" x14ac:dyDescent="0.25">
      <c r="A42" t="s">
        <v>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198</v>
      </c>
      <c r="K42" t="s">
        <v>202</v>
      </c>
      <c r="L42" t="s">
        <v>214</v>
      </c>
      <c r="M42" t="s">
        <v>225</v>
      </c>
      <c r="N42" t="str">
        <f t="shared" si="0"/>
        <v>ZS</v>
      </c>
    </row>
    <row r="43" spans="1:14" x14ac:dyDescent="0.25">
      <c r="A43" t="s">
        <v>22</v>
      </c>
      <c r="B43">
        <v>1</v>
      </c>
      <c r="C43">
        <v>0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 t="s">
        <v>198</v>
      </c>
      <c r="K43" t="s">
        <v>203</v>
      </c>
      <c r="L43" t="s">
        <v>214</v>
      </c>
      <c r="M43" t="s">
        <v>225</v>
      </c>
      <c r="N43" t="str">
        <f t="shared" si="0"/>
        <v>ZS\&amp;POOL</v>
      </c>
    </row>
    <row r="44" spans="1:14" x14ac:dyDescent="0.25">
      <c r="A44" t="s">
        <v>23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198</v>
      </c>
      <c r="K44" t="s">
        <v>204</v>
      </c>
      <c r="L44" t="s">
        <v>214</v>
      </c>
      <c r="M44" t="s">
        <v>225</v>
      </c>
      <c r="N44" t="str">
        <f t="shared" si="0"/>
        <v>ZSGL</v>
      </c>
    </row>
    <row r="45" spans="1:14" x14ac:dyDescent="0.25">
      <c r="A45" t="s">
        <v>313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198</v>
      </c>
      <c r="K45" t="s">
        <v>239</v>
      </c>
      <c r="L45" t="s">
        <v>214</v>
      </c>
      <c r="M45" t="s">
        <v>225</v>
      </c>
      <c r="N45" t="str">
        <f t="shared" si="0"/>
        <v>BFCS</v>
      </c>
    </row>
    <row r="46" spans="1:14" x14ac:dyDescent="0.25">
      <c r="A46" t="s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198</v>
      </c>
      <c r="K46" t="s">
        <v>241</v>
      </c>
      <c r="L46" t="s">
        <v>214</v>
      </c>
      <c r="M46" t="s">
        <v>225</v>
      </c>
      <c r="N46" t="str">
        <f t="shared" si="0"/>
        <v>SSSS</v>
      </c>
    </row>
    <row r="47" spans="1:14" x14ac:dyDescent="0.25">
      <c r="A47" t="s">
        <v>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198</v>
      </c>
      <c r="K47" t="s">
        <v>206</v>
      </c>
      <c r="L47" t="s">
        <v>214</v>
      </c>
      <c r="M47" t="s">
        <v>225</v>
      </c>
      <c r="N47" t="str">
        <f t="shared" si="0"/>
        <v>BMS</v>
      </c>
    </row>
    <row r="48" spans="1:14" x14ac:dyDescent="0.25">
      <c r="A48" t="s">
        <v>266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207</v>
      </c>
      <c r="L48" t="s">
        <v>214</v>
      </c>
      <c r="M48" t="s">
        <v>225</v>
      </c>
      <c r="N48" t="str">
        <f t="shared" si="0"/>
        <v>CC</v>
      </c>
    </row>
    <row r="49" spans="1:14" x14ac:dyDescent="0.25">
      <c r="A49" t="s">
        <v>315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198</v>
      </c>
      <c r="K49" t="s">
        <v>233</v>
      </c>
      <c r="L49" t="s">
        <v>214</v>
      </c>
      <c r="M49" t="s">
        <v>225</v>
      </c>
      <c r="N49" t="str">
        <f t="shared" si="0"/>
        <v>POOL</v>
      </c>
    </row>
    <row r="50" spans="1:14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198</v>
      </c>
      <c r="K50" t="s">
        <v>202</v>
      </c>
      <c r="L50" t="s">
        <v>215</v>
      </c>
      <c r="M50" t="s">
        <v>225</v>
      </c>
      <c r="N50" t="str">
        <f t="shared" si="0"/>
        <v>ZS</v>
      </c>
    </row>
    <row r="51" spans="1:14" x14ac:dyDescent="0.25">
      <c r="A51" t="s">
        <v>26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 t="s">
        <v>198</v>
      </c>
      <c r="K51" t="s">
        <v>203</v>
      </c>
      <c r="L51" t="s">
        <v>215</v>
      </c>
      <c r="M51" t="s">
        <v>225</v>
      </c>
      <c r="N51" t="str">
        <f t="shared" si="0"/>
        <v>ZS\&amp;POOL</v>
      </c>
    </row>
    <row r="52" spans="1:14" x14ac:dyDescent="0.25">
      <c r="A52" t="s">
        <v>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198</v>
      </c>
      <c r="K52" t="s">
        <v>204</v>
      </c>
      <c r="L52" t="s">
        <v>215</v>
      </c>
      <c r="M52" t="s">
        <v>225</v>
      </c>
      <c r="N52" t="str">
        <f t="shared" si="0"/>
        <v>ZSGL</v>
      </c>
    </row>
    <row r="53" spans="1:14" x14ac:dyDescent="0.25">
      <c r="A53" t="s">
        <v>316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198</v>
      </c>
      <c r="K53" t="s">
        <v>239</v>
      </c>
      <c r="L53" t="s">
        <v>215</v>
      </c>
      <c r="M53" t="s">
        <v>225</v>
      </c>
      <c r="N53" t="str">
        <f t="shared" si="0"/>
        <v>BFCS</v>
      </c>
    </row>
    <row r="54" spans="1:14" x14ac:dyDescent="0.25">
      <c r="A54" t="s">
        <v>317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198</v>
      </c>
      <c r="K54" t="s">
        <v>241</v>
      </c>
      <c r="L54" t="s">
        <v>215</v>
      </c>
      <c r="M54" t="s">
        <v>225</v>
      </c>
      <c r="N54" t="str">
        <f t="shared" si="0"/>
        <v>SSSS</v>
      </c>
    </row>
    <row r="55" spans="1:14" x14ac:dyDescent="0.25">
      <c r="A55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198</v>
      </c>
      <c r="K55" t="s">
        <v>206</v>
      </c>
      <c r="L55" t="s">
        <v>215</v>
      </c>
      <c r="M55" t="s">
        <v>225</v>
      </c>
      <c r="N55" t="str">
        <f t="shared" si="0"/>
        <v>BMS</v>
      </c>
    </row>
    <row r="56" spans="1:14" x14ac:dyDescent="0.25">
      <c r="A56" t="s">
        <v>267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198</v>
      </c>
      <c r="K56" t="s">
        <v>207</v>
      </c>
      <c r="L56" t="s">
        <v>215</v>
      </c>
      <c r="M56" t="s">
        <v>225</v>
      </c>
      <c r="N56" t="str">
        <f t="shared" si="0"/>
        <v>CC</v>
      </c>
    </row>
    <row r="57" spans="1:14" x14ac:dyDescent="0.25">
      <c r="A57" t="s">
        <v>318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198</v>
      </c>
      <c r="K57" t="s">
        <v>233</v>
      </c>
      <c r="L57" t="s">
        <v>215</v>
      </c>
      <c r="M57" t="s">
        <v>225</v>
      </c>
      <c r="N57" t="str">
        <f t="shared" si="0"/>
        <v>POOL</v>
      </c>
    </row>
    <row r="58" spans="1:14" x14ac:dyDescent="0.25">
      <c r="A58" t="s">
        <v>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198</v>
      </c>
      <c r="K58" t="s">
        <v>202</v>
      </c>
      <c r="L58" t="s">
        <v>216</v>
      </c>
      <c r="M58" t="s">
        <v>225</v>
      </c>
      <c r="N58" t="str">
        <f t="shared" si="0"/>
        <v>ZS</v>
      </c>
    </row>
    <row r="59" spans="1:14" x14ac:dyDescent="0.25">
      <c r="A59" t="s">
        <v>30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198</v>
      </c>
      <c r="K59" t="s">
        <v>203</v>
      </c>
      <c r="L59" t="s">
        <v>216</v>
      </c>
      <c r="M59" t="s">
        <v>225</v>
      </c>
      <c r="N59" t="str">
        <f t="shared" si="0"/>
        <v>ZS\&amp;POOL</v>
      </c>
    </row>
    <row r="60" spans="1:14" x14ac:dyDescent="0.25">
      <c r="A60" t="s">
        <v>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198</v>
      </c>
      <c r="K60" t="s">
        <v>204</v>
      </c>
      <c r="L60" t="s">
        <v>216</v>
      </c>
      <c r="M60" t="s">
        <v>225</v>
      </c>
      <c r="N60" t="str">
        <f t="shared" si="0"/>
        <v>ZSGL</v>
      </c>
    </row>
    <row r="61" spans="1:14" x14ac:dyDescent="0.25">
      <c r="A61" t="s">
        <v>319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198</v>
      </c>
      <c r="K61" t="s">
        <v>239</v>
      </c>
      <c r="L61" t="s">
        <v>216</v>
      </c>
      <c r="M61" t="s">
        <v>225</v>
      </c>
      <c r="N61" t="str">
        <f t="shared" si="0"/>
        <v>BFCS</v>
      </c>
    </row>
    <row r="62" spans="1:14" x14ac:dyDescent="0.25">
      <c r="A62" t="s">
        <v>320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198</v>
      </c>
      <c r="K62" t="s">
        <v>241</v>
      </c>
      <c r="L62" t="s">
        <v>216</v>
      </c>
      <c r="M62" t="s">
        <v>225</v>
      </c>
      <c r="N62" t="str">
        <f t="shared" si="0"/>
        <v>SSSS</v>
      </c>
    </row>
    <row r="63" spans="1:14" x14ac:dyDescent="0.25">
      <c r="A63" t="s">
        <v>32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198</v>
      </c>
      <c r="K63" t="s">
        <v>206</v>
      </c>
      <c r="L63" t="s">
        <v>216</v>
      </c>
      <c r="M63" t="s">
        <v>225</v>
      </c>
      <c r="N63" t="str">
        <f t="shared" si="0"/>
        <v>BMS</v>
      </c>
    </row>
    <row r="64" spans="1:14" x14ac:dyDescent="0.25">
      <c r="A64" t="s">
        <v>268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198</v>
      </c>
      <c r="K64" t="s">
        <v>207</v>
      </c>
      <c r="L64" t="s">
        <v>216</v>
      </c>
      <c r="M64" t="s">
        <v>225</v>
      </c>
      <c r="N64" t="str">
        <f t="shared" si="0"/>
        <v>CC</v>
      </c>
    </row>
    <row r="65" spans="1:14" x14ac:dyDescent="0.25">
      <c r="A65" t="s">
        <v>321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198</v>
      </c>
      <c r="K65" t="s">
        <v>233</v>
      </c>
      <c r="L65" t="s">
        <v>216</v>
      </c>
      <c r="M65" t="s">
        <v>225</v>
      </c>
      <c r="N65" t="str">
        <f t="shared" si="0"/>
        <v>POOL</v>
      </c>
    </row>
    <row r="66" spans="1:14" x14ac:dyDescent="0.25">
      <c r="A66" t="s">
        <v>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198</v>
      </c>
      <c r="K66" t="s">
        <v>202</v>
      </c>
      <c r="L66" t="s">
        <v>217</v>
      </c>
      <c r="M66" t="s">
        <v>225</v>
      </c>
      <c r="N66" t="str">
        <f t="shared" ref="N66:N129" si="1">VLOOKUP(K66,modelNames,2,FALSE)</f>
        <v>ZS</v>
      </c>
    </row>
    <row r="67" spans="1:14" x14ac:dyDescent="0.25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198</v>
      </c>
      <c r="K67" t="s">
        <v>203</v>
      </c>
      <c r="L67" t="s">
        <v>217</v>
      </c>
      <c r="M67" t="s">
        <v>225</v>
      </c>
      <c r="N67" t="str">
        <f t="shared" si="1"/>
        <v>ZS\&amp;POOL</v>
      </c>
    </row>
    <row r="68" spans="1:14" x14ac:dyDescent="0.25">
      <c r="A68" t="s">
        <v>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198</v>
      </c>
      <c r="K68" t="s">
        <v>204</v>
      </c>
      <c r="L68" t="s">
        <v>217</v>
      </c>
      <c r="M68" t="s">
        <v>225</v>
      </c>
      <c r="N68" t="str">
        <f t="shared" si="1"/>
        <v>ZSGL</v>
      </c>
    </row>
    <row r="69" spans="1:14" x14ac:dyDescent="0.25">
      <c r="A69" t="s">
        <v>322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198</v>
      </c>
      <c r="K69" t="s">
        <v>239</v>
      </c>
      <c r="L69" t="s">
        <v>217</v>
      </c>
      <c r="M69" t="s">
        <v>225</v>
      </c>
      <c r="N69" t="str">
        <f t="shared" si="1"/>
        <v>BFCS</v>
      </c>
    </row>
    <row r="70" spans="1:14" x14ac:dyDescent="0.25">
      <c r="A70" t="s">
        <v>323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198</v>
      </c>
      <c r="K70" t="s">
        <v>241</v>
      </c>
      <c r="L70" t="s">
        <v>217</v>
      </c>
      <c r="M70" t="s">
        <v>225</v>
      </c>
      <c r="N70" t="str">
        <f t="shared" si="1"/>
        <v>SSSS</v>
      </c>
    </row>
    <row r="71" spans="1:14" x14ac:dyDescent="0.25">
      <c r="A71" t="s">
        <v>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198</v>
      </c>
      <c r="K71" t="s">
        <v>206</v>
      </c>
      <c r="L71" t="s">
        <v>217</v>
      </c>
      <c r="M71" t="s">
        <v>225</v>
      </c>
      <c r="N71" t="str">
        <f t="shared" si="1"/>
        <v>BMS</v>
      </c>
    </row>
    <row r="72" spans="1:14" x14ac:dyDescent="0.25">
      <c r="A72" t="s">
        <v>269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198</v>
      </c>
      <c r="K72" t="s">
        <v>207</v>
      </c>
      <c r="L72" t="s">
        <v>217</v>
      </c>
      <c r="M72" t="s">
        <v>225</v>
      </c>
      <c r="N72" t="str">
        <f t="shared" si="1"/>
        <v>CC</v>
      </c>
    </row>
    <row r="73" spans="1:14" x14ac:dyDescent="0.25">
      <c r="A73" t="s">
        <v>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198</v>
      </c>
      <c r="K73" t="s">
        <v>233</v>
      </c>
      <c r="L73" t="s">
        <v>217</v>
      </c>
      <c r="M73" t="s">
        <v>225</v>
      </c>
      <c r="N73" t="str">
        <f t="shared" si="1"/>
        <v>POOL</v>
      </c>
    </row>
    <row r="74" spans="1:14" x14ac:dyDescent="0.25">
      <c r="A74" t="s">
        <v>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198</v>
      </c>
      <c r="K74" t="s">
        <v>202</v>
      </c>
      <c r="L74" t="s">
        <v>218</v>
      </c>
      <c r="M74" t="s">
        <v>225</v>
      </c>
      <c r="N74" t="str">
        <f t="shared" si="1"/>
        <v>ZS</v>
      </c>
    </row>
    <row r="75" spans="1:14" x14ac:dyDescent="0.25">
      <c r="A75" t="s">
        <v>38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198</v>
      </c>
      <c r="K75" t="s">
        <v>203</v>
      </c>
      <c r="L75" t="s">
        <v>218</v>
      </c>
      <c r="M75" t="s">
        <v>225</v>
      </c>
      <c r="N75" t="str">
        <f t="shared" si="1"/>
        <v>ZS\&amp;POOL</v>
      </c>
    </row>
    <row r="76" spans="1:14" x14ac:dyDescent="0.25">
      <c r="A76" t="s">
        <v>39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198</v>
      </c>
      <c r="K76" t="s">
        <v>204</v>
      </c>
      <c r="L76" t="s">
        <v>218</v>
      </c>
      <c r="M76" t="s">
        <v>225</v>
      </c>
      <c r="N76" t="str">
        <f t="shared" si="1"/>
        <v>ZSGL</v>
      </c>
    </row>
    <row r="77" spans="1:14" x14ac:dyDescent="0.25">
      <c r="A77" t="s">
        <v>325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198</v>
      </c>
      <c r="K77" t="s">
        <v>239</v>
      </c>
      <c r="L77" t="s">
        <v>218</v>
      </c>
      <c r="M77" t="s">
        <v>225</v>
      </c>
      <c r="N77" t="str">
        <f t="shared" si="1"/>
        <v>BFCS</v>
      </c>
    </row>
    <row r="78" spans="1:14" x14ac:dyDescent="0.25">
      <c r="A78" t="s">
        <v>326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198</v>
      </c>
      <c r="K78" t="s">
        <v>241</v>
      </c>
      <c r="L78" t="s">
        <v>218</v>
      </c>
      <c r="M78" t="s">
        <v>225</v>
      </c>
      <c r="N78" t="str">
        <f t="shared" si="1"/>
        <v>SSSS</v>
      </c>
    </row>
    <row r="79" spans="1:14" x14ac:dyDescent="0.25">
      <c r="A79" t="s">
        <v>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198</v>
      </c>
      <c r="K79" t="s">
        <v>206</v>
      </c>
      <c r="L79" t="s">
        <v>218</v>
      </c>
      <c r="M79" t="s">
        <v>225</v>
      </c>
      <c r="N79" t="str">
        <f t="shared" si="1"/>
        <v>BMS</v>
      </c>
    </row>
    <row r="80" spans="1:14" x14ac:dyDescent="0.25">
      <c r="A80" t="s">
        <v>270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198</v>
      </c>
      <c r="K80" t="s">
        <v>207</v>
      </c>
      <c r="L80" t="s">
        <v>218</v>
      </c>
      <c r="M80" t="s">
        <v>225</v>
      </c>
      <c r="N80" t="str">
        <f t="shared" si="1"/>
        <v>CC</v>
      </c>
    </row>
    <row r="81" spans="1:14" x14ac:dyDescent="0.25">
      <c r="A81" t="s">
        <v>327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198</v>
      </c>
      <c r="K81" t="s">
        <v>233</v>
      </c>
      <c r="L81" t="s">
        <v>218</v>
      </c>
      <c r="M81" t="s">
        <v>225</v>
      </c>
      <c r="N81" t="str">
        <f t="shared" si="1"/>
        <v>POOL</v>
      </c>
    </row>
    <row r="82" spans="1:14" x14ac:dyDescent="0.25">
      <c r="A82" t="s">
        <v>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198</v>
      </c>
      <c r="K82" t="s">
        <v>202</v>
      </c>
      <c r="L82" t="s">
        <v>219</v>
      </c>
      <c r="M82" t="s">
        <v>225</v>
      </c>
      <c r="N82" t="str">
        <f t="shared" si="1"/>
        <v>ZS</v>
      </c>
    </row>
    <row r="83" spans="1:14" x14ac:dyDescent="0.25">
      <c r="A83" t="s">
        <v>42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198</v>
      </c>
      <c r="K83" t="s">
        <v>203</v>
      </c>
      <c r="L83" t="s">
        <v>219</v>
      </c>
      <c r="M83" t="s">
        <v>225</v>
      </c>
      <c r="N83" t="str">
        <f t="shared" si="1"/>
        <v>ZS\&amp;POOL</v>
      </c>
    </row>
    <row r="84" spans="1:14" x14ac:dyDescent="0.25">
      <c r="A84" t="s">
        <v>43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198</v>
      </c>
      <c r="K84" t="s">
        <v>204</v>
      </c>
      <c r="L84" t="s">
        <v>219</v>
      </c>
      <c r="M84" t="s">
        <v>225</v>
      </c>
      <c r="N84" t="str">
        <f t="shared" si="1"/>
        <v>ZSGL</v>
      </c>
    </row>
    <row r="85" spans="1:14" x14ac:dyDescent="0.25">
      <c r="A85" t="s">
        <v>328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198</v>
      </c>
      <c r="K85" t="s">
        <v>239</v>
      </c>
      <c r="L85" t="s">
        <v>219</v>
      </c>
      <c r="M85" t="s">
        <v>225</v>
      </c>
      <c r="N85" t="str">
        <f t="shared" si="1"/>
        <v>BFCS</v>
      </c>
    </row>
    <row r="86" spans="1:14" x14ac:dyDescent="0.25">
      <c r="A86" t="s">
        <v>329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 t="s">
        <v>198</v>
      </c>
      <c r="K86" t="s">
        <v>241</v>
      </c>
      <c r="L86" t="s">
        <v>219</v>
      </c>
      <c r="M86" t="s">
        <v>225</v>
      </c>
      <c r="N86" t="str">
        <f t="shared" si="1"/>
        <v>SSSS</v>
      </c>
    </row>
    <row r="87" spans="1:14" x14ac:dyDescent="0.25">
      <c r="A87" t="s">
        <v>44</v>
      </c>
      <c r="B87">
        <v>0</v>
      </c>
      <c r="C87">
        <v>0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 t="s">
        <v>198</v>
      </c>
      <c r="K87" t="s">
        <v>206</v>
      </c>
      <c r="L87" t="s">
        <v>219</v>
      </c>
      <c r="M87" t="s">
        <v>225</v>
      </c>
      <c r="N87" t="str">
        <f t="shared" si="1"/>
        <v>BMS</v>
      </c>
    </row>
    <row r="88" spans="1:14" x14ac:dyDescent="0.25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198</v>
      </c>
      <c r="K88" t="s">
        <v>207</v>
      </c>
      <c r="L88" t="s">
        <v>219</v>
      </c>
      <c r="M88" t="s">
        <v>225</v>
      </c>
      <c r="N88" t="str">
        <f t="shared" si="1"/>
        <v>CC</v>
      </c>
    </row>
    <row r="89" spans="1:14" x14ac:dyDescent="0.25">
      <c r="A89" t="s">
        <v>330</v>
      </c>
      <c r="B89">
        <v>1</v>
      </c>
      <c r="C89">
        <v>0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 t="s">
        <v>198</v>
      </c>
      <c r="K89" t="s">
        <v>233</v>
      </c>
      <c r="L89" t="s">
        <v>219</v>
      </c>
      <c r="M89" t="s">
        <v>225</v>
      </c>
      <c r="N89" t="str">
        <f t="shared" si="1"/>
        <v>POOL</v>
      </c>
    </row>
    <row r="90" spans="1:14" x14ac:dyDescent="0.25">
      <c r="A90" t="s">
        <v>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198</v>
      </c>
      <c r="K90" t="s">
        <v>202</v>
      </c>
      <c r="L90" t="s">
        <v>220</v>
      </c>
      <c r="M90" t="s">
        <v>225</v>
      </c>
      <c r="N90" t="str">
        <f t="shared" si="1"/>
        <v>ZS</v>
      </c>
    </row>
    <row r="91" spans="1:14" x14ac:dyDescent="0.25">
      <c r="A91" t="s">
        <v>46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198</v>
      </c>
      <c r="K91" t="s">
        <v>203</v>
      </c>
      <c r="L91" t="s">
        <v>220</v>
      </c>
      <c r="M91" t="s">
        <v>225</v>
      </c>
      <c r="N91" t="str">
        <f t="shared" si="1"/>
        <v>ZS\&amp;POOL</v>
      </c>
    </row>
    <row r="92" spans="1:14" x14ac:dyDescent="0.25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198</v>
      </c>
      <c r="K92" t="s">
        <v>204</v>
      </c>
      <c r="L92" t="s">
        <v>220</v>
      </c>
      <c r="M92" t="s">
        <v>225</v>
      </c>
      <c r="N92" t="str">
        <f t="shared" si="1"/>
        <v>ZSGL</v>
      </c>
    </row>
    <row r="93" spans="1:14" x14ac:dyDescent="0.25">
      <c r="A93" t="s">
        <v>331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198</v>
      </c>
      <c r="K93" t="s">
        <v>239</v>
      </c>
      <c r="L93" t="s">
        <v>220</v>
      </c>
      <c r="M93" t="s">
        <v>225</v>
      </c>
      <c r="N93" t="str">
        <f t="shared" si="1"/>
        <v>BFCS</v>
      </c>
    </row>
    <row r="94" spans="1:14" x14ac:dyDescent="0.25">
      <c r="A94" t="s">
        <v>332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198</v>
      </c>
      <c r="K94" t="s">
        <v>241</v>
      </c>
      <c r="L94" t="s">
        <v>220</v>
      </c>
      <c r="M94" t="s">
        <v>225</v>
      </c>
      <c r="N94" t="str">
        <f t="shared" si="1"/>
        <v>SSSS</v>
      </c>
    </row>
    <row r="95" spans="1:14" x14ac:dyDescent="0.25">
      <c r="A95" t="s">
        <v>48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198</v>
      </c>
      <c r="K95" t="s">
        <v>206</v>
      </c>
      <c r="L95" t="s">
        <v>220</v>
      </c>
      <c r="M95" t="s">
        <v>225</v>
      </c>
      <c r="N95" t="str">
        <f t="shared" si="1"/>
        <v>BMS</v>
      </c>
    </row>
    <row r="96" spans="1:14" x14ac:dyDescent="0.25">
      <c r="A96" t="s">
        <v>272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198</v>
      </c>
      <c r="K96" t="s">
        <v>207</v>
      </c>
      <c r="L96" t="s">
        <v>220</v>
      </c>
      <c r="M96" t="s">
        <v>225</v>
      </c>
      <c r="N96" t="str">
        <f t="shared" si="1"/>
        <v>CC</v>
      </c>
    </row>
    <row r="97" spans="1:14" x14ac:dyDescent="0.25">
      <c r="A97" t="s">
        <v>333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198</v>
      </c>
      <c r="K97" t="s">
        <v>233</v>
      </c>
      <c r="L97" t="s">
        <v>220</v>
      </c>
      <c r="M97" t="s">
        <v>225</v>
      </c>
      <c r="N97" t="str">
        <f t="shared" si="1"/>
        <v>POOL</v>
      </c>
    </row>
    <row r="98" spans="1:14" x14ac:dyDescent="0.25">
      <c r="A98" t="s">
        <v>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198</v>
      </c>
      <c r="K98" t="s">
        <v>202</v>
      </c>
      <c r="L98" t="s">
        <v>221</v>
      </c>
      <c r="M98" t="s">
        <v>225</v>
      </c>
      <c r="N98" t="str">
        <f t="shared" si="1"/>
        <v>ZS</v>
      </c>
    </row>
    <row r="99" spans="1:14" x14ac:dyDescent="0.25">
      <c r="A99" t="s">
        <v>50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198</v>
      </c>
      <c r="K99" t="s">
        <v>203</v>
      </c>
      <c r="L99" t="s">
        <v>221</v>
      </c>
      <c r="M99" t="s">
        <v>225</v>
      </c>
      <c r="N99" t="str">
        <f t="shared" si="1"/>
        <v>ZS\&amp;POOL</v>
      </c>
    </row>
    <row r="100" spans="1:14" x14ac:dyDescent="0.25">
      <c r="A100" t="s">
        <v>51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 t="s">
        <v>198</v>
      </c>
      <c r="K100" t="s">
        <v>204</v>
      </c>
      <c r="L100" t="s">
        <v>221</v>
      </c>
      <c r="M100" t="s">
        <v>225</v>
      </c>
      <c r="N100" t="str">
        <f t="shared" si="1"/>
        <v>ZSGL</v>
      </c>
    </row>
    <row r="101" spans="1:14" x14ac:dyDescent="0.25">
      <c r="A101" t="s">
        <v>334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198</v>
      </c>
      <c r="K101" t="s">
        <v>239</v>
      </c>
      <c r="L101" t="s">
        <v>221</v>
      </c>
      <c r="M101" t="s">
        <v>225</v>
      </c>
      <c r="N101" t="str">
        <f t="shared" si="1"/>
        <v>BFCS</v>
      </c>
    </row>
    <row r="102" spans="1:14" x14ac:dyDescent="0.25">
      <c r="A102" t="s">
        <v>335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198</v>
      </c>
      <c r="K102" t="s">
        <v>241</v>
      </c>
      <c r="L102" t="s">
        <v>221</v>
      </c>
      <c r="M102" t="s">
        <v>225</v>
      </c>
      <c r="N102" t="str">
        <f t="shared" si="1"/>
        <v>SSSS</v>
      </c>
    </row>
    <row r="103" spans="1:14" x14ac:dyDescent="0.25">
      <c r="A103" t="s">
        <v>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198</v>
      </c>
      <c r="K103" t="s">
        <v>206</v>
      </c>
      <c r="L103" t="s">
        <v>221</v>
      </c>
      <c r="M103" t="s">
        <v>225</v>
      </c>
      <c r="N103" t="str">
        <f t="shared" si="1"/>
        <v>BMS</v>
      </c>
    </row>
    <row r="104" spans="1:14" x14ac:dyDescent="0.25">
      <c r="A104" t="s">
        <v>273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198</v>
      </c>
      <c r="K104" t="s">
        <v>207</v>
      </c>
      <c r="L104" t="s">
        <v>221</v>
      </c>
      <c r="M104" t="s">
        <v>225</v>
      </c>
      <c r="N104" t="str">
        <f t="shared" si="1"/>
        <v>CC</v>
      </c>
    </row>
    <row r="105" spans="1:14" x14ac:dyDescent="0.25">
      <c r="A105" t="s">
        <v>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 t="s">
        <v>198</v>
      </c>
      <c r="K105" t="s">
        <v>233</v>
      </c>
      <c r="L105" t="s">
        <v>221</v>
      </c>
      <c r="M105" t="s">
        <v>225</v>
      </c>
      <c r="N105" t="str">
        <f t="shared" si="1"/>
        <v>POOL</v>
      </c>
    </row>
    <row r="106" spans="1:14" x14ac:dyDescent="0.25">
      <c r="A106" t="s">
        <v>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198</v>
      </c>
      <c r="K106" t="s">
        <v>202</v>
      </c>
      <c r="L106" t="s">
        <v>222</v>
      </c>
      <c r="M106" t="s">
        <v>225</v>
      </c>
      <c r="N106" t="str">
        <f t="shared" si="1"/>
        <v>ZS</v>
      </c>
    </row>
    <row r="107" spans="1:14" x14ac:dyDescent="0.25">
      <c r="A107" t="s">
        <v>54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1</v>
      </c>
      <c r="J107" t="s">
        <v>198</v>
      </c>
      <c r="K107" t="s">
        <v>203</v>
      </c>
      <c r="L107" t="s">
        <v>222</v>
      </c>
      <c r="M107" t="s">
        <v>225</v>
      </c>
      <c r="N107" t="str">
        <f t="shared" si="1"/>
        <v>ZS\&amp;POOL</v>
      </c>
    </row>
    <row r="108" spans="1:14" x14ac:dyDescent="0.25">
      <c r="A108" t="s">
        <v>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 t="s">
        <v>198</v>
      </c>
      <c r="K108" t="s">
        <v>204</v>
      </c>
      <c r="L108" t="s">
        <v>222</v>
      </c>
      <c r="M108" t="s">
        <v>225</v>
      </c>
      <c r="N108" t="str">
        <f t="shared" si="1"/>
        <v>ZSGL</v>
      </c>
    </row>
    <row r="109" spans="1:14" x14ac:dyDescent="0.25">
      <c r="A109" t="s">
        <v>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198</v>
      </c>
      <c r="K109" t="s">
        <v>239</v>
      </c>
      <c r="L109" t="s">
        <v>222</v>
      </c>
      <c r="M109" t="s">
        <v>225</v>
      </c>
      <c r="N109" t="str">
        <f t="shared" si="1"/>
        <v>BFCS</v>
      </c>
    </row>
    <row r="110" spans="1:14" x14ac:dyDescent="0.25">
      <c r="A110" t="s">
        <v>338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198</v>
      </c>
      <c r="K110" t="s">
        <v>241</v>
      </c>
      <c r="L110" t="s">
        <v>222</v>
      </c>
      <c r="M110" t="s">
        <v>225</v>
      </c>
      <c r="N110" t="str">
        <f t="shared" si="1"/>
        <v>SSSS</v>
      </c>
    </row>
    <row r="111" spans="1:14" x14ac:dyDescent="0.25">
      <c r="A111" t="s">
        <v>56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 t="s">
        <v>198</v>
      </c>
      <c r="K111" t="s">
        <v>206</v>
      </c>
      <c r="L111" t="s">
        <v>222</v>
      </c>
      <c r="M111" t="s">
        <v>225</v>
      </c>
      <c r="N111" t="str">
        <f t="shared" si="1"/>
        <v>BMS</v>
      </c>
    </row>
    <row r="112" spans="1:14" x14ac:dyDescent="0.25">
      <c r="A112" t="s">
        <v>274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198</v>
      </c>
      <c r="K112" t="s">
        <v>207</v>
      </c>
      <c r="L112" t="s">
        <v>222</v>
      </c>
      <c r="M112" t="s">
        <v>225</v>
      </c>
      <c r="N112" t="str">
        <f t="shared" si="1"/>
        <v>CC</v>
      </c>
    </row>
    <row r="113" spans="1:14" x14ac:dyDescent="0.25">
      <c r="A113" t="s">
        <v>339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 t="s">
        <v>198</v>
      </c>
      <c r="K113" t="s">
        <v>233</v>
      </c>
      <c r="L113" t="s">
        <v>222</v>
      </c>
      <c r="M113" t="s">
        <v>225</v>
      </c>
      <c r="N113" t="str">
        <f t="shared" si="1"/>
        <v>POOL</v>
      </c>
    </row>
    <row r="114" spans="1:14" x14ac:dyDescent="0.25">
      <c r="A114" t="s">
        <v>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198</v>
      </c>
      <c r="K114" t="s">
        <v>202</v>
      </c>
      <c r="L114" t="s">
        <v>223</v>
      </c>
      <c r="M114" t="s">
        <v>225</v>
      </c>
      <c r="N114" t="str">
        <f t="shared" si="1"/>
        <v>ZS</v>
      </c>
    </row>
    <row r="115" spans="1:14" x14ac:dyDescent="0.25">
      <c r="A115" t="s">
        <v>58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 t="s">
        <v>198</v>
      </c>
      <c r="K115" t="s">
        <v>203</v>
      </c>
      <c r="L115" t="s">
        <v>223</v>
      </c>
      <c r="M115" t="s">
        <v>225</v>
      </c>
      <c r="N115" t="str">
        <f t="shared" si="1"/>
        <v>ZS\&amp;POOL</v>
      </c>
    </row>
    <row r="116" spans="1:14" x14ac:dyDescent="0.25">
      <c r="A116" t="s">
        <v>59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 t="s">
        <v>198</v>
      </c>
      <c r="K116" t="s">
        <v>204</v>
      </c>
      <c r="L116" t="s">
        <v>223</v>
      </c>
      <c r="M116" t="s">
        <v>225</v>
      </c>
      <c r="N116" t="str">
        <f t="shared" si="1"/>
        <v>ZSGL</v>
      </c>
    </row>
    <row r="117" spans="1:14" x14ac:dyDescent="0.25">
      <c r="A117" t="s">
        <v>340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198</v>
      </c>
      <c r="K117" t="s">
        <v>239</v>
      </c>
      <c r="L117" t="s">
        <v>223</v>
      </c>
      <c r="M117" t="s">
        <v>225</v>
      </c>
      <c r="N117" t="str">
        <f t="shared" si="1"/>
        <v>BFCS</v>
      </c>
    </row>
    <row r="118" spans="1:14" x14ac:dyDescent="0.25">
      <c r="A118" t="s">
        <v>341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 t="s">
        <v>198</v>
      </c>
      <c r="K118" t="s">
        <v>241</v>
      </c>
      <c r="L118" t="s">
        <v>223</v>
      </c>
      <c r="M118" t="s">
        <v>225</v>
      </c>
      <c r="N118" t="str">
        <f t="shared" si="1"/>
        <v>SSSS</v>
      </c>
    </row>
    <row r="119" spans="1:14" x14ac:dyDescent="0.25">
      <c r="A119" t="s">
        <v>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198</v>
      </c>
      <c r="K119" t="s">
        <v>206</v>
      </c>
      <c r="L119" t="s">
        <v>223</v>
      </c>
      <c r="M119" t="s">
        <v>225</v>
      </c>
      <c r="N119" t="str">
        <f t="shared" si="1"/>
        <v>BMS</v>
      </c>
    </row>
    <row r="120" spans="1:14" x14ac:dyDescent="0.25">
      <c r="A120" t="s">
        <v>275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198</v>
      </c>
      <c r="K120" t="s">
        <v>207</v>
      </c>
      <c r="L120" t="s">
        <v>223</v>
      </c>
      <c r="M120" t="s">
        <v>225</v>
      </c>
      <c r="N120" t="str">
        <f t="shared" si="1"/>
        <v>CC</v>
      </c>
    </row>
    <row r="121" spans="1:14" x14ac:dyDescent="0.25">
      <c r="A121" t="s">
        <v>342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198</v>
      </c>
      <c r="K121" t="s">
        <v>233</v>
      </c>
      <c r="L121" t="s">
        <v>223</v>
      </c>
      <c r="M121" t="s">
        <v>225</v>
      </c>
      <c r="N121" t="str">
        <f t="shared" si="1"/>
        <v>POOL</v>
      </c>
    </row>
    <row r="122" spans="1:14" x14ac:dyDescent="0.25">
      <c r="A122" t="s">
        <v>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199</v>
      </c>
      <c r="K122" t="s">
        <v>202</v>
      </c>
      <c r="L122" t="s">
        <v>209</v>
      </c>
      <c r="M122" t="s">
        <v>225</v>
      </c>
      <c r="N122" t="str">
        <f t="shared" si="1"/>
        <v>ZS</v>
      </c>
    </row>
    <row r="123" spans="1:14" x14ac:dyDescent="0.25">
      <c r="A123" t="s">
        <v>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 t="s">
        <v>199</v>
      </c>
      <c r="K123" t="s">
        <v>203</v>
      </c>
      <c r="L123" t="s">
        <v>209</v>
      </c>
      <c r="M123" t="s">
        <v>225</v>
      </c>
      <c r="N123" t="str">
        <f t="shared" si="1"/>
        <v>ZS\&amp;POOL</v>
      </c>
    </row>
    <row r="124" spans="1:14" x14ac:dyDescent="0.25">
      <c r="A124" t="s">
        <v>63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199</v>
      </c>
      <c r="K124" t="s">
        <v>204</v>
      </c>
      <c r="L124" t="s">
        <v>209</v>
      </c>
      <c r="M124" t="s">
        <v>225</v>
      </c>
      <c r="N124" t="str">
        <f t="shared" si="1"/>
        <v>ZSGL</v>
      </c>
    </row>
    <row r="125" spans="1:14" x14ac:dyDescent="0.25">
      <c r="A125" t="s">
        <v>343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199</v>
      </c>
      <c r="K125" t="s">
        <v>239</v>
      </c>
      <c r="L125" t="s">
        <v>209</v>
      </c>
      <c r="M125" t="s">
        <v>225</v>
      </c>
      <c r="N125" t="str">
        <f t="shared" si="1"/>
        <v>BFCS</v>
      </c>
    </row>
    <row r="126" spans="1:14" x14ac:dyDescent="0.25">
      <c r="A126" t="s">
        <v>344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199</v>
      </c>
      <c r="K126" t="s">
        <v>241</v>
      </c>
      <c r="L126" t="s">
        <v>209</v>
      </c>
      <c r="M126" t="s">
        <v>225</v>
      </c>
      <c r="N126" t="str">
        <f t="shared" si="1"/>
        <v>SSSS</v>
      </c>
    </row>
    <row r="127" spans="1:14" x14ac:dyDescent="0.25">
      <c r="A127" t="s">
        <v>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</v>
      </c>
      <c r="J127" t="s">
        <v>199</v>
      </c>
      <c r="K127" t="s">
        <v>206</v>
      </c>
      <c r="L127" t="s">
        <v>209</v>
      </c>
      <c r="M127" t="s">
        <v>225</v>
      </c>
      <c r="N127" t="str">
        <f t="shared" si="1"/>
        <v>BMS</v>
      </c>
    </row>
    <row r="128" spans="1:14" x14ac:dyDescent="0.25">
      <c r="A128" t="s">
        <v>276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199</v>
      </c>
      <c r="K128" t="s">
        <v>207</v>
      </c>
      <c r="L128" t="s">
        <v>209</v>
      </c>
      <c r="M128" t="s">
        <v>225</v>
      </c>
      <c r="N128" t="str">
        <f t="shared" si="1"/>
        <v>CC</v>
      </c>
    </row>
    <row r="129" spans="1:14" x14ac:dyDescent="0.25">
      <c r="A129" t="s">
        <v>345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199</v>
      </c>
      <c r="K129" t="s">
        <v>233</v>
      </c>
      <c r="L129" t="s">
        <v>209</v>
      </c>
      <c r="M129" t="s">
        <v>225</v>
      </c>
      <c r="N129" t="str">
        <f t="shared" si="1"/>
        <v>POOL</v>
      </c>
    </row>
    <row r="130" spans="1:14" x14ac:dyDescent="0.25">
      <c r="A130" t="s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199</v>
      </c>
      <c r="K130" t="s">
        <v>202</v>
      </c>
      <c r="L130" t="s">
        <v>210</v>
      </c>
      <c r="M130" t="s">
        <v>225</v>
      </c>
      <c r="N130" t="str">
        <f t="shared" ref="N130:N193" si="2">VLOOKUP(K130,modelNames,2,FALSE)</f>
        <v>ZS</v>
      </c>
    </row>
    <row r="131" spans="1:14" x14ac:dyDescent="0.25">
      <c r="A131" t="s">
        <v>66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 t="s">
        <v>199</v>
      </c>
      <c r="K131" t="s">
        <v>203</v>
      </c>
      <c r="L131" t="s">
        <v>210</v>
      </c>
      <c r="M131" t="s">
        <v>225</v>
      </c>
      <c r="N131" t="str">
        <f t="shared" si="2"/>
        <v>ZS\&amp;POOL</v>
      </c>
    </row>
    <row r="132" spans="1:14" x14ac:dyDescent="0.25">
      <c r="A132" t="s">
        <v>67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199</v>
      </c>
      <c r="K132" t="s">
        <v>204</v>
      </c>
      <c r="L132" t="s">
        <v>210</v>
      </c>
      <c r="M132" t="s">
        <v>225</v>
      </c>
      <c r="N132" t="str">
        <f t="shared" si="2"/>
        <v>ZSGL</v>
      </c>
    </row>
    <row r="133" spans="1:14" x14ac:dyDescent="0.25">
      <c r="A133" t="s">
        <v>346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199</v>
      </c>
      <c r="K133" t="s">
        <v>239</v>
      </c>
      <c r="L133" t="s">
        <v>210</v>
      </c>
      <c r="M133" t="s">
        <v>225</v>
      </c>
      <c r="N133" t="str">
        <f t="shared" si="2"/>
        <v>BFCS</v>
      </c>
    </row>
    <row r="134" spans="1:14" x14ac:dyDescent="0.25">
      <c r="A134" t="s">
        <v>347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199</v>
      </c>
      <c r="K134" t="s">
        <v>241</v>
      </c>
      <c r="L134" t="s">
        <v>210</v>
      </c>
      <c r="M134" t="s">
        <v>225</v>
      </c>
      <c r="N134" t="str">
        <f t="shared" si="2"/>
        <v>SSSS</v>
      </c>
    </row>
    <row r="135" spans="1:14" x14ac:dyDescent="0.25">
      <c r="A135" t="s">
        <v>68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 t="s">
        <v>199</v>
      </c>
      <c r="K135" t="s">
        <v>206</v>
      </c>
      <c r="L135" t="s">
        <v>210</v>
      </c>
      <c r="M135" t="s">
        <v>225</v>
      </c>
      <c r="N135" t="str">
        <f t="shared" si="2"/>
        <v>BMS</v>
      </c>
    </row>
    <row r="136" spans="1:14" x14ac:dyDescent="0.25">
      <c r="A136" t="s">
        <v>277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199</v>
      </c>
      <c r="K136" t="s">
        <v>207</v>
      </c>
      <c r="L136" t="s">
        <v>210</v>
      </c>
      <c r="M136" t="s">
        <v>225</v>
      </c>
      <c r="N136" t="str">
        <f t="shared" si="2"/>
        <v>CC</v>
      </c>
    </row>
    <row r="137" spans="1:14" x14ac:dyDescent="0.25">
      <c r="A137" t="s">
        <v>348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199</v>
      </c>
      <c r="K137" t="s">
        <v>233</v>
      </c>
      <c r="L137" t="s">
        <v>210</v>
      </c>
      <c r="M137" t="s">
        <v>225</v>
      </c>
      <c r="N137" t="str">
        <f t="shared" si="2"/>
        <v>POOL</v>
      </c>
    </row>
    <row r="138" spans="1:14" x14ac:dyDescent="0.25">
      <c r="A138" t="s">
        <v>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199</v>
      </c>
      <c r="K138" t="s">
        <v>202</v>
      </c>
      <c r="L138" t="s">
        <v>211</v>
      </c>
      <c r="M138" t="s">
        <v>225</v>
      </c>
      <c r="N138" t="str">
        <f t="shared" si="2"/>
        <v>ZS</v>
      </c>
    </row>
    <row r="139" spans="1:14" x14ac:dyDescent="0.25">
      <c r="A139" t="s">
        <v>70</v>
      </c>
      <c r="B139">
        <v>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 t="s">
        <v>199</v>
      </c>
      <c r="K139" t="s">
        <v>203</v>
      </c>
      <c r="L139" t="s">
        <v>211</v>
      </c>
      <c r="M139" t="s">
        <v>225</v>
      </c>
      <c r="N139" t="str">
        <f t="shared" si="2"/>
        <v>ZS\&amp;POOL</v>
      </c>
    </row>
    <row r="140" spans="1:14" x14ac:dyDescent="0.25">
      <c r="A140" t="s">
        <v>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199</v>
      </c>
      <c r="K140" t="s">
        <v>204</v>
      </c>
      <c r="L140" t="s">
        <v>211</v>
      </c>
      <c r="M140" t="s">
        <v>225</v>
      </c>
      <c r="N140" t="str">
        <f t="shared" si="2"/>
        <v>ZSGL</v>
      </c>
    </row>
    <row r="141" spans="1:14" x14ac:dyDescent="0.25">
      <c r="A141" t="s">
        <v>349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199</v>
      </c>
      <c r="K141" t="s">
        <v>239</v>
      </c>
      <c r="L141" t="s">
        <v>211</v>
      </c>
      <c r="M141" t="s">
        <v>225</v>
      </c>
      <c r="N141" t="str">
        <f t="shared" si="2"/>
        <v>BFCS</v>
      </c>
    </row>
    <row r="142" spans="1:14" x14ac:dyDescent="0.25">
      <c r="A142" t="s">
        <v>350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199</v>
      </c>
      <c r="K142" t="s">
        <v>241</v>
      </c>
      <c r="L142" t="s">
        <v>211</v>
      </c>
      <c r="M142" t="s">
        <v>225</v>
      </c>
      <c r="N142" t="str">
        <f t="shared" si="2"/>
        <v>SSSS</v>
      </c>
    </row>
    <row r="143" spans="1:14" x14ac:dyDescent="0.25">
      <c r="A143" t="s">
        <v>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199</v>
      </c>
      <c r="K143" t="s">
        <v>206</v>
      </c>
      <c r="L143" t="s">
        <v>211</v>
      </c>
      <c r="M143" t="s">
        <v>225</v>
      </c>
      <c r="N143" t="str">
        <f t="shared" si="2"/>
        <v>BMS</v>
      </c>
    </row>
    <row r="144" spans="1:14" x14ac:dyDescent="0.25">
      <c r="A144" t="s">
        <v>278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199</v>
      </c>
      <c r="K144" t="s">
        <v>207</v>
      </c>
      <c r="L144" t="s">
        <v>211</v>
      </c>
      <c r="M144" t="s">
        <v>225</v>
      </c>
      <c r="N144" t="str">
        <f t="shared" si="2"/>
        <v>CC</v>
      </c>
    </row>
    <row r="145" spans="1:14" x14ac:dyDescent="0.25">
      <c r="A145" t="s">
        <v>351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199</v>
      </c>
      <c r="K145" t="s">
        <v>233</v>
      </c>
      <c r="L145" t="s">
        <v>211</v>
      </c>
      <c r="M145" t="s">
        <v>225</v>
      </c>
      <c r="N145" t="str">
        <f t="shared" si="2"/>
        <v>POOL</v>
      </c>
    </row>
    <row r="146" spans="1:14" x14ac:dyDescent="0.25">
      <c r="A146" t="s">
        <v>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199</v>
      </c>
      <c r="K146" t="s">
        <v>202</v>
      </c>
      <c r="L146" t="s">
        <v>212</v>
      </c>
      <c r="M146" t="s">
        <v>225</v>
      </c>
      <c r="N146" t="str">
        <f t="shared" si="2"/>
        <v>ZS</v>
      </c>
    </row>
    <row r="147" spans="1:14" x14ac:dyDescent="0.25">
      <c r="A147" t="s">
        <v>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 t="s">
        <v>199</v>
      </c>
      <c r="K147" t="s">
        <v>203</v>
      </c>
      <c r="L147" t="s">
        <v>212</v>
      </c>
      <c r="M147" t="s">
        <v>225</v>
      </c>
      <c r="N147" t="str">
        <f t="shared" si="2"/>
        <v>ZS\&amp;POOL</v>
      </c>
    </row>
    <row r="148" spans="1:14" x14ac:dyDescent="0.25">
      <c r="A148" t="s">
        <v>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 t="s">
        <v>199</v>
      </c>
      <c r="K148" t="s">
        <v>204</v>
      </c>
      <c r="L148" t="s">
        <v>212</v>
      </c>
      <c r="M148" t="s">
        <v>225</v>
      </c>
      <c r="N148" t="str">
        <f t="shared" si="2"/>
        <v>ZSGL</v>
      </c>
    </row>
    <row r="149" spans="1:14" x14ac:dyDescent="0.25">
      <c r="A149" t="s">
        <v>352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199</v>
      </c>
      <c r="K149" t="s">
        <v>239</v>
      </c>
      <c r="L149" t="s">
        <v>212</v>
      </c>
      <c r="M149" t="s">
        <v>225</v>
      </c>
      <c r="N149" t="str">
        <f t="shared" si="2"/>
        <v>BFCS</v>
      </c>
    </row>
    <row r="150" spans="1:14" x14ac:dyDescent="0.25">
      <c r="A150" t="s">
        <v>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199</v>
      </c>
      <c r="K150" t="s">
        <v>241</v>
      </c>
      <c r="L150" t="s">
        <v>212</v>
      </c>
      <c r="M150" t="s">
        <v>225</v>
      </c>
      <c r="N150" t="str">
        <f t="shared" si="2"/>
        <v>SSSS</v>
      </c>
    </row>
    <row r="151" spans="1:14" x14ac:dyDescent="0.25">
      <c r="A151" t="s">
        <v>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199</v>
      </c>
      <c r="K151" t="s">
        <v>206</v>
      </c>
      <c r="L151" t="s">
        <v>212</v>
      </c>
      <c r="M151" t="s">
        <v>225</v>
      </c>
      <c r="N151" t="str">
        <f t="shared" si="2"/>
        <v>BMS</v>
      </c>
    </row>
    <row r="152" spans="1:14" x14ac:dyDescent="0.25">
      <c r="A152" t="s">
        <v>279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199</v>
      </c>
      <c r="K152" t="s">
        <v>207</v>
      </c>
      <c r="L152" t="s">
        <v>212</v>
      </c>
      <c r="M152" t="s">
        <v>225</v>
      </c>
      <c r="N152" t="str">
        <f t="shared" si="2"/>
        <v>CC</v>
      </c>
    </row>
    <row r="153" spans="1:14" x14ac:dyDescent="0.25">
      <c r="A153" t="s">
        <v>354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 t="s">
        <v>199</v>
      </c>
      <c r="K153" t="s">
        <v>233</v>
      </c>
      <c r="L153" t="s">
        <v>212</v>
      </c>
      <c r="M153" t="s">
        <v>225</v>
      </c>
      <c r="N153" t="str">
        <f t="shared" si="2"/>
        <v>POOL</v>
      </c>
    </row>
    <row r="154" spans="1:14" x14ac:dyDescent="0.25">
      <c r="A154" t="s">
        <v>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199</v>
      </c>
      <c r="K154" t="s">
        <v>202</v>
      </c>
      <c r="L154" t="s">
        <v>213</v>
      </c>
      <c r="M154" t="s">
        <v>225</v>
      </c>
      <c r="N154" t="str">
        <f t="shared" si="2"/>
        <v>ZS</v>
      </c>
    </row>
    <row r="155" spans="1:14" x14ac:dyDescent="0.25">
      <c r="A155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 t="s">
        <v>199</v>
      </c>
      <c r="K155" t="s">
        <v>203</v>
      </c>
      <c r="L155" t="s">
        <v>213</v>
      </c>
      <c r="M155" t="s">
        <v>225</v>
      </c>
      <c r="N155" t="str">
        <f t="shared" si="2"/>
        <v>ZS\&amp;POOL</v>
      </c>
    </row>
    <row r="156" spans="1:14" x14ac:dyDescent="0.25">
      <c r="A156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199</v>
      </c>
      <c r="K156" t="s">
        <v>204</v>
      </c>
      <c r="L156" t="s">
        <v>213</v>
      </c>
      <c r="M156" t="s">
        <v>225</v>
      </c>
      <c r="N156" t="str">
        <f t="shared" si="2"/>
        <v>ZSGL</v>
      </c>
    </row>
    <row r="157" spans="1:14" x14ac:dyDescent="0.25">
      <c r="A157" t="s">
        <v>355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199</v>
      </c>
      <c r="K157" t="s">
        <v>239</v>
      </c>
      <c r="L157" t="s">
        <v>213</v>
      </c>
      <c r="M157" t="s">
        <v>225</v>
      </c>
      <c r="N157" t="str">
        <f t="shared" si="2"/>
        <v>BFCS</v>
      </c>
    </row>
    <row r="158" spans="1:14" x14ac:dyDescent="0.25">
      <c r="A158" t="s">
        <v>356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199</v>
      </c>
      <c r="K158" t="s">
        <v>241</v>
      </c>
      <c r="L158" t="s">
        <v>213</v>
      </c>
      <c r="M158" t="s">
        <v>225</v>
      </c>
      <c r="N158" t="str">
        <f t="shared" si="2"/>
        <v>SSSS</v>
      </c>
    </row>
    <row r="159" spans="1:14" x14ac:dyDescent="0.25">
      <c r="A159" t="s">
        <v>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199</v>
      </c>
      <c r="K159" t="s">
        <v>206</v>
      </c>
      <c r="L159" t="s">
        <v>213</v>
      </c>
      <c r="M159" t="s">
        <v>225</v>
      </c>
      <c r="N159" t="str">
        <f t="shared" si="2"/>
        <v>BMS</v>
      </c>
    </row>
    <row r="160" spans="1:14" x14ac:dyDescent="0.25">
      <c r="A160" t="s">
        <v>280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199</v>
      </c>
      <c r="K160" t="s">
        <v>207</v>
      </c>
      <c r="L160" t="s">
        <v>213</v>
      </c>
      <c r="M160" t="s">
        <v>225</v>
      </c>
      <c r="N160" t="str">
        <f t="shared" si="2"/>
        <v>CC</v>
      </c>
    </row>
    <row r="161" spans="1:14" x14ac:dyDescent="0.25">
      <c r="A161" t="s">
        <v>357</v>
      </c>
      <c r="B161">
        <v>0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0</v>
      </c>
      <c r="J161" t="s">
        <v>199</v>
      </c>
      <c r="K161" t="s">
        <v>233</v>
      </c>
      <c r="L161" t="s">
        <v>213</v>
      </c>
      <c r="M161" t="s">
        <v>225</v>
      </c>
      <c r="N161" t="str">
        <f t="shared" si="2"/>
        <v>POOL</v>
      </c>
    </row>
    <row r="162" spans="1:14" x14ac:dyDescent="0.25">
      <c r="A162" t="s">
        <v>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199</v>
      </c>
      <c r="K162" t="s">
        <v>202</v>
      </c>
      <c r="L162" t="s">
        <v>214</v>
      </c>
      <c r="M162" t="s">
        <v>225</v>
      </c>
      <c r="N162" t="str">
        <f t="shared" si="2"/>
        <v>ZS</v>
      </c>
    </row>
    <row r="163" spans="1:14" x14ac:dyDescent="0.25">
      <c r="A163" t="s">
        <v>82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 t="s">
        <v>199</v>
      </c>
      <c r="K163" t="s">
        <v>203</v>
      </c>
      <c r="L163" t="s">
        <v>214</v>
      </c>
      <c r="M163" t="s">
        <v>225</v>
      </c>
      <c r="N163" t="str">
        <f t="shared" si="2"/>
        <v>ZS\&amp;POOL</v>
      </c>
    </row>
    <row r="164" spans="1:14" x14ac:dyDescent="0.25">
      <c r="A164" t="s">
        <v>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199</v>
      </c>
      <c r="K164" t="s">
        <v>204</v>
      </c>
      <c r="L164" t="s">
        <v>214</v>
      </c>
      <c r="M164" t="s">
        <v>225</v>
      </c>
      <c r="N164" t="str">
        <f t="shared" si="2"/>
        <v>ZSGL</v>
      </c>
    </row>
    <row r="165" spans="1:14" x14ac:dyDescent="0.25">
      <c r="A165" t="s">
        <v>358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199</v>
      </c>
      <c r="K165" t="s">
        <v>239</v>
      </c>
      <c r="L165" t="s">
        <v>214</v>
      </c>
      <c r="M165" t="s">
        <v>225</v>
      </c>
      <c r="N165" t="str">
        <f t="shared" si="2"/>
        <v>BFCS</v>
      </c>
    </row>
    <row r="166" spans="1:14" x14ac:dyDescent="0.25">
      <c r="A166" t="s">
        <v>359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199</v>
      </c>
      <c r="K166" t="s">
        <v>241</v>
      </c>
      <c r="L166" t="s">
        <v>214</v>
      </c>
      <c r="M166" t="s">
        <v>225</v>
      </c>
      <c r="N166" t="str">
        <f t="shared" si="2"/>
        <v>SSSS</v>
      </c>
    </row>
    <row r="167" spans="1:14" x14ac:dyDescent="0.25">
      <c r="A167" t="s">
        <v>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 t="s">
        <v>199</v>
      </c>
      <c r="K167" t="s">
        <v>206</v>
      </c>
      <c r="L167" t="s">
        <v>214</v>
      </c>
      <c r="M167" t="s">
        <v>225</v>
      </c>
      <c r="N167" t="str">
        <f t="shared" si="2"/>
        <v>BMS</v>
      </c>
    </row>
    <row r="168" spans="1:14" x14ac:dyDescent="0.25">
      <c r="A168" t="s">
        <v>281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199</v>
      </c>
      <c r="K168" t="s">
        <v>207</v>
      </c>
      <c r="L168" t="s">
        <v>214</v>
      </c>
      <c r="M168" t="s">
        <v>225</v>
      </c>
      <c r="N168" t="str">
        <f t="shared" si="2"/>
        <v>CC</v>
      </c>
    </row>
    <row r="169" spans="1:14" x14ac:dyDescent="0.25">
      <c r="A169" t="s">
        <v>360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199</v>
      </c>
      <c r="K169" t="s">
        <v>233</v>
      </c>
      <c r="L169" t="s">
        <v>214</v>
      </c>
      <c r="M169" t="s">
        <v>225</v>
      </c>
      <c r="N169" t="str">
        <f t="shared" si="2"/>
        <v>POOL</v>
      </c>
    </row>
    <row r="170" spans="1:14" x14ac:dyDescent="0.25">
      <c r="A170" t="s">
        <v>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199</v>
      </c>
      <c r="K170" t="s">
        <v>202</v>
      </c>
      <c r="L170" t="s">
        <v>215</v>
      </c>
      <c r="M170" t="s">
        <v>225</v>
      </c>
      <c r="N170" t="str">
        <f t="shared" si="2"/>
        <v>ZS</v>
      </c>
    </row>
    <row r="171" spans="1:14" x14ac:dyDescent="0.25">
      <c r="A171" t="s">
        <v>86</v>
      </c>
      <c r="B171">
        <v>0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199</v>
      </c>
      <c r="K171" t="s">
        <v>203</v>
      </c>
      <c r="L171" t="s">
        <v>215</v>
      </c>
      <c r="M171" t="s">
        <v>225</v>
      </c>
      <c r="N171" t="str">
        <f t="shared" si="2"/>
        <v>ZS\&amp;POOL</v>
      </c>
    </row>
    <row r="172" spans="1:14" x14ac:dyDescent="0.25">
      <c r="A172" t="s">
        <v>87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199</v>
      </c>
      <c r="K172" t="s">
        <v>204</v>
      </c>
      <c r="L172" t="s">
        <v>215</v>
      </c>
      <c r="M172" t="s">
        <v>225</v>
      </c>
      <c r="N172" t="str">
        <f t="shared" si="2"/>
        <v>ZSGL</v>
      </c>
    </row>
    <row r="173" spans="1:14" x14ac:dyDescent="0.25">
      <c r="A173" t="s">
        <v>361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199</v>
      </c>
      <c r="K173" t="s">
        <v>239</v>
      </c>
      <c r="L173" t="s">
        <v>215</v>
      </c>
      <c r="M173" t="s">
        <v>225</v>
      </c>
      <c r="N173" t="str">
        <f t="shared" si="2"/>
        <v>BFCS</v>
      </c>
    </row>
    <row r="174" spans="1:14" x14ac:dyDescent="0.25">
      <c r="A174" t="s">
        <v>362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199</v>
      </c>
      <c r="K174" t="s">
        <v>241</v>
      </c>
      <c r="L174" t="s">
        <v>215</v>
      </c>
      <c r="M174" t="s">
        <v>225</v>
      </c>
      <c r="N174" t="str">
        <f t="shared" si="2"/>
        <v>SSSS</v>
      </c>
    </row>
    <row r="175" spans="1:14" x14ac:dyDescent="0.25">
      <c r="A175" t="s">
        <v>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199</v>
      </c>
      <c r="K175" t="s">
        <v>206</v>
      </c>
      <c r="L175" t="s">
        <v>215</v>
      </c>
      <c r="M175" t="s">
        <v>225</v>
      </c>
      <c r="N175" t="str">
        <f t="shared" si="2"/>
        <v>BMS</v>
      </c>
    </row>
    <row r="176" spans="1:14" x14ac:dyDescent="0.25">
      <c r="A176" t="s">
        <v>282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199</v>
      </c>
      <c r="K176" t="s">
        <v>207</v>
      </c>
      <c r="L176" t="s">
        <v>215</v>
      </c>
      <c r="M176" t="s">
        <v>225</v>
      </c>
      <c r="N176" t="str">
        <f t="shared" si="2"/>
        <v>CC</v>
      </c>
    </row>
    <row r="177" spans="1:14" x14ac:dyDescent="0.25">
      <c r="A177" t="s">
        <v>363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199</v>
      </c>
      <c r="K177" t="s">
        <v>233</v>
      </c>
      <c r="L177" t="s">
        <v>215</v>
      </c>
      <c r="M177" t="s">
        <v>225</v>
      </c>
      <c r="N177" t="str">
        <f t="shared" si="2"/>
        <v>POOL</v>
      </c>
    </row>
    <row r="178" spans="1:14" x14ac:dyDescent="0.25">
      <c r="A178" t="s">
        <v>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199</v>
      </c>
      <c r="K178" t="s">
        <v>202</v>
      </c>
      <c r="L178" t="s">
        <v>216</v>
      </c>
      <c r="M178" t="s">
        <v>225</v>
      </c>
      <c r="N178" t="str">
        <f t="shared" si="2"/>
        <v>ZS</v>
      </c>
    </row>
    <row r="179" spans="1:14" x14ac:dyDescent="0.25">
      <c r="A179" t="s">
        <v>90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199</v>
      </c>
      <c r="K179" t="s">
        <v>203</v>
      </c>
      <c r="L179" t="s">
        <v>216</v>
      </c>
      <c r="M179" t="s">
        <v>225</v>
      </c>
      <c r="N179" t="str">
        <f t="shared" si="2"/>
        <v>ZS\&amp;POOL</v>
      </c>
    </row>
    <row r="180" spans="1:14" x14ac:dyDescent="0.25">
      <c r="A180" t="s">
        <v>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199</v>
      </c>
      <c r="K180" t="s">
        <v>204</v>
      </c>
      <c r="L180" t="s">
        <v>216</v>
      </c>
      <c r="M180" t="s">
        <v>225</v>
      </c>
      <c r="N180" t="str">
        <f t="shared" si="2"/>
        <v>ZSGL</v>
      </c>
    </row>
    <row r="181" spans="1:14" x14ac:dyDescent="0.25">
      <c r="A181" t="s">
        <v>364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199</v>
      </c>
      <c r="K181" t="s">
        <v>239</v>
      </c>
      <c r="L181" t="s">
        <v>216</v>
      </c>
      <c r="M181" t="s">
        <v>225</v>
      </c>
      <c r="N181" t="str">
        <f t="shared" si="2"/>
        <v>BFCS</v>
      </c>
    </row>
    <row r="182" spans="1:14" x14ac:dyDescent="0.25">
      <c r="A182" t="s">
        <v>365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199</v>
      </c>
      <c r="K182" t="s">
        <v>241</v>
      </c>
      <c r="L182" t="s">
        <v>216</v>
      </c>
      <c r="M182" t="s">
        <v>225</v>
      </c>
      <c r="N182" t="str">
        <f t="shared" si="2"/>
        <v>SSSS</v>
      </c>
    </row>
    <row r="183" spans="1:14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199</v>
      </c>
      <c r="K183" t="s">
        <v>206</v>
      </c>
      <c r="L183" t="s">
        <v>216</v>
      </c>
      <c r="M183" t="s">
        <v>225</v>
      </c>
      <c r="N183" t="str">
        <f t="shared" si="2"/>
        <v>BMS</v>
      </c>
    </row>
    <row r="184" spans="1:14" x14ac:dyDescent="0.25">
      <c r="A184" t="s">
        <v>283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199</v>
      </c>
      <c r="K184" t="s">
        <v>207</v>
      </c>
      <c r="L184" t="s">
        <v>216</v>
      </c>
      <c r="M184" t="s">
        <v>225</v>
      </c>
      <c r="N184" t="str">
        <f t="shared" si="2"/>
        <v>CC</v>
      </c>
    </row>
    <row r="185" spans="1:14" x14ac:dyDescent="0.25">
      <c r="A185" t="s">
        <v>366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 t="s">
        <v>199</v>
      </c>
      <c r="K185" t="s">
        <v>233</v>
      </c>
      <c r="L185" t="s">
        <v>216</v>
      </c>
      <c r="M185" t="s">
        <v>225</v>
      </c>
      <c r="N185" t="str">
        <f t="shared" si="2"/>
        <v>POOL</v>
      </c>
    </row>
    <row r="186" spans="1:14" x14ac:dyDescent="0.25">
      <c r="A186" t="s">
        <v>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199</v>
      </c>
      <c r="K186" t="s">
        <v>202</v>
      </c>
      <c r="L186" t="s">
        <v>217</v>
      </c>
      <c r="M186" t="s">
        <v>225</v>
      </c>
      <c r="N186" t="str">
        <f t="shared" si="2"/>
        <v>ZS</v>
      </c>
    </row>
    <row r="187" spans="1:14" x14ac:dyDescent="0.25">
      <c r="A187" t="s">
        <v>94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199</v>
      </c>
      <c r="K187" t="s">
        <v>203</v>
      </c>
      <c r="L187" t="s">
        <v>217</v>
      </c>
      <c r="M187" t="s">
        <v>225</v>
      </c>
      <c r="N187" t="str">
        <f t="shared" si="2"/>
        <v>ZS\&amp;POOL</v>
      </c>
    </row>
    <row r="188" spans="1:14" x14ac:dyDescent="0.25">
      <c r="A188" t="s">
        <v>95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 t="s">
        <v>199</v>
      </c>
      <c r="K188" t="s">
        <v>204</v>
      </c>
      <c r="L188" t="s">
        <v>217</v>
      </c>
      <c r="M188" t="s">
        <v>225</v>
      </c>
      <c r="N188" t="str">
        <f t="shared" si="2"/>
        <v>ZSGL</v>
      </c>
    </row>
    <row r="189" spans="1:14" x14ac:dyDescent="0.25">
      <c r="A189" t="s">
        <v>367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199</v>
      </c>
      <c r="K189" t="s">
        <v>239</v>
      </c>
      <c r="L189" t="s">
        <v>217</v>
      </c>
      <c r="M189" t="s">
        <v>225</v>
      </c>
      <c r="N189" t="str">
        <f t="shared" si="2"/>
        <v>BFCS</v>
      </c>
    </row>
    <row r="190" spans="1:14" x14ac:dyDescent="0.25">
      <c r="A190" t="s">
        <v>368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199</v>
      </c>
      <c r="K190" t="s">
        <v>241</v>
      </c>
      <c r="L190" t="s">
        <v>217</v>
      </c>
      <c r="M190" t="s">
        <v>225</v>
      </c>
      <c r="N190" t="str">
        <f t="shared" si="2"/>
        <v>SSSS</v>
      </c>
    </row>
    <row r="191" spans="1:14" x14ac:dyDescent="0.25">
      <c r="A191" t="s">
        <v>96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 t="s">
        <v>199</v>
      </c>
      <c r="K191" t="s">
        <v>206</v>
      </c>
      <c r="L191" t="s">
        <v>217</v>
      </c>
      <c r="M191" t="s">
        <v>225</v>
      </c>
      <c r="N191" t="str">
        <f t="shared" si="2"/>
        <v>BMS</v>
      </c>
    </row>
    <row r="192" spans="1:14" x14ac:dyDescent="0.25">
      <c r="A192" t="s">
        <v>284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199</v>
      </c>
      <c r="K192" t="s">
        <v>207</v>
      </c>
      <c r="L192" t="s">
        <v>217</v>
      </c>
      <c r="M192" t="s">
        <v>225</v>
      </c>
      <c r="N192" t="str">
        <f t="shared" si="2"/>
        <v>CC</v>
      </c>
    </row>
    <row r="193" spans="1:14" x14ac:dyDescent="0.25">
      <c r="A193" t="s">
        <v>369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 t="s">
        <v>199</v>
      </c>
      <c r="K193" t="s">
        <v>233</v>
      </c>
      <c r="L193" t="s">
        <v>217</v>
      </c>
      <c r="M193" t="s">
        <v>225</v>
      </c>
      <c r="N193" t="str">
        <f t="shared" si="2"/>
        <v>POOL</v>
      </c>
    </row>
    <row r="194" spans="1:14" x14ac:dyDescent="0.25">
      <c r="A194" t="s">
        <v>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199</v>
      </c>
      <c r="K194" t="s">
        <v>202</v>
      </c>
      <c r="L194" t="s">
        <v>218</v>
      </c>
      <c r="M194" t="s">
        <v>225</v>
      </c>
      <c r="N194" t="str">
        <f t="shared" ref="N194:N257" si="3">VLOOKUP(K194,modelNames,2,FALSE)</f>
        <v>ZS</v>
      </c>
    </row>
    <row r="195" spans="1:14" x14ac:dyDescent="0.25">
      <c r="A195" t="s">
        <v>98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199</v>
      </c>
      <c r="K195" t="s">
        <v>203</v>
      </c>
      <c r="L195" t="s">
        <v>218</v>
      </c>
      <c r="M195" t="s">
        <v>225</v>
      </c>
      <c r="N195" t="str">
        <f t="shared" si="3"/>
        <v>ZS\&amp;POOL</v>
      </c>
    </row>
    <row r="196" spans="1:14" x14ac:dyDescent="0.25">
      <c r="A196" t="s">
        <v>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199</v>
      </c>
      <c r="K196" t="s">
        <v>204</v>
      </c>
      <c r="L196" t="s">
        <v>218</v>
      </c>
      <c r="M196" t="s">
        <v>225</v>
      </c>
      <c r="N196" t="str">
        <f t="shared" si="3"/>
        <v>ZSGL</v>
      </c>
    </row>
    <row r="197" spans="1:14" x14ac:dyDescent="0.25">
      <c r="A197" t="s">
        <v>370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199</v>
      </c>
      <c r="K197" t="s">
        <v>239</v>
      </c>
      <c r="L197" t="s">
        <v>218</v>
      </c>
      <c r="M197" t="s">
        <v>225</v>
      </c>
      <c r="N197" t="str">
        <f t="shared" si="3"/>
        <v>BFCS</v>
      </c>
    </row>
    <row r="198" spans="1:14" x14ac:dyDescent="0.25">
      <c r="A198" t="s">
        <v>371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199</v>
      </c>
      <c r="K198" t="s">
        <v>241</v>
      </c>
      <c r="L198" t="s">
        <v>218</v>
      </c>
      <c r="M198" t="s">
        <v>225</v>
      </c>
      <c r="N198" t="str">
        <f t="shared" si="3"/>
        <v>SSSS</v>
      </c>
    </row>
    <row r="199" spans="1:14" x14ac:dyDescent="0.25">
      <c r="A199" t="s">
        <v>100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199</v>
      </c>
      <c r="K199" t="s">
        <v>206</v>
      </c>
      <c r="L199" t="s">
        <v>218</v>
      </c>
      <c r="M199" t="s">
        <v>225</v>
      </c>
      <c r="N199" t="str">
        <f t="shared" si="3"/>
        <v>BMS</v>
      </c>
    </row>
    <row r="200" spans="1:14" x14ac:dyDescent="0.25">
      <c r="A200" t="s">
        <v>285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199</v>
      </c>
      <c r="K200" t="s">
        <v>207</v>
      </c>
      <c r="L200" t="s">
        <v>218</v>
      </c>
      <c r="M200" t="s">
        <v>225</v>
      </c>
      <c r="N200" t="str">
        <f t="shared" si="3"/>
        <v>CC</v>
      </c>
    </row>
    <row r="201" spans="1:14" x14ac:dyDescent="0.25">
      <c r="A201" t="s">
        <v>372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199</v>
      </c>
      <c r="K201" t="s">
        <v>233</v>
      </c>
      <c r="L201" t="s">
        <v>218</v>
      </c>
      <c r="M201" t="s">
        <v>225</v>
      </c>
      <c r="N201" t="str">
        <f t="shared" si="3"/>
        <v>POOL</v>
      </c>
    </row>
    <row r="202" spans="1:14" x14ac:dyDescent="0.25">
      <c r="A202" t="s">
        <v>101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199</v>
      </c>
      <c r="K202" t="s">
        <v>202</v>
      </c>
      <c r="L202" t="s">
        <v>219</v>
      </c>
      <c r="M202" t="s">
        <v>225</v>
      </c>
      <c r="N202" t="str">
        <f t="shared" si="3"/>
        <v>ZS</v>
      </c>
    </row>
    <row r="203" spans="1:14" x14ac:dyDescent="0.25">
      <c r="A203" t="s">
        <v>102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 t="s">
        <v>199</v>
      </c>
      <c r="K203" t="s">
        <v>203</v>
      </c>
      <c r="L203" t="s">
        <v>219</v>
      </c>
      <c r="M203" t="s">
        <v>225</v>
      </c>
      <c r="N203" t="str">
        <f t="shared" si="3"/>
        <v>ZS\&amp;POOL</v>
      </c>
    </row>
    <row r="204" spans="1:14" x14ac:dyDescent="0.25">
      <c r="A204" t="s">
        <v>103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199</v>
      </c>
      <c r="K204" t="s">
        <v>204</v>
      </c>
      <c r="L204" t="s">
        <v>219</v>
      </c>
      <c r="M204" t="s">
        <v>225</v>
      </c>
      <c r="N204" t="str">
        <f t="shared" si="3"/>
        <v>ZSGL</v>
      </c>
    </row>
    <row r="205" spans="1:14" x14ac:dyDescent="0.25">
      <c r="A205" t="s">
        <v>373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199</v>
      </c>
      <c r="K205" t="s">
        <v>239</v>
      </c>
      <c r="L205" t="s">
        <v>219</v>
      </c>
      <c r="M205" t="s">
        <v>225</v>
      </c>
      <c r="N205" t="str">
        <f t="shared" si="3"/>
        <v>BFCS</v>
      </c>
    </row>
    <row r="206" spans="1:14" x14ac:dyDescent="0.25">
      <c r="A206" t="s">
        <v>374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199</v>
      </c>
      <c r="K206" t="s">
        <v>241</v>
      </c>
      <c r="L206" t="s">
        <v>219</v>
      </c>
      <c r="M206" t="s">
        <v>225</v>
      </c>
      <c r="N206" t="str">
        <f t="shared" si="3"/>
        <v>SSSS</v>
      </c>
    </row>
    <row r="207" spans="1:14" x14ac:dyDescent="0.25">
      <c r="A207" t="s">
        <v>104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 t="s">
        <v>199</v>
      </c>
      <c r="K207" t="s">
        <v>206</v>
      </c>
      <c r="L207" t="s">
        <v>219</v>
      </c>
      <c r="M207" t="s">
        <v>225</v>
      </c>
      <c r="N207" t="str">
        <f t="shared" si="3"/>
        <v>BMS</v>
      </c>
    </row>
    <row r="208" spans="1:14" x14ac:dyDescent="0.25">
      <c r="A208" t="s">
        <v>286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199</v>
      </c>
      <c r="K208" t="s">
        <v>207</v>
      </c>
      <c r="L208" t="s">
        <v>219</v>
      </c>
      <c r="M208" t="s">
        <v>225</v>
      </c>
      <c r="N208" t="str">
        <f t="shared" si="3"/>
        <v>CC</v>
      </c>
    </row>
    <row r="209" spans="1:14" x14ac:dyDescent="0.25">
      <c r="A209" t="s">
        <v>375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 t="s">
        <v>199</v>
      </c>
      <c r="K209" t="s">
        <v>233</v>
      </c>
      <c r="L209" t="s">
        <v>219</v>
      </c>
      <c r="M209" t="s">
        <v>225</v>
      </c>
      <c r="N209" t="str">
        <f t="shared" si="3"/>
        <v>POOL</v>
      </c>
    </row>
    <row r="210" spans="1:14" x14ac:dyDescent="0.25">
      <c r="A210" t="s">
        <v>105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199</v>
      </c>
      <c r="K210" t="s">
        <v>202</v>
      </c>
      <c r="L210" t="s">
        <v>220</v>
      </c>
      <c r="M210" t="s">
        <v>225</v>
      </c>
      <c r="N210" t="str">
        <f t="shared" si="3"/>
        <v>ZS</v>
      </c>
    </row>
    <row r="211" spans="1:14" x14ac:dyDescent="0.25">
      <c r="A211" t="s">
        <v>106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199</v>
      </c>
      <c r="K211" t="s">
        <v>203</v>
      </c>
      <c r="L211" t="s">
        <v>220</v>
      </c>
      <c r="M211" t="s">
        <v>225</v>
      </c>
      <c r="N211" t="str">
        <f t="shared" si="3"/>
        <v>ZS\&amp;POOL</v>
      </c>
    </row>
    <row r="212" spans="1:14" x14ac:dyDescent="0.25">
      <c r="A212" t="s">
        <v>107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199</v>
      </c>
      <c r="K212" t="s">
        <v>204</v>
      </c>
      <c r="L212" t="s">
        <v>220</v>
      </c>
      <c r="M212" t="s">
        <v>225</v>
      </c>
      <c r="N212" t="str">
        <f t="shared" si="3"/>
        <v>ZSGL</v>
      </c>
    </row>
    <row r="213" spans="1:14" x14ac:dyDescent="0.25">
      <c r="A213" t="s">
        <v>376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199</v>
      </c>
      <c r="K213" t="s">
        <v>239</v>
      </c>
      <c r="L213" t="s">
        <v>220</v>
      </c>
      <c r="M213" t="s">
        <v>225</v>
      </c>
      <c r="N213" t="str">
        <f t="shared" si="3"/>
        <v>BFCS</v>
      </c>
    </row>
    <row r="214" spans="1:14" x14ac:dyDescent="0.25">
      <c r="A214" t="s">
        <v>377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199</v>
      </c>
      <c r="K214" t="s">
        <v>241</v>
      </c>
      <c r="L214" t="s">
        <v>220</v>
      </c>
      <c r="M214" t="s">
        <v>225</v>
      </c>
      <c r="N214" t="str">
        <f t="shared" si="3"/>
        <v>SSSS</v>
      </c>
    </row>
    <row r="215" spans="1:14" x14ac:dyDescent="0.25">
      <c r="A215" t="s">
        <v>108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199</v>
      </c>
      <c r="K215" t="s">
        <v>206</v>
      </c>
      <c r="L215" t="s">
        <v>220</v>
      </c>
      <c r="M215" t="s">
        <v>225</v>
      </c>
      <c r="N215" t="str">
        <f t="shared" si="3"/>
        <v>BMS</v>
      </c>
    </row>
    <row r="216" spans="1:14" x14ac:dyDescent="0.25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199</v>
      </c>
      <c r="K216" t="s">
        <v>207</v>
      </c>
      <c r="L216" t="s">
        <v>220</v>
      </c>
      <c r="M216" t="s">
        <v>225</v>
      </c>
      <c r="N216" t="str">
        <f t="shared" si="3"/>
        <v>CC</v>
      </c>
    </row>
    <row r="217" spans="1:14" x14ac:dyDescent="0.25">
      <c r="A217" t="s">
        <v>378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199</v>
      </c>
      <c r="K217" t="s">
        <v>233</v>
      </c>
      <c r="L217" t="s">
        <v>220</v>
      </c>
      <c r="M217" t="s">
        <v>225</v>
      </c>
      <c r="N217" t="str">
        <f t="shared" si="3"/>
        <v>POOL</v>
      </c>
    </row>
    <row r="218" spans="1:14" x14ac:dyDescent="0.25">
      <c r="A218" t="s">
        <v>109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199</v>
      </c>
      <c r="K218" t="s">
        <v>202</v>
      </c>
      <c r="L218" t="s">
        <v>221</v>
      </c>
      <c r="M218" t="s">
        <v>225</v>
      </c>
      <c r="N218" t="str">
        <f t="shared" si="3"/>
        <v>ZS</v>
      </c>
    </row>
    <row r="219" spans="1:14" x14ac:dyDescent="0.25">
      <c r="A219" t="s">
        <v>110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199</v>
      </c>
      <c r="K219" t="s">
        <v>203</v>
      </c>
      <c r="L219" t="s">
        <v>221</v>
      </c>
      <c r="M219" t="s">
        <v>225</v>
      </c>
      <c r="N219" t="str">
        <f t="shared" si="3"/>
        <v>ZS\&amp;POOL</v>
      </c>
    </row>
    <row r="220" spans="1:14" x14ac:dyDescent="0.25">
      <c r="A220" t="s">
        <v>111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199</v>
      </c>
      <c r="K220" t="s">
        <v>204</v>
      </c>
      <c r="L220" t="s">
        <v>221</v>
      </c>
      <c r="M220" t="s">
        <v>225</v>
      </c>
      <c r="N220" t="str">
        <f t="shared" si="3"/>
        <v>ZSGL</v>
      </c>
    </row>
    <row r="221" spans="1:14" x14ac:dyDescent="0.25">
      <c r="A221" t="s">
        <v>379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199</v>
      </c>
      <c r="K221" t="s">
        <v>239</v>
      </c>
      <c r="L221" t="s">
        <v>221</v>
      </c>
      <c r="M221" t="s">
        <v>225</v>
      </c>
      <c r="N221" t="str">
        <f t="shared" si="3"/>
        <v>BFCS</v>
      </c>
    </row>
    <row r="222" spans="1:14" x14ac:dyDescent="0.25">
      <c r="A222" t="s">
        <v>380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199</v>
      </c>
      <c r="K222" t="s">
        <v>241</v>
      </c>
      <c r="L222" t="s">
        <v>221</v>
      </c>
      <c r="M222" t="s">
        <v>225</v>
      </c>
      <c r="N222" t="str">
        <f t="shared" si="3"/>
        <v>SSSS</v>
      </c>
    </row>
    <row r="223" spans="1:14" x14ac:dyDescent="0.25">
      <c r="A223" t="s">
        <v>112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199</v>
      </c>
      <c r="K223" t="s">
        <v>206</v>
      </c>
      <c r="L223" t="s">
        <v>221</v>
      </c>
      <c r="M223" t="s">
        <v>225</v>
      </c>
      <c r="N223" t="str">
        <f t="shared" si="3"/>
        <v>BMS</v>
      </c>
    </row>
    <row r="224" spans="1:14" x14ac:dyDescent="0.25">
      <c r="A224" t="s">
        <v>288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199</v>
      </c>
      <c r="K224" t="s">
        <v>207</v>
      </c>
      <c r="L224" t="s">
        <v>221</v>
      </c>
      <c r="M224" t="s">
        <v>225</v>
      </c>
      <c r="N224" t="str">
        <f t="shared" si="3"/>
        <v>CC</v>
      </c>
    </row>
    <row r="225" spans="1:14" x14ac:dyDescent="0.25">
      <c r="A225" t="s">
        <v>381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199</v>
      </c>
      <c r="K225" t="s">
        <v>233</v>
      </c>
      <c r="L225" t="s">
        <v>221</v>
      </c>
      <c r="M225" t="s">
        <v>225</v>
      </c>
      <c r="N225" t="str">
        <f t="shared" si="3"/>
        <v>POOL</v>
      </c>
    </row>
    <row r="226" spans="1:14" x14ac:dyDescent="0.25">
      <c r="A226" t="s">
        <v>113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199</v>
      </c>
      <c r="K226" t="s">
        <v>202</v>
      </c>
      <c r="L226" t="s">
        <v>222</v>
      </c>
      <c r="M226" t="s">
        <v>225</v>
      </c>
      <c r="N226" t="str">
        <f t="shared" si="3"/>
        <v>ZS</v>
      </c>
    </row>
    <row r="227" spans="1:14" x14ac:dyDescent="0.25">
      <c r="A227" t="s">
        <v>114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199</v>
      </c>
      <c r="K227" t="s">
        <v>203</v>
      </c>
      <c r="L227" t="s">
        <v>222</v>
      </c>
      <c r="M227" t="s">
        <v>225</v>
      </c>
      <c r="N227" t="str">
        <f t="shared" si="3"/>
        <v>ZS\&amp;POOL</v>
      </c>
    </row>
    <row r="228" spans="1:14" x14ac:dyDescent="0.25">
      <c r="A228" t="s">
        <v>115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199</v>
      </c>
      <c r="K228" t="s">
        <v>204</v>
      </c>
      <c r="L228" t="s">
        <v>222</v>
      </c>
      <c r="M228" t="s">
        <v>225</v>
      </c>
      <c r="N228" t="str">
        <f t="shared" si="3"/>
        <v>ZSGL</v>
      </c>
    </row>
    <row r="229" spans="1:14" x14ac:dyDescent="0.25">
      <c r="A229" t="s">
        <v>382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199</v>
      </c>
      <c r="K229" t="s">
        <v>239</v>
      </c>
      <c r="L229" t="s">
        <v>222</v>
      </c>
      <c r="M229" t="s">
        <v>225</v>
      </c>
      <c r="N229" t="str">
        <f t="shared" si="3"/>
        <v>BFCS</v>
      </c>
    </row>
    <row r="230" spans="1:14" x14ac:dyDescent="0.25">
      <c r="A230" t="s">
        <v>383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199</v>
      </c>
      <c r="K230" t="s">
        <v>241</v>
      </c>
      <c r="L230" t="s">
        <v>222</v>
      </c>
      <c r="M230" t="s">
        <v>225</v>
      </c>
      <c r="N230" t="str">
        <f t="shared" si="3"/>
        <v>SSSS</v>
      </c>
    </row>
    <row r="231" spans="1:14" x14ac:dyDescent="0.25">
      <c r="A231" t="s">
        <v>116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199</v>
      </c>
      <c r="K231" t="s">
        <v>206</v>
      </c>
      <c r="L231" t="s">
        <v>222</v>
      </c>
      <c r="M231" t="s">
        <v>225</v>
      </c>
      <c r="N231" t="str">
        <f t="shared" si="3"/>
        <v>BMS</v>
      </c>
    </row>
    <row r="232" spans="1:14" x14ac:dyDescent="0.25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 t="s">
        <v>199</v>
      </c>
      <c r="K232" t="s">
        <v>207</v>
      </c>
      <c r="L232" t="s">
        <v>222</v>
      </c>
      <c r="M232" t="s">
        <v>225</v>
      </c>
      <c r="N232" t="str">
        <f t="shared" si="3"/>
        <v>CC</v>
      </c>
    </row>
    <row r="233" spans="1:14" x14ac:dyDescent="0.25">
      <c r="A233" t="s">
        <v>384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199</v>
      </c>
      <c r="K233" t="s">
        <v>233</v>
      </c>
      <c r="L233" t="s">
        <v>222</v>
      </c>
      <c r="M233" t="s">
        <v>225</v>
      </c>
      <c r="N233" t="str">
        <f t="shared" si="3"/>
        <v>POOL</v>
      </c>
    </row>
    <row r="234" spans="1:14" x14ac:dyDescent="0.25">
      <c r="A234" t="s">
        <v>117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199</v>
      </c>
      <c r="K234" t="s">
        <v>202</v>
      </c>
      <c r="L234" t="s">
        <v>223</v>
      </c>
      <c r="M234" t="s">
        <v>225</v>
      </c>
      <c r="N234" t="str">
        <f t="shared" si="3"/>
        <v>ZS</v>
      </c>
    </row>
    <row r="235" spans="1:14" x14ac:dyDescent="0.25">
      <c r="A235" t="s">
        <v>118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199</v>
      </c>
      <c r="K235" t="s">
        <v>203</v>
      </c>
      <c r="L235" t="s">
        <v>223</v>
      </c>
      <c r="M235" t="s">
        <v>225</v>
      </c>
      <c r="N235" t="str">
        <f t="shared" si="3"/>
        <v>ZS\&amp;POOL</v>
      </c>
    </row>
    <row r="236" spans="1:14" x14ac:dyDescent="0.25">
      <c r="A236" t="s">
        <v>119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199</v>
      </c>
      <c r="K236" t="s">
        <v>204</v>
      </c>
      <c r="L236" t="s">
        <v>223</v>
      </c>
      <c r="M236" t="s">
        <v>225</v>
      </c>
      <c r="N236" t="str">
        <f t="shared" si="3"/>
        <v>ZSGL</v>
      </c>
    </row>
    <row r="237" spans="1:14" x14ac:dyDescent="0.25">
      <c r="A237" t="s">
        <v>385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199</v>
      </c>
      <c r="K237" t="s">
        <v>239</v>
      </c>
      <c r="L237" t="s">
        <v>223</v>
      </c>
      <c r="M237" t="s">
        <v>225</v>
      </c>
      <c r="N237" t="str">
        <f t="shared" si="3"/>
        <v>BFCS</v>
      </c>
    </row>
    <row r="238" spans="1:14" x14ac:dyDescent="0.25">
      <c r="A238" t="s">
        <v>386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1</v>
      </c>
      <c r="J238" t="s">
        <v>199</v>
      </c>
      <c r="K238" t="s">
        <v>241</v>
      </c>
      <c r="L238" t="s">
        <v>223</v>
      </c>
      <c r="M238" t="s">
        <v>225</v>
      </c>
      <c r="N238" t="str">
        <f t="shared" si="3"/>
        <v>SSSS</v>
      </c>
    </row>
    <row r="239" spans="1:14" x14ac:dyDescent="0.25">
      <c r="A239" t="s">
        <v>120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1</v>
      </c>
      <c r="J239" t="s">
        <v>199</v>
      </c>
      <c r="K239" t="s">
        <v>206</v>
      </c>
      <c r="L239" t="s">
        <v>223</v>
      </c>
      <c r="M239" t="s">
        <v>225</v>
      </c>
      <c r="N239" t="str">
        <f t="shared" si="3"/>
        <v>BMS</v>
      </c>
    </row>
    <row r="240" spans="1:14" x14ac:dyDescent="0.25">
      <c r="A240" t="s">
        <v>290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199</v>
      </c>
      <c r="K240" t="s">
        <v>207</v>
      </c>
      <c r="L240" t="s">
        <v>223</v>
      </c>
      <c r="M240" t="s">
        <v>225</v>
      </c>
      <c r="N240" t="str">
        <f t="shared" si="3"/>
        <v>CC</v>
      </c>
    </row>
    <row r="241" spans="1:14" x14ac:dyDescent="0.25">
      <c r="A241" t="s">
        <v>387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199</v>
      </c>
      <c r="K241" t="s">
        <v>233</v>
      </c>
      <c r="L241" t="s">
        <v>223</v>
      </c>
      <c r="M241" t="s">
        <v>225</v>
      </c>
      <c r="N241" t="str">
        <f t="shared" si="3"/>
        <v>POOL</v>
      </c>
    </row>
    <row r="242" spans="1:14" x14ac:dyDescent="0.25">
      <c r="A242" t="s">
        <v>121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200</v>
      </c>
      <c r="K242" t="s">
        <v>202</v>
      </c>
      <c r="L242" t="s">
        <v>209</v>
      </c>
      <c r="M242" t="s">
        <v>225</v>
      </c>
      <c r="N242" t="str">
        <f t="shared" si="3"/>
        <v>ZS</v>
      </c>
    </row>
    <row r="243" spans="1:14" x14ac:dyDescent="0.25">
      <c r="A243" t="s">
        <v>122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200</v>
      </c>
      <c r="K243" t="s">
        <v>203</v>
      </c>
      <c r="L243" t="s">
        <v>209</v>
      </c>
      <c r="M243" t="s">
        <v>225</v>
      </c>
      <c r="N243" t="str">
        <f t="shared" si="3"/>
        <v>ZS\&amp;POOL</v>
      </c>
    </row>
    <row r="244" spans="1:14" x14ac:dyDescent="0.25">
      <c r="A244" t="s">
        <v>123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200</v>
      </c>
      <c r="K244" t="s">
        <v>204</v>
      </c>
      <c r="L244" t="s">
        <v>209</v>
      </c>
      <c r="M244" t="s">
        <v>225</v>
      </c>
      <c r="N244" t="str">
        <f t="shared" si="3"/>
        <v>ZSGL</v>
      </c>
    </row>
    <row r="245" spans="1:14" x14ac:dyDescent="0.2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 t="s">
        <v>200</v>
      </c>
      <c r="K245" t="s">
        <v>239</v>
      </c>
      <c r="L245" t="s">
        <v>209</v>
      </c>
      <c r="M245" t="s">
        <v>225</v>
      </c>
      <c r="N245" t="str">
        <f t="shared" si="3"/>
        <v>BFCS</v>
      </c>
    </row>
    <row r="246" spans="1:14" x14ac:dyDescent="0.2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 t="s">
        <v>200</v>
      </c>
      <c r="K246" t="s">
        <v>241</v>
      </c>
      <c r="L246" t="s">
        <v>209</v>
      </c>
      <c r="M246" t="s">
        <v>225</v>
      </c>
      <c r="N246" t="str">
        <f t="shared" si="3"/>
        <v>SSSS</v>
      </c>
    </row>
    <row r="247" spans="1:14" x14ac:dyDescent="0.25">
      <c r="A247" t="s">
        <v>124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 t="s">
        <v>200</v>
      </c>
      <c r="K247" t="s">
        <v>206</v>
      </c>
      <c r="L247" t="s">
        <v>209</v>
      </c>
      <c r="M247" t="s">
        <v>225</v>
      </c>
      <c r="N247" t="str">
        <f t="shared" si="3"/>
        <v>BMS</v>
      </c>
    </row>
    <row r="248" spans="1:14" x14ac:dyDescent="0.25">
      <c r="A248" t="s">
        <v>291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200</v>
      </c>
      <c r="K248" t="s">
        <v>207</v>
      </c>
      <c r="L248" t="s">
        <v>209</v>
      </c>
      <c r="M248" t="s">
        <v>225</v>
      </c>
      <c r="N248" t="str">
        <f t="shared" si="3"/>
        <v>CC</v>
      </c>
    </row>
    <row r="249" spans="1:14" x14ac:dyDescent="0.25">
      <c r="A249" t="s">
        <v>390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  <c r="J249" t="s">
        <v>200</v>
      </c>
      <c r="K249" t="s">
        <v>233</v>
      </c>
      <c r="L249" t="s">
        <v>209</v>
      </c>
      <c r="M249" t="s">
        <v>225</v>
      </c>
      <c r="N249" t="str">
        <f t="shared" si="3"/>
        <v>POOL</v>
      </c>
    </row>
    <row r="250" spans="1:14" x14ac:dyDescent="0.25">
      <c r="A250" t="s">
        <v>125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200</v>
      </c>
      <c r="K250" t="s">
        <v>202</v>
      </c>
      <c r="L250" t="s">
        <v>210</v>
      </c>
      <c r="M250" t="s">
        <v>225</v>
      </c>
      <c r="N250" t="str">
        <f t="shared" si="3"/>
        <v>ZS</v>
      </c>
    </row>
    <row r="251" spans="1:14" x14ac:dyDescent="0.25">
      <c r="A251" t="s">
        <v>126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200</v>
      </c>
      <c r="K251" t="s">
        <v>203</v>
      </c>
      <c r="L251" t="s">
        <v>210</v>
      </c>
      <c r="M251" t="s">
        <v>225</v>
      </c>
      <c r="N251" t="str">
        <f t="shared" si="3"/>
        <v>ZS\&amp;POOL</v>
      </c>
    </row>
    <row r="252" spans="1:14" x14ac:dyDescent="0.25">
      <c r="A252" t="s">
        <v>127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200</v>
      </c>
      <c r="K252" t="s">
        <v>204</v>
      </c>
      <c r="L252" t="s">
        <v>210</v>
      </c>
      <c r="M252" t="s">
        <v>225</v>
      </c>
      <c r="N252" t="str">
        <f t="shared" si="3"/>
        <v>ZSGL</v>
      </c>
    </row>
    <row r="253" spans="1:14" x14ac:dyDescent="0.25">
      <c r="A253" t="s">
        <v>391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200</v>
      </c>
      <c r="K253" t="s">
        <v>239</v>
      </c>
      <c r="L253" t="s">
        <v>210</v>
      </c>
      <c r="M253" t="s">
        <v>225</v>
      </c>
      <c r="N253" t="str">
        <f t="shared" si="3"/>
        <v>BFCS</v>
      </c>
    </row>
    <row r="254" spans="1:14" x14ac:dyDescent="0.25">
      <c r="A254" t="s">
        <v>392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200</v>
      </c>
      <c r="K254" t="s">
        <v>241</v>
      </c>
      <c r="L254" t="s">
        <v>210</v>
      </c>
      <c r="M254" t="s">
        <v>225</v>
      </c>
      <c r="N254" t="str">
        <f t="shared" si="3"/>
        <v>SSSS</v>
      </c>
    </row>
    <row r="255" spans="1:14" x14ac:dyDescent="0.25">
      <c r="A255" t="s">
        <v>128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200</v>
      </c>
      <c r="K255" t="s">
        <v>206</v>
      </c>
      <c r="L255" t="s">
        <v>210</v>
      </c>
      <c r="M255" t="s">
        <v>225</v>
      </c>
      <c r="N255" t="str">
        <f t="shared" si="3"/>
        <v>BMS</v>
      </c>
    </row>
    <row r="256" spans="1:14" x14ac:dyDescent="0.25">
      <c r="A256" t="s">
        <v>292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200</v>
      </c>
      <c r="K256" t="s">
        <v>207</v>
      </c>
      <c r="L256" t="s">
        <v>210</v>
      </c>
      <c r="M256" t="s">
        <v>225</v>
      </c>
      <c r="N256" t="str">
        <f t="shared" si="3"/>
        <v>CC</v>
      </c>
    </row>
    <row r="257" spans="1:14" x14ac:dyDescent="0.25">
      <c r="A257" t="s">
        <v>393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200</v>
      </c>
      <c r="K257" t="s">
        <v>233</v>
      </c>
      <c r="L257" t="s">
        <v>210</v>
      </c>
      <c r="M257" t="s">
        <v>225</v>
      </c>
      <c r="N257" t="str">
        <f t="shared" si="3"/>
        <v>POOL</v>
      </c>
    </row>
    <row r="258" spans="1:14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200</v>
      </c>
      <c r="K258" t="s">
        <v>202</v>
      </c>
      <c r="L258" t="s">
        <v>211</v>
      </c>
      <c r="M258" t="s">
        <v>225</v>
      </c>
      <c r="N258" t="str">
        <f t="shared" ref="N258:N321" si="4">VLOOKUP(K258,modelNames,2,FALSE)</f>
        <v>ZS</v>
      </c>
    </row>
    <row r="259" spans="1:14" x14ac:dyDescent="0.25">
      <c r="A259" t="s">
        <v>130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200</v>
      </c>
      <c r="K259" t="s">
        <v>203</v>
      </c>
      <c r="L259" t="s">
        <v>211</v>
      </c>
      <c r="M259" t="s">
        <v>225</v>
      </c>
      <c r="N259" t="str">
        <f t="shared" si="4"/>
        <v>ZS\&amp;POOL</v>
      </c>
    </row>
    <row r="260" spans="1:14" x14ac:dyDescent="0.25">
      <c r="A260" t="s">
        <v>131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200</v>
      </c>
      <c r="K260" t="s">
        <v>204</v>
      </c>
      <c r="L260" t="s">
        <v>211</v>
      </c>
      <c r="M260" t="s">
        <v>225</v>
      </c>
      <c r="N260" t="str">
        <f t="shared" si="4"/>
        <v>ZSGL</v>
      </c>
    </row>
    <row r="261" spans="1:14" x14ac:dyDescent="0.25">
      <c r="A261" t="s">
        <v>394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200</v>
      </c>
      <c r="K261" t="s">
        <v>239</v>
      </c>
      <c r="L261" t="s">
        <v>211</v>
      </c>
      <c r="M261" t="s">
        <v>225</v>
      </c>
      <c r="N261" t="str">
        <f t="shared" si="4"/>
        <v>BFCS</v>
      </c>
    </row>
    <row r="262" spans="1:14" x14ac:dyDescent="0.25">
      <c r="A262" t="s">
        <v>395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200</v>
      </c>
      <c r="K262" t="s">
        <v>241</v>
      </c>
      <c r="L262" t="s">
        <v>211</v>
      </c>
      <c r="M262" t="s">
        <v>225</v>
      </c>
      <c r="N262" t="str">
        <f t="shared" si="4"/>
        <v>SSSS</v>
      </c>
    </row>
    <row r="263" spans="1:14" x14ac:dyDescent="0.25">
      <c r="A263" t="s">
        <v>132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200</v>
      </c>
      <c r="K263" t="s">
        <v>206</v>
      </c>
      <c r="L263" t="s">
        <v>211</v>
      </c>
      <c r="M263" t="s">
        <v>225</v>
      </c>
      <c r="N263" t="str">
        <f t="shared" si="4"/>
        <v>BMS</v>
      </c>
    </row>
    <row r="264" spans="1:14" x14ac:dyDescent="0.25">
      <c r="A264" t="s">
        <v>293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200</v>
      </c>
      <c r="K264" t="s">
        <v>207</v>
      </c>
      <c r="L264" t="s">
        <v>211</v>
      </c>
      <c r="M264" t="s">
        <v>225</v>
      </c>
      <c r="N264" t="str">
        <f t="shared" si="4"/>
        <v>CC</v>
      </c>
    </row>
    <row r="265" spans="1:14" x14ac:dyDescent="0.25">
      <c r="A265" t="s">
        <v>396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200</v>
      </c>
      <c r="K265" t="s">
        <v>233</v>
      </c>
      <c r="L265" t="s">
        <v>211</v>
      </c>
      <c r="M265" t="s">
        <v>225</v>
      </c>
      <c r="N265" t="str">
        <f t="shared" si="4"/>
        <v>POOL</v>
      </c>
    </row>
    <row r="266" spans="1:14" x14ac:dyDescent="0.25">
      <c r="A266" t="s">
        <v>133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200</v>
      </c>
      <c r="K266" t="s">
        <v>202</v>
      </c>
      <c r="L266" t="s">
        <v>212</v>
      </c>
      <c r="M266" t="s">
        <v>225</v>
      </c>
      <c r="N266" t="str">
        <f t="shared" si="4"/>
        <v>ZS</v>
      </c>
    </row>
    <row r="267" spans="1:14" x14ac:dyDescent="0.25">
      <c r="A267" t="s">
        <v>134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200</v>
      </c>
      <c r="K267" t="s">
        <v>203</v>
      </c>
      <c r="L267" t="s">
        <v>212</v>
      </c>
      <c r="M267" t="s">
        <v>225</v>
      </c>
      <c r="N267" t="str">
        <f t="shared" si="4"/>
        <v>ZS\&amp;POOL</v>
      </c>
    </row>
    <row r="268" spans="1:14" x14ac:dyDescent="0.25">
      <c r="A268" t="s">
        <v>135</v>
      </c>
      <c r="B268">
        <v>0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0</v>
      </c>
      <c r="J268" t="s">
        <v>200</v>
      </c>
      <c r="K268" t="s">
        <v>204</v>
      </c>
      <c r="L268" t="s">
        <v>212</v>
      </c>
      <c r="M268" t="s">
        <v>225</v>
      </c>
      <c r="N268" t="str">
        <f t="shared" si="4"/>
        <v>ZSGL</v>
      </c>
    </row>
    <row r="269" spans="1:14" x14ac:dyDescent="0.25">
      <c r="A269" t="s">
        <v>397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200</v>
      </c>
      <c r="K269" t="s">
        <v>239</v>
      </c>
      <c r="L269" t="s">
        <v>212</v>
      </c>
      <c r="M269" t="s">
        <v>225</v>
      </c>
      <c r="N269" t="str">
        <f t="shared" si="4"/>
        <v>BFCS</v>
      </c>
    </row>
    <row r="270" spans="1:14" x14ac:dyDescent="0.25">
      <c r="A270" t="s">
        <v>398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 t="s">
        <v>200</v>
      </c>
      <c r="K270" t="s">
        <v>241</v>
      </c>
      <c r="L270" t="s">
        <v>212</v>
      </c>
      <c r="M270" t="s">
        <v>225</v>
      </c>
      <c r="N270" t="str">
        <f t="shared" si="4"/>
        <v>SSSS</v>
      </c>
    </row>
    <row r="271" spans="1:14" x14ac:dyDescent="0.25">
      <c r="A271" t="s">
        <v>136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200</v>
      </c>
      <c r="K271" t="s">
        <v>206</v>
      </c>
      <c r="L271" t="s">
        <v>212</v>
      </c>
      <c r="M271" t="s">
        <v>225</v>
      </c>
      <c r="N271" t="str">
        <f t="shared" si="4"/>
        <v>BMS</v>
      </c>
    </row>
    <row r="272" spans="1:14" x14ac:dyDescent="0.25">
      <c r="A272" t="s">
        <v>294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200</v>
      </c>
      <c r="K272" t="s">
        <v>207</v>
      </c>
      <c r="L272" t="s">
        <v>212</v>
      </c>
      <c r="M272" t="s">
        <v>225</v>
      </c>
      <c r="N272" t="str">
        <f t="shared" si="4"/>
        <v>CC</v>
      </c>
    </row>
    <row r="273" spans="1:14" x14ac:dyDescent="0.25">
      <c r="A273" t="s">
        <v>399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0</v>
      </c>
      <c r="J273" t="s">
        <v>200</v>
      </c>
      <c r="K273" t="s">
        <v>233</v>
      </c>
      <c r="L273" t="s">
        <v>212</v>
      </c>
      <c r="M273" t="s">
        <v>225</v>
      </c>
      <c r="N273" t="str">
        <f t="shared" si="4"/>
        <v>POOL</v>
      </c>
    </row>
    <row r="274" spans="1:14" x14ac:dyDescent="0.25">
      <c r="A274" t="s">
        <v>137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200</v>
      </c>
      <c r="K274" t="s">
        <v>202</v>
      </c>
      <c r="L274" t="s">
        <v>213</v>
      </c>
      <c r="M274" t="s">
        <v>225</v>
      </c>
      <c r="N274" t="str">
        <f t="shared" si="4"/>
        <v>ZS</v>
      </c>
    </row>
    <row r="275" spans="1:14" x14ac:dyDescent="0.25">
      <c r="A275" t="s">
        <v>138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</v>
      </c>
      <c r="J275" t="s">
        <v>200</v>
      </c>
      <c r="K275" t="s">
        <v>203</v>
      </c>
      <c r="L275" t="s">
        <v>213</v>
      </c>
      <c r="M275" t="s">
        <v>225</v>
      </c>
      <c r="N275" t="str">
        <f t="shared" si="4"/>
        <v>ZS\&amp;POOL</v>
      </c>
    </row>
    <row r="276" spans="1:14" x14ac:dyDescent="0.25">
      <c r="A276" t="s">
        <v>139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200</v>
      </c>
      <c r="K276" t="s">
        <v>204</v>
      </c>
      <c r="L276" t="s">
        <v>213</v>
      </c>
      <c r="M276" t="s">
        <v>225</v>
      </c>
      <c r="N276" t="str">
        <f t="shared" si="4"/>
        <v>ZSGL</v>
      </c>
    </row>
    <row r="277" spans="1:14" x14ac:dyDescent="0.25">
      <c r="A277" t="s">
        <v>400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200</v>
      </c>
      <c r="K277" t="s">
        <v>239</v>
      </c>
      <c r="L277" t="s">
        <v>213</v>
      </c>
      <c r="M277" t="s">
        <v>225</v>
      </c>
      <c r="N277" t="str">
        <f t="shared" si="4"/>
        <v>BFCS</v>
      </c>
    </row>
    <row r="278" spans="1:14" x14ac:dyDescent="0.25">
      <c r="A278" t="s">
        <v>401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 t="s">
        <v>200</v>
      </c>
      <c r="K278" t="s">
        <v>241</v>
      </c>
      <c r="L278" t="s">
        <v>213</v>
      </c>
      <c r="M278" t="s">
        <v>225</v>
      </c>
      <c r="N278" t="str">
        <f t="shared" si="4"/>
        <v>SSSS</v>
      </c>
    </row>
    <row r="279" spans="1:14" x14ac:dyDescent="0.25">
      <c r="A279" t="s">
        <v>140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 t="s">
        <v>200</v>
      </c>
      <c r="K279" t="s">
        <v>206</v>
      </c>
      <c r="L279" t="s">
        <v>213</v>
      </c>
      <c r="M279" t="s">
        <v>225</v>
      </c>
      <c r="N279" t="str">
        <f t="shared" si="4"/>
        <v>BMS</v>
      </c>
    </row>
    <row r="280" spans="1:14" x14ac:dyDescent="0.25">
      <c r="A280" t="s">
        <v>295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200</v>
      </c>
      <c r="K280" t="s">
        <v>207</v>
      </c>
      <c r="L280" t="s">
        <v>213</v>
      </c>
      <c r="M280" t="s">
        <v>225</v>
      </c>
      <c r="N280" t="str">
        <f t="shared" si="4"/>
        <v>CC</v>
      </c>
    </row>
    <row r="281" spans="1:14" x14ac:dyDescent="0.25">
      <c r="A281" t="s">
        <v>402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200</v>
      </c>
      <c r="K281" t="s">
        <v>233</v>
      </c>
      <c r="L281" t="s">
        <v>213</v>
      </c>
      <c r="M281" t="s">
        <v>225</v>
      </c>
      <c r="N281" t="str">
        <f t="shared" si="4"/>
        <v>POOL</v>
      </c>
    </row>
    <row r="282" spans="1:14" x14ac:dyDescent="0.25">
      <c r="A282" t="s">
        <v>141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200</v>
      </c>
      <c r="K282" t="s">
        <v>202</v>
      </c>
      <c r="L282" t="s">
        <v>214</v>
      </c>
      <c r="M282" t="s">
        <v>225</v>
      </c>
      <c r="N282" t="str">
        <f t="shared" si="4"/>
        <v>ZS</v>
      </c>
    </row>
    <row r="283" spans="1:14" x14ac:dyDescent="0.25">
      <c r="A283" t="s">
        <v>142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200</v>
      </c>
      <c r="K283" t="s">
        <v>203</v>
      </c>
      <c r="L283" t="s">
        <v>214</v>
      </c>
      <c r="M283" t="s">
        <v>225</v>
      </c>
      <c r="N283" t="str">
        <f t="shared" si="4"/>
        <v>ZS\&amp;POOL</v>
      </c>
    </row>
    <row r="284" spans="1:14" x14ac:dyDescent="0.25">
      <c r="A284" t="s">
        <v>143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1</v>
      </c>
      <c r="J284" t="s">
        <v>200</v>
      </c>
      <c r="K284" t="s">
        <v>204</v>
      </c>
      <c r="L284" t="s">
        <v>214</v>
      </c>
      <c r="M284" t="s">
        <v>225</v>
      </c>
      <c r="N284" t="str">
        <f t="shared" si="4"/>
        <v>ZSGL</v>
      </c>
    </row>
    <row r="285" spans="1:14" x14ac:dyDescent="0.25">
      <c r="A285" t="s">
        <v>403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200</v>
      </c>
      <c r="K285" t="s">
        <v>239</v>
      </c>
      <c r="L285" t="s">
        <v>214</v>
      </c>
      <c r="M285" t="s">
        <v>225</v>
      </c>
      <c r="N285" t="str">
        <f t="shared" si="4"/>
        <v>BFCS</v>
      </c>
    </row>
    <row r="286" spans="1:14" x14ac:dyDescent="0.25">
      <c r="A286" t="s">
        <v>404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 t="s">
        <v>200</v>
      </c>
      <c r="K286" t="s">
        <v>241</v>
      </c>
      <c r="L286" t="s">
        <v>214</v>
      </c>
      <c r="M286" t="s">
        <v>225</v>
      </c>
      <c r="N286" t="str">
        <f t="shared" si="4"/>
        <v>SSSS</v>
      </c>
    </row>
    <row r="287" spans="1:14" x14ac:dyDescent="0.25">
      <c r="A287" t="s">
        <v>144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 t="s">
        <v>200</v>
      </c>
      <c r="K287" t="s">
        <v>206</v>
      </c>
      <c r="L287" t="s">
        <v>214</v>
      </c>
      <c r="M287" t="s">
        <v>225</v>
      </c>
      <c r="N287" t="str">
        <f t="shared" si="4"/>
        <v>BMS</v>
      </c>
    </row>
    <row r="288" spans="1:14" x14ac:dyDescent="0.25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200</v>
      </c>
      <c r="K288" t="s">
        <v>207</v>
      </c>
      <c r="L288" t="s">
        <v>214</v>
      </c>
      <c r="M288" t="s">
        <v>225</v>
      </c>
      <c r="N288" t="str">
        <f t="shared" si="4"/>
        <v>CC</v>
      </c>
    </row>
    <row r="289" spans="1:14" x14ac:dyDescent="0.25">
      <c r="A289" t="s">
        <v>405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200</v>
      </c>
      <c r="K289" t="s">
        <v>233</v>
      </c>
      <c r="L289" t="s">
        <v>214</v>
      </c>
      <c r="M289" t="s">
        <v>225</v>
      </c>
      <c r="N289" t="str">
        <f t="shared" si="4"/>
        <v>POOL</v>
      </c>
    </row>
    <row r="290" spans="1:14" x14ac:dyDescent="0.25">
      <c r="A290" t="s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200</v>
      </c>
      <c r="K290" t="s">
        <v>202</v>
      </c>
      <c r="L290" t="s">
        <v>215</v>
      </c>
      <c r="M290" t="s">
        <v>225</v>
      </c>
      <c r="N290" t="str">
        <f t="shared" si="4"/>
        <v>ZS</v>
      </c>
    </row>
    <row r="291" spans="1:14" x14ac:dyDescent="0.25">
      <c r="A291" t="s">
        <v>146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200</v>
      </c>
      <c r="K291" t="s">
        <v>203</v>
      </c>
      <c r="L291" t="s">
        <v>215</v>
      </c>
      <c r="M291" t="s">
        <v>225</v>
      </c>
      <c r="N291" t="str">
        <f t="shared" si="4"/>
        <v>ZS\&amp;POOL</v>
      </c>
    </row>
    <row r="292" spans="1:14" x14ac:dyDescent="0.25">
      <c r="A292" t="s">
        <v>147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200</v>
      </c>
      <c r="K292" t="s">
        <v>204</v>
      </c>
      <c r="L292" t="s">
        <v>215</v>
      </c>
      <c r="M292" t="s">
        <v>225</v>
      </c>
      <c r="N292" t="str">
        <f t="shared" si="4"/>
        <v>ZSGL</v>
      </c>
    </row>
    <row r="293" spans="1:14" x14ac:dyDescent="0.25">
      <c r="A293" t="s">
        <v>406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 t="s">
        <v>200</v>
      </c>
      <c r="K293" t="s">
        <v>239</v>
      </c>
      <c r="L293" t="s">
        <v>215</v>
      </c>
      <c r="M293" t="s">
        <v>225</v>
      </c>
      <c r="N293" t="str">
        <f t="shared" si="4"/>
        <v>BFCS</v>
      </c>
    </row>
    <row r="294" spans="1:14" x14ac:dyDescent="0.25">
      <c r="A294" t="s">
        <v>407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200</v>
      </c>
      <c r="K294" t="s">
        <v>241</v>
      </c>
      <c r="L294" t="s">
        <v>215</v>
      </c>
      <c r="M294" t="s">
        <v>225</v>
      </c>
      <c r="N294" t="str">
        <f t="shared" si="4"/>
        <v>SSSS</v>
      </c>
    </row>
    <row r="295" spans="1:14" x14ac:dyDescent="0.25">
      <c r="A295" t="s">
        <v>148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 t="s">
        <v>200</v>
      </c>
      <c r="K295" t="s">
        <v>206</v>
      </c>
      <c r="L295" t="s">
        <v>215</v>
      </c>
      <c r="M295" t="s">
        <v>225</v>
      </c>
      <c r="N295" t="str">
        <f t="shared" si="4"/>
        <v>BMS</v>
      </c>
    </row>
    <row r="296" spans="1:14" x14ac:dyDescent="0.25">
      <c r="A296" t="s">
        <v>297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200</v>
      </c>
      <c r="K296" t="s">
        <v>207</v>
      </c>
      <c r="L296" t="s">
        <v>215</v>
      </c>
      <c r="M296" t="s">
        <v>225</v>
      </c>
      <c r="N296" t="str">
        <f t="shared" si="4"/>
        <v>CC</v>
      </c>
    </row>
    <row r="297" spans="1:14" x14ac:dyDescent="0.25">
      <c r="A297" t="s">
        <v>408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200</v>
      </c>
      <c r="K297" t="s">
        <v>233</v>
      </c>
      <c r="L297" t="s">
        <v>215</v>
      </c>
      <c r="M297" t="s">
        <v>225</v>
      </c>
      <c r="N297" t="str">
        <f t="shared" si="4"/>
        <v>POOL</v>
      </c>
    </row>
    <row r="298" spans="1:14" x14ac:dyDescent="0.25">
      <c r="A298" t="s">
        <v>149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200</v>
      </c>
      <c r="K298" t="s">
        <v>202</v>
      </c>
      <c r="L298" t="s">
        <v>216</v>
      </c>
      <c r="M298" t="s">
        <v>225</v>
      </c>
      <c r="N298" t="str">
        <f t="shared" si="4"/>
        <v>ZS</v>
      </c>
    </row>
    <row r="299" spans="1:14" x14ac:dyDescent="0.25">
      <c r="A299" t="s">
        <v>150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200</v>
      </c>
      <c r="K299" t="s">
        <v>203</v>
      </c>
      <c r="L299" t="s">
        <v>216</v>
      </c>
      <c r="M299" t="s">
        <v>225</v>
      </c>
      <c r="N299" t="str">
        <f t="shared" si="4"/>
        <v>ZS\&amp;POOL</v>
      </c>
    </row>
    <row r="300" spans="1:14" x14ac:dyDescent="0.25">
      <c r="A300" t="s">
        <v>151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200</v>
      </c>
      <c r="K300" t="s">
        <v>204</v>
      </c>
      <c r="L300" t="s">
        <v>216</v>
      </c>
      <c r="M300" t="s">
        <v>225</v>
      </c>
      <c r="N300" t="str">
        <f t="shared" si="4"/>
        <v>ZSGL</v>
      </c>
    </row>
    <row r="301" spans="1:14" x14ac:dyDescent="0.25">
      <c r="A301" t="s">
        <v>409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200</v>
      </c>
      <c r="K301" t="s">
        <v>239</v>
      </c>
      <c r="L301" t="s">
        <v>216</v>
      </c>
      <c r="M301" t="s">
        <v>225</v>
      </c>
      <c r="N301" t="str">
        <f t="shared" si="4"/>
        <v>BFCS</v>
      </c>
    </row>
    <row r="302" spans="1:14" x14ac:dyDescent="0.25">
      <c r="A302" t="s">
        <v>410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200</v>
      </c>
      <c r="K302" t="s">
        <v>241</v>
      </c>
      <c r="L302" t="s">
        <v>216</v>
      </c>
      <c r="M302" t="s">
        <v>225</v>
      </c>
      <c r="N302" t="str">
        <f t="shared" si="4"/>
        <v>SSSS</v>
      </c>
    </row>
    <row r="303" spans="1:14" x14ac:dyDescent="0.25">
      <c r="A303" t="s">
        <v>152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200</v>
      </c>
      <c r="K303" t="s">
        <v>206</v>
      </c>
      <c r="L303" t="s">
        <v>216</v>
      </c>
      <c r="M303" t="s">
        <v>225</v>
      </c>
      <c r="N303" t="str">
        <f t="shared" si="4"/>
        <v>BMS</v>
      </c>
    </row>
    <row r="304" spans="1:14" x14ac:dyDescent="0.25">
      <c r="A304" t="s">
        <v>153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200</v>
      </c>
      <c r="K304" t="s">
        <v>207</v>
      </c>
      <c r="L304" t="s">
        <v>216</v>
      </c>
      <c r="M304" t="s">
        <v>225</v>
      </c>
      <c r="N304" t="str">
        <f t="shared" si="4"/>
        <v>CC</v>
      </c>
    </row>
    <row r="305" spans="1:14" x14ac:dyDescent="0.25">
      <c r="A305" t="s">
        <v>411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0</v>
      </c>
      <c r="I305">
        <v>0</v>
      </c>
      <c r="J305" t="s">
        <v>200</v>
      </c>
      <c r="K305" t="s">
        <v>233</v>
      </c>
      <c r="L305" t="s">
        <v>216</v>
      </c>
      <c r="M305" t="s">
        <v>225</v>
      </c>
      <c r="N305" t="str">
        <f t="shared" si="4"/>
        <v>POOL</v>
      </c>
    </row>
    <row r="306" spans="1:14" x14ac:dyDescent="0.25">
      <c r="A306" t="s">
        <v>154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200</v>
      </c>
      <c r="K306" t="s">
        <v>202</v>
      </c>
      <c r="L306" t="s">
        <v>217</v>
      </c>
      <c r="M306" t="s">
        <v>225</v>
      </c>
      <c r="N306" t="str">
        <f t="shared" si="4"/>
        <v>ZS</v>
      </c>
    </row>
    <row r="307" spans="1:14" x14ac:dyDescent="0.25">
      <c r="A307" t="s">
        <v>155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200</v>
      </c>
      <c r="K307" t="s">
        <v>203</v>
      </c>
      <c r="L307" t="s">
        <v>217</v>
      </c>
      <c r="M307" t="s">
        <v>225</v>
      </c>
      <c r="N307" t="str">
        <f t="shared" si="4"/>
        <v>ZS\&amp;POOL</v>
      </c>
    </row>
    <row r="308" spans="1:14" x14ac:dyDescent="0.25">
      <c r="A308" t="s">
        <v>156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 t="s">
        <v>200</v>
      </c>
      <c r="K308" t="s">
        <v>204</v>
      </c>
      <c r="L308" t="s">
        <v>217</v>
      </c>
      <c r="M308" t="s">
        <v>225</v>
      </c>
      <c r="N308" t="str">
        <f t="shared" si="4"/>
        <v>ZSGL</v>
      </c>
    </row>
    <row r="309" spans="1:14" x14ac:dyDescent="0.25">
      <c r="A309" t="s">
        <v>412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200</v>
      </c>
      <c r="K309" t="s">
        <v>239</v>
      </c>
      <c r="L309" t="s">
        <v>217</v>
      </c>
      <c r="M309" t="s">
        <v>225</v>
      </c>
      <c r="N309" t="str">
        <f t="shared" si="4"/>
        <v>BFCS</v>
      </c>
    </row>
    <row r="310" spans="1:14" x14ac:dyDescent="0.25">
      <c r="A310" t="s">
        <v>413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 t="s">
        <v>200</v>
      </c>
      <c r="K310" t="s">
        <v>241</v>
      </c>
      <c r="L310" t="s">
        <v>217</v>
      </c>
      <c r="M310" t="s">
        <v>225</v>
      </c>
      <c r="N310" t="str">
        <f t="shared" si="4"/>
        <v>SSSS</v>
      </c>
    </row>
    <row r="311" spans="1:14" x14ac:dyDescent="0.25">
      <c r="A311" t="s">
        <v>157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200</v>
      </c>
      <c r="K311" t="s">
        <v>206</v>
      </c>
      <c r="L311" t="s">
        <v>217</v>
      </c>
      <c r="M311" t="s">
        <v>225</v>
      </c>
      <c r="N311" t="str">
        <f t="shared" si="4"/>
        <v>BMS</v>
      </c>
    </row>
    <row r="312" spans="1:14" x14ac:dyDescent="0.25">
      <c r="A312" t="s">
        <v>158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200</v>
      </c>
      <c r="K312" t="s">
        <v>207</v>
      </c>
      <c r="L312" t="s">
        <v>217</v>
      </c>
      <c r="M312" t="s">
        <v>225</v>
      </c>
      <c r="N312" t="str">
        <f t="shared" si="4"/>
        <v>CC</v>
      </c>
    </row>
    <row r="313" spans="1:14" x14ac:dyDescent="0.25">
      <c r="A313" t="s">
        <v>414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 t="s">
        <v>200</v>
      </c>
      <c r="K313" t="s">
        <v>233</v>
      </c>
      <c r="L313" t="s">
        <v>217</v>
      </c>
      <c r="M313" t="s">
        <v>225</v>
      </c>
      <c r="N313" t="str">
        <f t="shared" si="4"/>
        <v>POOL</v>
      </c>
    </row>
    <row r="314" spans="1:14" x14ac:dyDescent="0.25">
      <c r="A314" t="s">
        <v>159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200</v>
      </c>
      <c r="K314" t="s">
        <v>202</v>
      </c>
      <c r="L314" t="s">
        <v>218</v>
      </c>
      <c r="M314" t="s">
        <v>225</v>
      </c>
      <c r="N314" t="str">
        <f t="shared" si="4"/>
        <v>ZS</v>
      </c>
    </row>
    <row r="315" spans="1:14" x14ac:dyDescent="0.25">
      <c r="A315" t="s">
        <v>160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 t="s">
        <v>200</v>
      </c>
      <c r="K315" t="s">
        <v>203</v>
      </c>
      <c r="L315" t="s">
        <v>218</v>
      </c>
      <c r="M315" t="s">
        <v>225</v>
      </c>
      <c r="N315" t="str">
        <f t="shared" si="4"/>
        <v>ZS\&amp;POOL</v>
      </c>
    </row>
    <row r="316" spans="1:14" x14ac:dyDescent="0.25">
      <c r="A316" t="s">
        <v>161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200</v>
      </c>
      <c r="K316" t="s">
        <v>204</v>
      </c>
      <c r="L316" t="s">
        <v>218</v>
      </c>
      <c r="M316" t="s">
        <v>225</v>
      </c>
      <c r="N316" t="str">
        <f t="shared" si="4"/>
        <v>ZSGL</v>
      </c>
    </row>
    <row r="317" spans="1:14" x14ac:dyDescent="0.25">
      <c r="A317" t="s">
        <v>415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200</v>
      </c>
      <c r="K317" t="s">
        <v>239</v>
      </c>
      <c r="L317" t="s">
        <v>218</v>
      </c>
      <c r="M317" t="s">
        <v>225</v>
      </c>
      <c r="N317" t="str">
        <f t="shared" si="4"/>
        <v>BFCS</v>
      </c>
    </row>
    <row r="318" spans="1:14" x14ac:dyDescent="0.25">
      <c r="A318" t="s">
        <v>416</v>
      </c>
      <c r="B318">
        <v>0</v>
      </c>
      <c r="C318">
        <v>0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 t="s">
        <v>200</v>
      </c>
      <c r="K318" t="s">
        <v>241</v>
      </c>
      <c r="L318" t="s">
        <v>218</v>
      </c>
      <c r="M318" t="s">
        <v>225</v>
      </c>
      <c r="N318" t="str">
        <f t="shared" si="4"/>
        <v>SSSS</v>
      </c>
    </row>
    <row r="319" spans="1:14" x14ac:dyDescent="0.25">
      <c r="A319" t="s">
        <v>162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200</v>
      </c>
      <c r="K319" t="s">
        <v>206</v>
      </c>
      <c r="L319" t="s">
        <v>218</v>
      </c>
      <c r="M319" t="s">
        <v>225</v>
      </c>
      <c r="N319" t="str">
        <f t="shared" si="4"/>
        <v>BMS</v>
      </c>
    </row>
    <row r="320" spans="1:14" x14ac:dyDescent="0.25">
      <c r="A320" t="s">
        <v>163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200</v>
      </c>
      <c r="K320" t="s">
        <v>207</v>
      </c>
      <c r="L320" t="s">
        <v>218</v>
      </c>
      <c r="M320" t="s">
        <v>225</v>
      </c>
      <c r="N320" t="str">
        <f t="shared" si="4"/>
        <v>CC</v>
      </c>
    </row>
    <row r="321" spans="1:14" x14ac:dyDescent="0.25">
      <c r="A321" t="s">
        <v>417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200</v>
      </c>
      <c r="K321" t="s">
        <v>233</v>
      </c>
      <c r="L321" t="s">
        <v>218</v>
      </c>
      <c r="M321" t="s">
        <v>225</v>
      </c>
      <c r="N321" t="str">
        <f t="shared" si="4"/>
        <v>POOL</v>
      </c>
    </row>
    <row r="322" spans="1:14" x14ac:dyDescent="0.25">
      <c r="A322" t="s">
        <v>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200</v>
      </c>
      <c r="K322" t="s">
        <v>202</v>
      </c>
      <c r="L322" t="s">
        <v>219</v>
      </c>
      <c r="M322" t="s">
        <v>225</v>
      </c>
      <c r="N322" t="str">
        <f t="shared" ref="N322:N385" si="5">VLOOKUP(K322,modelNames,2,FALSE)</f>
        <v>ZS</v>
      </c>
    </row>
    <row r="323" spans="1:14" x14ac:dyDescent="0.25">
      <c r="A323" t="s">
        <v>165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200</v>
      </c>
      <c r="K323" t="s">
        <v>203</v>
      </c>
      <c r="L323" t="s">
        <v>219</v>
      </c>
      <c r="M323" t="s">
        <v>225</v>
      </c>
      <c r="N323" t="str">
        <f t="shared" si="5"/>
        <v>ZS\&amp;POOL</v>
      </c>
    </row>
    <row r="324" spans="1:14" x14ac:dyDescent="0.25">
      <c r="A324" t="s">
        <v>166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 t="s">
        <v>200</v>
      </c>
      <c r="K324" t="s">
        <v>204</v>
      </c>
      <c r="L324" t="s">
        <v>219</v>
      </c>
      <c r="M324" t="s">
        <v>225</v>
      </c>
      <c r="N324" t="str">
        <f t="shared" si="5"/>
        <v>ZSGL</v>
      </c>
    </row>
    <row r="325" spans="1:14" x14ac:dyDescent="0.25">
      <c r="A325" t="s">
        <v>418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200</v>
      </c>
      <c r="K325" t="s">
        <v>239</v>
      </c>
      <c r="L325" t="s">
        <v>219</v>
      </c>
      <c r="M325" t="s">
        <v>225</v>
      </c>
      <c r="N325" t="str">
        <f t="shared" si="5"/>
        <v>BFCS</v>
      </c>
    </row>
    <row r="326" spans="1:14" x14ac:dyDescent="0.25">
      <c r="A326" t="s">
        <v>419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200</v>
      </c>
      <c r="K326" t="s">
        <v>241</v>
      </c>
      <c r="L326" t="s">
        <v>219</v>
      </c>
      <c r="M326" t="s">
        <v>225</v>
      </c>
      <c r="N326" t="str">
        <f t="shared" si="5"/>
        <v>SSSS</v>
      </c>
    </row>
    <row r="327" spans="1:14" x14ac:dyDescent="0.25">
      <c r="A327" t="s">
        <v>167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 t="s">
        <v>200</v>
      </c>
      <c r="K327" t="s">
        <v>206</v>
      </c>
      <c r="L327" t="s">
        <v>219</v>
      </c>
      <c r="M327" t="s">
        <v>225</v>
      </c>
      <c r="N327" t="str">
        <f t="shared" si="5"/>
        <v>BMS</v>
      </c>
    </row>
    <row r="328" spans="1:14" x14ac:dyDescent="0.25">
      <c r="A328" t="s">
        <v>168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200</v>
      </c>
      <c r="K328" t="s">
        <v>207</v>
      </c>
      <c r="L328" t="s">
        <v>219</v>
      </c>
      <c r="M328" t="s">
        <v>225</v>
      </c>
      <c r="N328" t="str">
        <f t="shared" si="5"/>
        <v>CC</v>
      </c>
    </row>
    <row r="329" spans="1:14" x14ac:dyDescent="0.25">
      <c r="A329" t="s">
        <v>420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200</v>
      </c>
      <c r="K329" t="s">
        <v>233</v>
      </c>
      <c r="L329" t="s">
        <v>219</v>
      </c>
      <c r="M329" t="s">
        <v>225</v>
      </c>
      <c r="N329" t="str">
        <f t="shared" si="5"/>
        <v>POOL</v>
      </c>
    </row>
    <row r="330" spans="1:14" x14ac:dyDescent="0.25">
      <c r="A330" t="s">
        <v>169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200</v>
      </c>
      <c r="K330" t="s">
        <v>202</v>
      </c>
      <c r="L330" t="s">
        <v>220</v>
      </c>
      <c r="M330" t="s">
        <v>225</v>
      </c>
      <c r="N330" t="str">
        <f t="shared" si="5"/>
        <v>ZS</v>
      </c>
    </row>
    <row r="331" spans="1:14" x14ac:dyDescent="0.25">
      <c r="A331" t="s">
        <v>170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200</v>
      </c>
      <c r="K331" t="s">
        <v>203</v>
      </c>
      <c r="L331" t="s">
        <v>220</v>
      </c>
      <c r="M331" t="s">
        <v>225</v>
      </c>
      <c r="N331" t="str">
        <f t="shared" si="5"/>
        <v>ZS\&amp;POOL</v>
      </c>
    </row>
    <row r="332" spans="1:14" x14ac:dyDescent="0.25">
      <c r="A332" t="s">
        <v>171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200</v>
      </c>
      <c r="K332" t="s">
        <v>204</v>
      </c>
      <c r="L332" t="s">
        <v>220</v>
      </c>
      <c r="M332" t="s">
        <v>225</v>
      </c>
      <c r="N332" t="str">
        <f t="shared" si="5"/>
        <v>ZSGL</v>
      </c>
    </row>
    <row r="333" spans="1:14" x14ac:dyDescent="0.25">
      <c r="A333" t="s">
        <v>421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200</v>
      </c>
      <c r="K333" t="s">
        <v>239</v>
      </c>
      <c r="L333" t="s">
        <v>220</v>
      </c>
      <c r="M333" t="s">
        <v>225</v>
      </c>
      <c r="N333" t="str">
        <f t="shared" si="5"/>
        <v>BFCS</v>
      </c>
    </row>
    <row r="334" spans="1:14" x14ac:dyDescent="0.25">
      <c r="A334" t="s">
        <v>422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200</v>
      </c>
      <c r="K334" t="s">
        <v>241</v>
      </c>
      <c r="L334" t="s">
        <v>220</v>
      </c>
      <c r="M334" t="s">
        <v>225</v>
      </c>
      <c r="N334" t="str">
        <f t="shared" si="5"/>
        <v>SSSS</v>
      </c>
    </row>
    <row r="335" spans="1:14" x14ac:dyDescent="0.25">
      <c r="A335" t="s">
        <v>172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 t="s">
        <v>200</v>
      </c>
      <c r="K335" t="s">
        <v>206</v>
      </c>
      <c r="L335" t="s">
        <v>220</v>
      </c>
      <c r="M335" t="s">
        <v>225</v>
      </c>
      <c r="N335" t="str">
        <f t="shared" si="5"/>
        <v>BMS</v>
      </c>
    </row>
    <row r="336" spans="1:14" x14ac:dyDescent="0.25">
      <c r="A336" t="s">
        <v>173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200</v>
      </c>
      <c r="K336" t="s">
        <v>207</v>
      </c>
      <c r="L336" t="s">
        <v>220</v>
      </c>
      <c r="M336" t="s">
        <v>225</v>
      </c>
      <c r="N336" t="str">
        <f t="shared" si="5"/>
        <v>CC</v>
      </c>
    </row>
    <row r="337" spans="1:14" x14ac:dyDescent="0.25">
      <c r="A337" t="s">
        <v>423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200</v>
      </c>
      <c r="K337" t="s">
        <v>233</v>
      </c>
      <c r="L337" t="s">
        <v>220</v>
      </c>
      <c r="M337" t="s">
        <v>225</v>
      </c>
      <c r="N337" t="str">
        <f t="shared" si="5"/>
        <v>POOL</v>
      </c>
    </row>
    <row r="338" spans="1:14" x14ac:dyDescent="0.25">
      <c r="A338" t="s">
        <v>174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200</v>
      </c>
      <c r="K338" t="s">
        <v>202</v>
      </c>
      <c r="L338" t="s">
        <v>221</v>
      </c>
      <c r="M338" t="s">
        <v>225</v>
      </c>
      <c r="N338" t="str">
        <f t="shared" si="5"/>
        <v>ZS</v>
      </c>
    </row>
    <row r="339" spans="1:14" x14ac:dyDescent="0.25">
      <c r="A339" t="s">
        <v>175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200</v>
      </c>
      <c r="K339" t="s">
        <v>203</v>
      </c>
      <c r="L339" t="s">
        <v>221</v>
      </c>
      <c r="M339" t="s">
        <v>225</v>
      </c>
      <c r="N339" t="str">
        <f t="shared" si="5"/>
        <v>ZS\&amp;POOL</v>
      </c>
    </row>
    <row r="340" spans="1:14" x14ac:dyDescent="0.25">
      <c r="A340" t="s">
        <v>176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 t="s">
        <v>200</v>
      </c>
      <c r="K340" t="s">
        <v>204</v>
      </c>
      <c r="L340" t="s">
        <v>221</v>
      </c>
      <c r="M340" t="s">
        <v>225</v>
      </c>
      <c r="N340" t="str">
        <f t="shared" si="5"/>
        <v>ZSGL</v>
      </c>
    </row>
    <row r="341" spans="1:14" x14ac:dyDescent="0.25">
      <c r="A341" t="s">
        <v>424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200</v>
      </c>
      <c r="K341" t="s">
        <v>239</v>
      </c>
      <c r="L341" t="s">
        <v>221</v>
      </c>
      <c r="M341" t="s">
        <v>225</v>
      </c>
      <c r="N341" t="str">
        <f t="shared" si="5"/>
        <v>BFCS</v>
      </c>
    </row>
    <row r="342" spans="1:14" x14ac:dyDescent="0.25">
      <c r="A342" t="s">
        <v>425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1</v>
      </c>
      <c r="J342" t="s">
        <v>200</v>
      </c>
      <c r="K342" t="s">
        <v>241</v>
      </c>
      <c r="L342" t="s">
        <v>221</v>
      </c>
      <c r="M342" t="s">
        <v>225</v>
      </c>
      <c r="N342" t="str">
        <f t="shared" si="5"/>
        <v>SSSS</v>
      </c>
    </row>
    <row r="343" spans="1:14" x14ac:dyDescent="0.25">
      <c r="A343" t="s">
        <v>177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1</v>
      </c>
      <c r="J343" t="s">
        <v>200</v>
      </c>
      <c r="K343" t="s">
        <v>206</v>
      </c>
      <c r="L343" t="s">
        <v>221</v>
      </c>
      <c r="M343" t="s">
        <v>225</v>
      </c>
      <c r="N343" t="str">
        <f t="shared" si="5"/>
        <v>BMS</v>
      </c>
    </row>
    <row r="344" spans="1:14" x14ac:dyDescent="0.25">
      <c r="A344" t="s">
        <v>178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200</v>
      </c>
      <c r="K344" t="s">
        <v>207</v>
      </c>
      <c r="L344" t="s">
        <v>221</v>
      </c>
      <c r="M344" t="s">
        <v>225</v>
      </c>
      <c r="N344" t="str">
        <f t="shared" si="5"/>
        <v>CC</v>
      </c>
    </row>
    <row r="345" spans="1:14" x14ac:dyDescent="0.25">
      <c r="A345" t="s">
        <v>426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 t="s">
        <v>200</v>
      </c>
      <c r="K345" t="s">
        <v>233</v>
      </c>
      <c r="L345" t="s">
        <v>221</v>
      </c>
      <c r="M345" t="s">
        <v>225</v>
      </c>
      <c r="N345" t="str">
        <f t="shared" si="5"/>
        <v>POOL</v>
      </c>
    </row>
    <row r="346" spans="1:14" x14ac:dyDescent="0.25">
      <c r="A346" t="s">
        <v>179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200</v>
      </c>
      <c r="K346" t="s">
        <v>202</v>
      </c>
      <c r="L346" t="s">
        <v>222</v>
      </c>
      <c r="M346" t="s">
        <v>225</v>
      </c>
      <c r="N346" t="str">
        <f t="shared" si="5"/>
        <v>ZS</v>
      </c>
    </row>
    <row r="347" spans="1:14" x14ac:dyDescent="0.25">
      <c r="A347" t="s">
        <v>180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200</v>
      </c>
      <c r="K347" t="s">
        <v>203</v>
      </c>
      <c r="L347" t="s">
        <v>222</v>
      </c>
      <c r="M347" t="s">
        <v>225</v>
      </c>
      <c r="N347" t="str">
        <f t="shared" si="5"/>
        <v>ZS\&amp;POOL</v>
      </c>
    </row>
    <row r="348" spans="1:14" x14ac:dyDescent="0.25">
      <c r="A348" t="s">
        <v>181</v>
      </c>
      <c r="B348">
        <v>1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1</v>
      </c>
      <c r="I348">
        <v>0</v>
      </c>
      <c r="J348" t="s">
        <v>200</v>
      </c>
      <c r="K348" t="s">
        <v>204</v>
      </c>
      <c r="L348" t="s">
        <v>222</v>
      </c>
      <c r="M348" t="s">
        <v>225</v>
      </c>
      <c r="N348" t="str">
        <f t="shared" si="5"/>
        <v>ZSGL</v>
      </c>
    </row>
    <row r="349" spans="1:14" x14ac:dyDescent="0.25">
      <c r="A349" t="s">
        <v>427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200</v>
      </c>
      <c r="K349" t="s">
        <v>239</v>
      </c>
      <c r="L349" t="s">
        <v>222</v>
      </c>
      <c r="M349" t="s">
        <v>225</v>
      </c>
      <c r="N349" t="str">
        <f t="shared" si="5"/>
        <v>BFCS</v>
      </c>
    </row>
    <row r="350" spans="1:14" x14ac:dyDescent="0.25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200</v>
      </c>
      <c r="K350" t="s">
        <v>241</v>
      </c>
      <c r="L350" t="s">
        <v>222</v>
      </c>
      <c r="M350" t="s">
        <v>225</v>
      </c>
      <c r="N350" t="str">
        <f t="shared" si="5"/>
        <v>SSSS</v>
      </c>
    </row>
    <row r="351" spans="1:14" x14ac:dyDescent="0.25">
      <c r="A351" t="s">
        <v>182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200</v>
      </c>
      <c r="K351" t="s">
        <v>206</v>
      </c>
      <c r="L351" t="s">
        <v>222</v>
      </c>
      <c r="M351" t="s">
        <v>225</v>
      </c>
      <c r="N351" t="str">
        <f t="shared" si="5"/>
        <v>BMS</v>
      </c>
    </row>
    <row r="352" spans="1:14" x14ac:dyDescent="0.25">
      <c r="A352" t="s">
        <v>183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 t="s">
        <v>200</v>
      </c>
      <c r="K352" t="s">
        <v>207</v>
      </c>
      <c r="L352" t="s">
        <v>222</v>
      </c>
      <c r="M352" t="s">
        <v>225</v>
      </c>
      <c r="N352" t="str">
        <f t="shared" si="5"/>
        <v>CC</v>
      </c>
    </row>
    <row r="353" spans="1:14" x14ac:dyDescent="0.25">
      <c r="A353" t="s">
        <v>429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 t="s">
        <v>200</v>
      </c>
      <c r="K353" t="s">
        <v>233</v>
      </c>
      <c r="L353" t="s">
        <v>222</v>
      </c>
      <c r="M353" t="s">
        <v>225</v>
      </c>
      <c r="N353" t="str">
        <f t="shared" si="5"/>
        <v>POOL</v>
      </c>
    </row>
    <row r="354" spans="1:14" x14ac:dyDescent="0.25">
      <c r="A354" t="s">
        <v>184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200</v>
      </c>
      <c r="K354" t="s">
        <v>202</v>
      </c>
      <c r="L354" t="s">
        <v>223</v>
      </c>
      <c r="M354" t="s">
        <v>225</v>
      </c>
      <c r="N354" t="str">
        <f t="shared" si="5"/>
        <v>ZS</v>
      </c>
    </row>
    <row r="355" spans="1:14" x14ac:dyDescent="0.25">
      <c r="A355" t="s">
        <v>185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200</v>
      </c>
      <c r="K355" t="s">
        <v>203</v>
      </c>
      <c r="L355" t="s">
        <v>223</v>
      </c>
      <c r="M355" t="s">
        <v>225</v>
      </c>
      <c r="N355" t="str">
        <f t="shared" si="5"/>
        <v>ZS\&amp;POOL</v>
      </c>
    </row>
    <row r="356" spans="1:14" x14ac:dyDescent="0.25">
      <c r="A356" t="s">
        <v>186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200</v>
      </c>
      <c r="K356" t="s">
        <v>204</v>
      </c>
      <c r="L356" t="s">
        <v>223</v>
      </c>
      <c r="M356" t="s">
        <v>225</v>
      </c>
      <c r="N356" t="str">
        <f t="shared" si="5"/>
        <v>ZSGL</v>
      </c>
    </row>
    <row r="357" spans="1:14" x14ac:dyDescent="0.25">
      <c r="A357" t="s">
        <v>430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200</v>
      </c>
      <c r="K357" t="s">
        <v>239</v>
      </c>
      <c r="L357" t="s">
        <v>223</v>
      </c>
      <c r="M357" t="s">
        <v>225</v>
      </c>
      <c r="N357" t="str">
        <f t="shared" si="5"/>
        <v>BFCS</v>
      </c>
    </row>
    <row r="358" spans="1:14" x14ac:dyDescent="0.25">
      <c r="A358" t="s">
        <v>431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200</v>
      </c>
      <c r="K358" t="s">
        <v>241</v>
      </c>
      <c r="L358" t="s">
        <v>223</v>
      </c>
      <c r="M358" t="s">
        <v>225</v>
      </c>
      <c r="N358" t="str">
        <f t="shared" si="5"/>
        <v>SSSS</v>
      </c>
    </row>
    <row r="359" spans="1:14" x14ac:dyDescent="0.25">
      <c r="A359" t="s">
        <v>187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200</v>
      </c>
      <c r="K359" t="s">
        <v>206</v>
      </c>
      <c r="L359" t="s">
        <v>223</v>
      </c>
      <c r="M359" t="s">
        <v>225</v>
      </c>
      <c r="N359" t="str">
        <f t="shared" si="5"/>
        <v>BMS</v>
      </c>
    </row>
    <row r="360" spans="1:14" x14ac:dyDescent="0.25">
      <c r="A360" t="s">
        <v>188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200</v>
      </c>
      <c r="K360" t="s">
        <v>207</v>
      </c>
      <c r="L360" t="s">
        <v>223</v>
      </c>
      <c r="M360" t="s">
        <v>225</v>
      </c>
      <c r="N360" t="str">
        <f t="shared" si="5"/>
        <v>CC</v>
      </c>
    </row>
    <row r="361" spans="1:14" x14ac:dyDescent="0.25">
      <c r="A361" t="s">
        <v>432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200</v>
      </c>
      <c r="K361" t="s">
        <v>233</v>
      </c>
      <c r="L361" t="s">
        <v>223</v>
      </c>
      <c r="M361" t="s">
        <v>225</v>
      </c>
      <c r="N361" t="str">
        <f t="shared" si="5"/>
        <v>POOL</v>
      </c>
    </row>
    <row r="362" spans="1:14" x14ac:dyDescent="0.25">
      <c r="A362" t="s">
        <v>164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200</v>
      </c>
      <c r="K362" t="s">
        <v>202</v>
      </c>
      <c r="L362" t="s">
        <v>219</v>
      </c>
      <c r="M362" t="s">
        <v>225</v>
      </c>
      <c r="N362" t="str">
        <f t="shared" si="5"/>
        <v>ZS</v>
      </c>
    </row>
    <row r="363" spans="1:14" x14ac:dyDescent="0.25">
      <c r="A363" t="s">
        <v>165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200</v>
      </c>
      <c r="K363" t="s">
        <v>203</v>
      </c>
      <c r="L363" t="s">
        <v>219</v>
      </c>
      <c r="M363" t="s">
        <v>225</v>
      </c>
      <c r="N363" t="str">
        <f t="shared" si="5"/>
        <v>ZS\&amp;POOL</v>
      </c>
    </row>
    <row r="364" spans="1:14" x14ac:dyDescent="0.25">
      <c r="A364" t="s">
        <v>166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 t="s">
        <v>200</v>
      </c>
      <c r="K364" t="s">
        <v>204</v>
      </c>
      <c r="L364" t="s">
        <v>219</v>
      </c>
      <c r="M364" t="s">
        <v>225</v>
      </c>
      <c r="N364" t="str">
        <f t="shared" si="5"/>
        <v>ZSGL</v>
      </c>
    </row>
    <row r="365" spans="1:14" x14ac:dyDescent="0.25">
      <c r="A365" t="s">
        <v>418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200</v>
      </c>
      <c r="K365" t="s">
        <v>239</v>
      </c>
      <c r="L365" t="s">
        <v>219</v>
      </c>
      <c r="M365" t="s">
        <v>225</v>
      </c>
      <c r="N365" t="str">
        <f t="shared" si="5"/>
        <v>BFCS</v>
      </c>
    </row>
    <row r="366" spans="1:14" x14ac:dyDescent="0.25">
      <c r="A366" t="s">
        <v>419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200</v>
      </c>
      <c r="K366" t="s">
        <v>241</v>
      </c>
      <c r="L366" t="s">
        <v>219</v>
      </c>
      <c r="M366" t="s">
        <v>225</v>
      </c>
      <c r="N366" t="str">
        <f t="shared" si="5"/>
        <v>SSSS</v>
      </c>
    </row>
    <row r="367" spans="1:14" x14ac:dyDescent="0.25">
      <c r="A367" t="s">
        <v>167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 t="s">
        <v>200</v>
      </c>
      <c r="K367" t="s">
        <v>206</v>
      </c>
      <c r="L367" t="s">
        <v>219</v>
      </c>
      <c r="M367" t="s">
        <v>225</v>
      </c>
      <c r="N367" t="str">
        <f t="shared" si="5"/>
        <v>BMS</v>
      </c>
    </row>
    <row r="368" spans="1:14" x14ac:dyDescent="0.25">
      <c r="A368" t="s">
        <v>168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200</v>
      </c>
      <c r="K368" t="s">
        <v>207</v>
      </c>
      <c r="L368" t="s">
        <v>219</v>
      </c>
      <c r="M368" t="s">
        <v>225</v>
      </c>
      <c r="N368" t="str">
        <f t="shared" si="5"/>
        <v>CC</v>
      </c>
    </row>
    <row r="369" spans="1:14" x14ac:dyDescent="0.25">
      <c r="A369" t="s">
        <v>420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200</v>
      </c>
      <c r="K369" t="s">
        <v>233</v>
      </c>
      <c r="L369" t="s">
        <v>219</v>
      </c>
      <c r="M369" t="s">
        <v>225</v>
      </c>
      <c r="N369" t="str">
        <f t="shared" si="5"/>
        <v>POOL</v>
      </c>
    </row>
    <row r="370" spans="1:14" x14ac:dyDescent="0.25">
      <c r="A370" t="s">
        <v>449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 t="s">
        <v>200</v>
      </c>
      <c r="K370" t="s">
        <v>226</v>
      </c>
      <c r="L370" t="s">
        <v>219</v>
      </c>
      <c r="M370" t="s">
        <v>225</v>
      </c>
      <c r="N370" t="str">
        <f t="shared" si="5"/>
        <v>J</v>
      </c>
    </row>
    <row r="371" spans="1:14" x14ac:dyDescent="0.25">
      <c r="A371" t="s">
        <v>169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200</v>
      </c>
      <c r="K371" t="s">
        <v>202</v>
      </c>
      <c r="L371" t="s">
        <v>220</v>
      </c>
      <c r="M371" t="s">
        <v>225</v>
      </c>
      <c r="N371" t="str">
        <f t="shared" si="5"/>
        <v>ZS</v>
      </c>
    </row>
    <row r="372" spans="1:14" x14ac:dyDescent="0.25">
      <c r="A372" t="s">
        <v>170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200</v>
      </c>
      <c r="K372" t="s">
        <v>203</v>
      </c>
      <c r="L372" t="s">
        <v>220</v>
      </c>
      <c r="M372" t="s">
        <v>225</v>
      </c>
      <c r="N372" t="str">
        <f t="shared" si="5"/>
        <v>ZS\&amp;POOL</v>
      </c>
    </row>
    <row r="373" spans="1:14" x14ac:dyDescent="0.25">
      <c r="A373" t="s">
        <v>171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200</v>
      </c>
      <c r="K373" t="s">
        <v>204</v>
      </c>
      <c r="L373" t="s">
        <v>220</v>
      </c>
      <c r="M373" t="s">
        <v>225</v>
      </c>
      <c r="N373" t="str">
        <f t="shared" si="5"/>
        <v>ZSGL</v>
      </c>
    </row>
    <row r="374" spans="1:14" x14ac:dyDescent="0.25">
      <c r="A374" t="s">
        <v>421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200</v>
      </c>
      <c r="K374" t="s">
        <v>239</v>
      </c>
      <c r="L374" t="s">
        <v>220</v>
      </c>
      <c r="M374" t="s">
        <v>225</v>
      </c>
      <c r="N374" t="str">
        <f t="shared" si="5"/>
        <v>BFCS</v>
      </c>
    </row>
    <row r="375" spans="1:14" x14ac:dyDescent="0.25">
      <c r="A375" t="s">
        <v>422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200</v>
      </c>
      <c r="K375" t="s">
        <v>241</v>
      </c>
      <c r="L375" t="s">
        <v>220</v>
      </c>
      <c r="M375" t="s">
        <v>225</v>
      </c>
      <c r="N375" t="str">
        <f t="shared" si="5"/>
        <v>SSSS</v>
      </c>
    </row>
    <row r="376" spans="1:14" x14ac:dyDescent="0.25">
      <c r="A376" t="s">
        <v>172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 t="s">
        <v>200</v>
      </c>
      <c r="K376" t="s">
        <v>206</v>
      </c>
      <c r="L376" t="s">
        <v>220</v>
      </c>
      <c r="M376" t="s">
        <v>225</v>
      </c>
      <c r="N376" t="str">
        <f t="shared" si="5"/>
        <v>BMS</v>
      </c>
    </row>
    <row r="377" spans="1:14" x14ac:dyDescent="0.25">
      <c r="A377" t="s">
        <v>173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200</v>
      </c>
      <c r="K377" t="s">
        <v>207</v>
      </c>
      <c r="L377" t="s">
        <v>220</v>
      </c>
      <c r="M377" t="s">
        <v>225</v>
      </c>
      <c r="N377" t="str">
        <f t="shared" si="5"/>
        <v>CC</v>
      </c>
    </row>
    <row r="378" spans="1:14" x14ac:dyDescent="0.25">
      <c r="A378" t="s">
        <v>423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200</v>
      </c>
      <c r="K378" t="s">
        <v>233</v>
      </c>
      <c r="L378" t="s">
        <v>220</v>
      </c>
      <c r="M378" t="s">
        <v>225</v>
      </c>
      <c r="N378" t="str">
        <f t="shared" si="5"/>
        <v>POOL</v>
      </c>
    </row>
    <row r="379" spans="1:14" x14ac:dyDescent="0.25">
      <c r="A379" t="s">
        <v>450</v>
      </c>
      <c r="B379">
        <v>1</v>
      </c>
      <c r="C379">
        <v>0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 t="s">
        <v>200</v>
      </c>
      <c r="K379" t="s">
        <v>226</v>
      </c>
      <c r="L379" t="s">
        <v>220</v>
      </c>
      <c r="M379" t="s">
        <v>225</v>
      </c>
      <c r="N379" t="str">
        <f t="shared" si="5"/>
        <v>J</v>
      </c>
    </row>
    <row r="380" spans="1:14" x14ac:dyDescent="0.25">
      <c r="A380" t="s">
        <v>174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200</v>
      </c>
      <c r="K380" t="s">
        <v>202</v>
      </c>
      <c r="L380" t="s">
        <v>221</v>
      </c>
      <c r="M380" t="s">
        <v>225</v>
      </c>
      <c r="N380" t="str">
        <f t="shared" si="5"/>
        <v>ZS</v>
      </c>
    </row>
    <row r="381" spans="1:14" x14ac:dyDescent="0.25">
      <c r="A381" t="s">
        <v>175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200</v>
      </c>
      <c r="K381" t="s">
        <v>203</v>
      </c>
      <c r="L381" t="s">
        <v>221</v>
      </c>
      <c r="M381" t="s">
        <v>225</v>
      </c>
      <c r="N381" t="str">
        <f t="shared" si="5"/>
        <v>ZS\&amp;POOL</v>
      </c>
    </row>
    <row r="382" spans="1:14" x14ac:dyDescent="0.25">
      <c r="A382" t="s">
        <v>176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 t="s">
        <v>200</v>
      </c>
      <c r="K382" t="s">
        <v>204</v>
      </c>
      <c r="L382" t="s">
        <v>221</v>
      </c>
      <c r="M382" t="s">
        <v>225</v>
      </c>
      <c r="N382" t="str">
        <f t="shared" si="5"/>
        <v>ZSGL</v>
      </c>
    </row>
    <row r="383" spans="1:14" x14ac:dyDescent="0.25">
      <c r="A383" t="s">
        <v>424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200</v>
      </c>
      <c r="K383" t="s">
        <v>239</v>
      </c>
      <c r="L383" t="s">
        <v>221</v>
      </c>
      <c r="M383" t="s">
        <v>225</v>
      </c>
      <c r="N383" t="str">
        <f t="shared" si="5"/>
        <v>BFCS</v>
      </c>
    </row>
    <row r="384" spans="1:14" x14ac:dyDescent="0.25">
      <c r="A384" t="s">
        <v>425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 t="s">
        <v>200</v>
      </c>
      <c r="K384" t="s">
        <v>241</v>
      </c>
      <c r="L384" t="s">
        <v>221</v>
      </c>
      <c r="M384" t="s">
        <v>225</v>
      </c>
      <c r="N384" t="str">
        <f t="shared" si="5"/>
        <v>SSSS</v>
      </c>
    </row>
    <row r="385" spans="1:14" x14ac:dyDescent="0.25">
      <c r="A385" t="s">
        <v>177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1</v>
      </c>
      <c r="J385" t="s">
        <v>200</v>
      </c>
      <c r="K385" t="s">
        <v>206</v>
      </c>
      <c r="L385" t="s">
        <v>221</v>
      </c>
      <c r="M385" t="s">
        <v>225</v>
      </c>
      <c r="N385" t="str">
        <f t="shared" si="5"/>
        <v>BMS</v>
      </c>
    </row>
    <row r="386" spans="1:14" x14ac:dyDescent="0.25">
      <c r="A386" t="s">
        <v>178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200</v>
      </c>
      <c r="K386" t="s">
        <v>207</v>
      </c>
      <c r="L386" t="s">
        <v>221</v>
      </c>
      <c r="M386" t="s">
        <v>225</v>
      </c>
      <c r="N386" t="str">
        <f t="shared" ref="N386:N406" si="6">VLOOKUP(K386,modelNames,2,FALSE)</f>
        <v>CC</v>
      </c>
    </row>
    <row r="387" spans="1:14" x14ac:dyDescent="0.25">
      <c r="A387" t="s">
        <v>426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 t="s">
        <v>200</v>
      </c>
      <c r="K387" t="s">
        <v>233</v>
      </c>
      <c r="L387" t="s">
        <v>221</v>
      </c>
      <c r="M387" t="s">
        <v>225</v>
      </c>
      <c r="N387" t="str">
        <f t="shared" si="6"/>
        <v>POOL</v>
      </c>
    </row>
    <row r="388" spans="1:14" x14ac:dyDescent="0.25">
      <c r="A388" t="s">
        <v>451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 t="s">
        <v>200</v>
      </c>
      <c r="K388" t="s">
        <v>226</v>
      </c>
      <c r="L388" t="s">
        <v>221</v>
      </c>
      <c r="M388" t="s">
        <v>225</v>
      </c>
      <c r="N388" t="str">
        <f t="shared" si="6"/>
        <v>J</v>
      </c>
    </row>
    <row r="389" spans="1:14" x14ac:dyDescent="0.25">
      <c r="A389" t="s">
        <v>179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200</v>
      </c>
      <c r="K389" t="s">
        <v>202</v>
      </c>
      <c r="L389" t="s">
        <v>222</v>
      </c>
      <c r="M389" t="s">
        <v>225</v>
      </c>
      <c r="N389" t="str">
        <f t="shared" si="6"/>
        <v>ZS</v>
      </c>
    </row>
    <row r="390" spans="1:14" x14ac:dyDescent="0.25">
      <c r="A390" t="s">
        <v>180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200</v>
      </c>
      <c r="K390" t="s">
        <v>203</v>
      </c>
      <c r="L390" t="s">
        <v>222</v>
      </c>
      <c r="M390" t="s">
        <v>225</v>
      </c>
      <c r="N390" t="str">
        <f t="shared" si="6"/>
        <v>ZS\&amp;POOL</v>
      </c>
    </row>
    <row r="391" spans="1:14" x14ac:dyDescent="0.25">
      <c r="A391" t="s">
        <v>181</v>
      </c>
      <c r="B391">
        <v>1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</v>
      </c>
      <c r="J391" t="s">
        <v>200</v>
      </c>
      <c r="K391" t="s">
        <v>204</v>
      </c>
      <c r="L391" t="s">
        <v>222</v>
      </c>
      <c r="M391" t="s">
        <v>225</v>
      </c>
      <c r="N391" t="str">
        <f t="shared" si="6"/>
        <v>ZSGL</v>
      </c>
    </row>
    <row r="392" spans="1:14" x14ac:dyDescent="0.25">
      <c r="A392" t="s">
        <v>427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200</v>
      </c>
      <c r="K392" t="s">
        <v>239</v>
      </c>
      <c r="L392" t="s">
        <v>222</v>
      </c>
      <c r="M392" t="s">
        <v>225</v>
      </c>
      <c r="N392" t="str">
        <f t="shared" si="6"/>
        <v>BFCS</v>
      </c>
    </row>
    <row r="393" spans="1:14" x14ac:dyDescent="0.25">
      <c r="A393" t="s">
        <v>428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200</v>
      </c>
      <c r="K393" t="s">
        <v>241</v>
      </c>
      <c r="L393" t="s">
        <v>222</v>
      </c>
      <c r="M393" t="s">
        <v>225</v>
      </c>
      <c r="N393" t="str">
        <f t="shared" si="6"/>
        <v>SSSS</v>
      </c>
    </row>
    <row r="394" spans="1:14" x14ac:dyDescent="0.25">
      <c r="A394" t="s">
        <v>182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200</v>
      </c>
      <c r="K394" t="s">
        <v>206</v>
      </c>
      <c r="L394" t="s">
        <v>222</v>
      </c>
      <c r="M394" t="s">
        <v>225</v>
      </c>
      <c r="N394" t="str">
        <f t="shared" si="6"/>
        <v>BMS</v>
      </c>
    </row>
    <row r="395" spans="1:14" x14ac:dyDescent="0.25">
      <c r="A395" t="s">
        <v>183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 t="s">
        <v>200</v>
      </c>
      <c r="K395" t="s">
        <v>207</v>
      </c>
      <c r="L395" t="s">
        <v>222</v>
      </c>
      <c r="M395" t="s">
        <v>225</v>
      </c>
      <c r="N395" t="str">
        <f t="shared" si="6"/>
        <v>CC</v>
      </c>
    </row>
    <row r="396" spans="1:14" x14ac:dyDescent="0.25">
      <c r="A396" t="s">
        <v>429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 t="s">
        <v>200</v>
      </c>
      <c r="K396" t="s">
        <v>233</v>
      </c>
      <c r="L396" t="s">
        <v>222</v>
      </c>
      <c r="M396" t="s">
        <v>225</v>
      </c>
      <c r="N396" t="str">
        <f t="shared" si="6"/>
        <v>POOL</v>
      </c>
    </row>
    <row r="397" spans="1:14" x14ac:dyDescent="0.25">
      <c r="A397" t="s">
        <v>452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 t="s">
        <v>200</v>
      </c>
      <c r="K397" t="s">
        <v>226</v>
      </c>
      <c r="L397" t="s">
        <v>222</v>
      </c>
      <c r="M397" t="s">
        <v>225</v>
      </c>
      <c r="N397" t="str">
        <f t="shared" si="6"/>
        <v>J</v>
      </c>
    </row>
    <row r="398" spans="1:14" x14ac:dyDescent="0.25">
      <c r="A398" t="s">
        <v>184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200</v>
      </c>
      <c r="K398" t="s">
        <v>202</v>
      </c>
      <c r="L398" t="s">
        <v>223</v>
      </c>
      <c r="M398" t="s">
        <v>225</v>
      </c>
      <c r="N398" t="str">
        <f t="shared" si="6"/>
        <v>ZS</v>
      </c>
    </row>
    <row r="399" spans="1:14" x14ac:dyDescent="0.25">
      <c r="A399" t="s">
        <v>185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200</v>
      </c>
      <c r="K399" t="s">
        <v>203</v>
      </c>
      <c r="L399" t="s">
        <v>223</v>
      </c>
      <c r="M399" t="s">
        <v>225</v>
      </c>
      <c r="N399" t="str">
        <f t="shared" si="6"/>
        <v>ZS\&amp;POOL</v>
      </c>
    </row>
    <row r="400" spans="1:14" x14ac:dyDescent="0.25">
      <c r="A400" t="s">
        <v>186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200</v>
      </c>
      <c r="K400" t="s">
        <v>204</v>
      </c>
      <c r="L400" t="s">
        <v>223</v>
      </c>
      <c r="M400" t="s">
        <v>225</v>
      </c>
      <c r="N400" t="str">
        <f t="shared" si="6"/>
        <v>ZSGL</v>
      </c>
    </row>
    <row r="401" spans="1:14" x14ac:dyDescent="0.25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200</v>
      </c>
      <c r="K401" t="s">
        <v>239</v>
      </c>
      <c r="L401" t="s">
        <v>223</v>
      </c>
      <c r="M401" t="s">
        <v>225</v>
      </c>
      <c r="N401" t="str">
        <f t="shared" si="6"/>
        <v>BFCS</v>
      </c>
    </row>
    <row r="402" spans="1:14" x14ac:dyDescent="0.25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200</v>
      </c>
      <c r="K402" t="s">
        <v>241</v>
      </c>
      <c r="L402" t="s">
        <v>223</v>
      </c>
      <c r="M402" t="s">
        <v>225</v>
      </c>
      <c r="N402" t="str">
        <f t="shared" si="6"/>
        <v>SSSS</v>
      </c>
    </row>
    <row r="403" spans="1:14" x14ac:dyDescent="0.25">
      <c r="A403" t="s">
        <v>187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200</v>
      </c>
      <c r="K403" t="s">
        <v>206</v>
      </c>
      <c r="L403" t="s">
        <v>223</v>
      </c>
      <c r="M403" t="s">
        <v>225</v>
      </c>
      <c r="N403" t="str">
        <f t="shared" si="6"/>
        <v>BMS</v>
      </c>
    </row>
    <row r="404" spans="1:14" x14ac:dyDescent="0.25">
      <c r="A404" t="s">
        <v>188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200</v>
      </c>
      <c r="K404" t="s">
        <v>207</v>
      </c>
      <c r="L404" t="s">
        <v>223</v>
      </c>
      <c r="M404" t="s">
        <v>225</v>
      </c>
      <c r="N404" t="str">
        <f t="shared" si="6"/>
        <v>CC</v>
      </c>
    </row>
    <row r="405" spans="1:14" x14ac:dyDescent="0.25">
      <c r="A405" t="s">
        <v>432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200</v>
      </c>
      <c r="K405" t="s">
        <v>233</v>
      </c>
      <c r="L405" t="s">
        <v>223</v>
      </c>
      <c r="M405" t="s">
        <v>225</v>
      </c>
      <c r="N405" t="str">
        <f t="shared" si="6"/>
        <v>POOL</v>
      </c>
    </row>
    <row r="406" spans="1:14" x14ac:dyDescent="0.25">
      <c r="A406" t="s">
        <v>453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200</v>
      </c>
      <c r="K406" t="s">
        <v>226</v>
      </c>
      <c r="L406" t="s">
        <v>223</v>
      </c>
      <c r="M406" t="s">
        <v>225</v>
      </c>
      <c r="N406" t="str">
        <f t="shared" si="6"/>
        <v>J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B3A4-965C-4A08-8739-8F9632853F70}">
  <dimension ref="A1:N406"/>
  <sheetViews>
    <sheetView topLeftCell="A372" workbookViewId="0">
      <selection activeCell="N361" sqref="N361:N406"/>
    </sheetView>
  </sheetViews>
  <sheetFormatPr defaultRowHeight="15" x14ac:dyDescent="0.25"/>
  <cols>
    <col min="1" max="1" width="22.140625" bestFit="1" customWidth="1"/>
    <col min="2" max="9" width="4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4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  <c r="N1" t="s">
        <v>260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198</v>
      </c>
      <c r="K2" t="s">
        <v>202</v>
      </c>
      <c r="L2" t="s">
        <v>209</v>
      </c>
      <c r="M2" t="s">
        <v>225</v>
      </c>
      <c r="N2" t="str">
        <f t="shared" ref="N2:N65" si="0">VLOOKUP(K2,modelNames,2,FALSE)</f>
        <v>ZS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198</v>
      </c>
      <c r="K3" t="s">
        <v>203</v>
      </c>
      <c r="L3" t="s">
        <v>209</v>
      </c>
      <c r="M3" t="s">
        <v>225</v>
      </c>
      <c r="N3" t="str">
        <f t="shared" si="0"/>
        <v>ZS\&amp;POOL</v>
      </c>
    </row>
    <row r="4" spans="1:14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198</v>
      </c>
      <c r="K4" t="s">
        <v>204</v>
      </c>
      <c r="L4" t="s">
        <v>209</v>
      </c>
      <c r="M4" t="s">
        <v>225</v>
      </c>
      <c r="N4" t="str">
        <f t="shared" si="0"/>
        <v>ZSGL</v>
      </c>
    </row>
    <row r="5" spans="1:14" x14ac:dyDescent="0.25">
      <c r="A5" t="s">
        <v>298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198</v>
      </c>
      <c r="K5" t="s">
        <v>239</v>
      </c>
      <c r="L5" t="s">
        <v>209</v>
      </c>
      <c r="M5" t="s">
        <v>225</v>
      </c>
      <c r="N5" t="str">
        <f t="shared" si="0"/>
        <v>BFCS</v>
      </c>
    </row>
    <row r="6" spans="1:14" x14ac:dyDescent="0.25">
      <c r="A6" t="s">
        <v>299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198</v>
      </c>
      <c r="K6" t="s">
        <v>241</v>
      </c>
      <c r="L6" t="s">
        <v>209</v>
      </c>
      <c r="M6" t="s">
        <v>225</v>
      </c>
      <c r="N6" t="str">
        <f t="shared" si="0"/>
        <v>SSSS</v>
      </c>
    </row>
    <row r="7" spans="1:14" x14ac:dyDescent="0.25">
      <c r="A7" t="s">
        <v>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198</v>
      </c>
      <c r="K7" t="s">
        <v>206</v>
      </c>
      <c r="L7" t="s">
        <v>209</v>
      </c>
      <c r="M7" t="s">
        <v>225</v>
      </c>
      <c r="N7" t="str">
        <f t="shared" si="0"/>
        <v>BMS</v>
      </c>
    </row>
    <row r="8" spans="1:14" x14ac:dyDescent="0.25">
      <c r="A8" t="s">
        <v>261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198</v>
      </c>
      <c r="K8" t="s">
        <v>207</v>
      </c>
      <c r="L8" t="s">
        <v>209</v>
      </c>
      <c r="M8" t="s">
        <v>225</v>
      </c>
      <c r="N8" t="str">
        <f t="shared" si="0"/>
        <v>CC</v>
      </c>
    </row>
    <row r="9" spans="1:14" x14ac:dyDescent="0.25">
      <c r="A9" t="s">
        <v>300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198</v>
      </c>
      <c r="K9" t="s">
        <v>233</v>
      </c>
      <c r="L9" t="s">
        <v>209</v>
      </c>
      <c r="M9" t="s">
        <v>225</v>
      </c>
      <c r="N9" t="str">
        <f t="shared" si="0"/>
        <v>POOL</v>
      </c>
    </row>
    <row r="10" spans="1:14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198</v>
      </c>
      <c r="K10" t="s">
        <v>202</v>
      </c>
      <c r="L10" t="s">
        <v>210</v>
      </c>
      <c r="M10" t="s">
        <v>225</v>
      </c>
      <c r="N10" t="str">
        <f t="shared" si="0"/>
        <v>ZS</v>
      </c>
    </row>
    <row r="11" spans="1:14" x14ac:dyDescent="0.25">
      <c r="A11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 t="s">
        <v>198</v>
      </c>
      <c r="K11" t="s">
        <v>203</v>
      </c>
      <c r="L11" t="s">
        <v>210</v>
      </c>
      <c r="M11" t="s">
        <v>225</v>
      </c>
      <c r="N11" t="str">
        <f t="shared" si="0"/>
        <v>ZS\&amp;POOL</v>
      </c>
    </row>
    <row r="12" spans="1:14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198</v>
      </c>
      <c r="K12" t="s">
        <v>204</v>
      </c>
      <c r="L12" t="s">
        <v>210</v>
      </c>
      <c r="M12" t="s">
        <v>225</v>
      </c>
      <c r="N12" t="str">
        <f t="shared" si="0"/>
        <v>ZSGL</v>
      </c>
    </row>
    <row r="13" spans="1:14" x14ac:dyDescent="0.25">
      <c r="A13" t="s">
        <v>301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198</v>
      </c>
      <c r="K13" t="s">
        <v>239</v>
      </c>
      <c r="L13" t="s">
        <v>210</v>
      </c>
      <c r="M13" t="s">
        <v>225</v>
      </c>
      <c r="N13" t="str">
        <f t="shared" si="0"/>
        <v>BFCS</v>
      </c>
    </row>
    <row r="14" spans="1:14" x14ac:dyDescent="0.25">
      <c r="A14" t="s">
        <v>302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198</v>
      </c>
      <c r="K14" t="s">
        <v>241</v>
      </c>
      <c r="L14" t="s">
        <v>210</v>
      </c>
      <c r="M14" t="s">
        <v>225</v>
      </c>
      <c r="N14" t="str">
        <f t="shared" si="0"/>
        <v>SSSS</v>
      </c>
    </row>
    <row r="15" spans="1:14" x14ac:dyDescent="0.25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198</v>
      </c>
      <c r="K15" t="s">
        <v>206</v>
      </c>
      <c r="L15" t="s">
        <v>210</v>
      </c>
      <c r="M15" t="s">
        <v>225</v>
      </c>
      <c r="N15" t="str">
        <f t="shared" si="0"/>
        <v>BMS</v>
      </c>
    </row>
    <row r="16" spans="1:14" x14ac:dyDescent="0.25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198</v>
      </c>
      <c r="K16" t="s">
        <v>207</v>
      </c>
      <c r="L16" t="s">
        <v>210</v>
      </c>
      <c r="M16" t="s">
        <v>225</v>
      </c>
      <c r="N16" t="str">
        <f t="shared" si="0"/>
        <v>CC</v>
      </c>
    </row>
    <row r="17" spans="1:14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198</v>
      </c>
      <c r="K17" t="s">
        <v>233</v>
      </c>
      <c r="L17" t="s">
        <v>210</v>
      </c>
      <c r="M17" t="s">
        <v>225</v>
      </c>
      <c r="N17" t="str">
        <f t="shared" si="0"/>
        <v>POOL</v>
      </c>
    </row>
    <row r="18" spans="1:14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198</v>
      </c>
      <c r="K18" t="s">
        <v>202</v>
      </c>
      <c r="L18" t="s">
        <v>211</v>
      </c>
      <c r="M18" t="s">
        <v>225</v>
      </c>
      <c r="N18" t="str">
        <f t="shared" si="0"/>
        <v>ZS</v>
      </c>
    </row>
    <row r="19" spans="1:14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198</v>
      </c>
      <c r="K19" t="s">
        <v>203</v>
      </c>
      <c r="L19" t="s">
        <v>211</v>
      </c>
      <c r="M19" t="s">
        <v>225</v>
      </c>
      <c r="N19" t="str">
        <f t="shared" si="0"/>
        <v>ZS\&amp;POOL</v>
      </c>
    </row>
    <row r="20" spans="1:14" x14ac:dyDescent="0.25">
      <c r="A20" t="s">
        <v>11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 t="s">
        <v>198</v>
      </c>
      <c r="K20" t="s">
        <v>204</v>
      </c>
      <c r="L20" t="s">
        <v>211</v>
      </c>
      <c r="M20" t="s">
        <v>225</v>
      </c>
      <c r="N20" t="str">
        <f t="shared" si="0"/>
        <v>ZSGL</v>
      </c>
    </row>
    <row r="21" spans="1:14" x14ac:dyDescent="0.25">
      <c r="A21" t="s">
        <v>304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198</v>
      </c>
      <c r="K21" t="s">
        <v>239</v>
      </c>
      <c r="L21" t="s">
        <v>211</v>
      </c>
      <c r="M21" t="s">
        <v>225</v>
      </c>
      <c r="N21" t="str">
        <f t="shared" si="0"/>
        <v>BFCS</v>
      </c>
    </row>
    <row r="22" spans="1:14" x14ac:dyDescent="0.25">
      <c r="A22" t="s">
        <v>305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198</v>
      </c>
      <c r="K22" t="s">
        <v>241</v>
      </c>
      <c r="L22" t="s">
        <v>211</v>
      </c>
      <c r="M22" t="s">
        <v>225</v>
      </c>
      <c r="N22" t="str">
        <f t="shared" si="0"/>
        <v>SSSS</v>
      </c>
    </row>
    <row r="23" spans="1:14" x14ac:dyDescent="0.25">
      <c r="A23" t="s">
        <v>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198</v>
      </c>
      <c r="K23" t="s">
        <v>206</v>
      </c>
      <c r="L23" t="s">
        <v>211</v>
      </c>
      <c r="M23" t="s">
        <v>225</v>
      </c>
      <c r="N23" t="str">
        <f t="shared" si="0"/>
        <v>BMS</v>
      </c>
    </row>
    <row r="24" spans="1:14" x14ac:dyDescent="0.25">
      <c r="A24" t="s">
        <v>263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198</v>
      </c>
      <c r="K24" t="s">
        <v>207</v>
      </c>
      <c r="L24" t="s">
        <v>211</v>
      </c>
      <c r="M24" t="s">
        <v>225</v>
      </c>
      <c r="N24" t="str">
        <f t="shared" si="0"/>
        <v>CC</v>
      </c>
    </row>
    <row r="25" spans="1:14" x14ac:dyDescent="0.25">
      <c r="A25" t="s">
        <v>306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 t="s">
        <v>198</v>
      </c>
      <c r="K25" t="s">
        <v>233</v>
      </c>
      <c r="L25" t="s">
        <v>211</v>
      </c>
      <c r="M25" t="s">
        <v>225</v>
      </c>
      <c r="N25" t="str">
        <f t="shared" si="0"/>
        <v>POOL</v>
      </c>
    </row>
    <row r="26" spans="1:14" x14ac:dyDescent="0.25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198</v>
      </c>
      <c r="K26" t="s">
        <v>202</v>
      </c>
      <c r="L26" t="s">
        <v>212</v>
      </c>
      <c r="M26" t="s">
        <v>225</v>
      </c>
      <c r="N26" t="str">
        <f t="shared" si="0"/>
        <v>ZS</v>
      </c>
    </row>
    <row r="27" spans="1:14" x14ac:dyDescent="0.25">
      <c r="A27" t="s">
        <v>14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198</v>
      </c>
      <c r="K27" t="s">
        <v>203</v>
      </c>
      <c r="L27" t="s">
        <v>212</v>
      </c>
      <c r="M27" t="s">
        <v>225</v>
      </c>
      <c r="N27" t="str">
        <f t="shared" si="0"/>
        <v>ZS\&amp;POOL</v>
      </c>
    </row>
    <row r="28" spans="1:14" x14ac:dyDescent="0.2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198</v>
      </c>
      <c r="K28" t="s">
        <v>204</v>
      </c>
      <c r="L28" t="s">
        <v>212</v>
      </c>
      <c r="M28" t="s">
        <v>225</v>
      </c>
      <c r="N28" t="str">
        <f t="shared" si="0"/>
        <v>ZSGL</v>
      </c>
    </row>
    <row r="29" spans="1:14" x14ac:dyDescent="0.25">
      <c r="A29" t="s">
        <v>307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198</v>
      </c>
      <c r="K29" t="s">
        <v>239</v>
      </c>
      <c r="L29" t="s">
        <v>212</v>
      </c>
      <c r="M29" t="s">
        <v>225</v>
      </c>
      <c r="N29" t="str">
        <f t="shared" si="0"/>
        <v>BFCS</v>
      </c>
    </row>
    <row r="30" spans="1:14" x14ac:dyDescent="0.25">
      <c r="A30" t="s">
        <v>308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198</v>
      </c>
      <c r="K30" t="s">
        <v>241</v>
      </c>
      <c r="L30" t="s">
        <v>212</v>
      </c>
      <c r="M30" t="s">
        <v>225</v>
      </c>
      <c r="N30" t="str">
        <f t="shared" si="0"/>
        <v>SSSS</v>
      </c>
    </row>
    <row r="31" spans="1:14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198</v>
      </c>
      <c r="K31" t="s">
        <v>206</v>
      </c>
      <c r="L31" t="s">
        <v>212</v>
      </c>
      <c r="M31" t="s">
        <v>225</v>
      </c>
      <c r="N31" t="str">
        <f t="shared" si="0"/>
        <v>BMS</v>
      </c>
    </row>
    <row r="32" spans="1:14" x14ac:dyDescent="0.25">
      <c r="A32" t="s">
        <v>264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198</v>
      </c>
      <c r="K32" t="s">
        <v>207</v>
      </c>
      <c r="L32" t="s">
        <v>212</v>
      </c>
      <c r="M32" t="s">
        <v>225</v>
      </c>
      <c r="N32" t="str">
        <f t="shared" si="0"/>
        <v>CC</v>
      </c>
    </row>
    <row r="33" spans="1:14" x14ac:dyDescent="0.25">
      <c r="A33" t="s">
        <v>309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198</v>
      </c>
      <c r="K33" t="s">
        <v>233</v>
      </c>
      <c r="L33" t="s">
        <v>212</v>
      </c>
      <c r="M33" t="s">
        <v>225</v>
      </c>
      <c r="N33" t="str">
        <f t="shared" si="0"/>
        <v>POOL</v>
      </c>
    </row>
    <row r="34" spans="1:14" x14ac:dyDescent="0.25">
      <c r="A34" t="s">
        <v>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198</v>
      </c>
      <c r="K34" t="s">
        <v>202</v>
      </c>
      <c r="L34" t="s">
        <v>213</v>
      </c>
      <c r="M34" t="s">
        <v>225</v>
      </c>
      <c r="N34" t="str">
        <f t="shared" si="0"/>
        <v>ZS</v>
      </c>
    </row>
    <row r="35" spans="1:14" x14ac:dyDescent="0.25">
      <c r="A35" t="s">
        <v>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198</v>
      </c>
      <c r="K35" t="s">
        <v>203</v>
      </c>
      <c r="L35" t="s">
        <v>213</v>
      </c>
      <c r="M35" t="s">
        <v>225</v>
      </c>
      <c r="N35" t="str">
        <f t="shared" si="0"/>
        <v>ZS\&amp;POOL</v>
      </c>
    </row>
    <row r="36" spans="1:14" x14ac:dyDescent="0.25">
      <c r="A36" t="s">
        <v>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198</v>
      </c>
      <c r="K36" t="s">
        <v>204</v>
      </c>
      <c r="L36" t="s">
        <v>213</v>
      </c>
      <c r="M36" t="s">
        <v>225</v>
      </c>
      <c r="N36" t="str">
        <f t="shared" si="0"/>
        <v>ZSGL</v>
      </c>
    </row>
    <row r="37" spans="1:14" x14ac:dyDescent="0.25">
      <c r="A37" t="s">
        <v>310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198</v>
      </c>
      <c r="K37" t="s">
        <v>239</v>
      </c>
      <c r="L37" t="s">
        <v>213</v>
      </c>
      <c r="M37" t="s">
        <v>225</v>
      </c>
      <c r="N37" t="str">
        <f t="shared" si="0"/>
        <v>BFCS</v>
      </c>
    </row>
    <row r="38" spans="1:14" x14ac:dyDescent="0.25">
      <c r="A38" t="s">
        <v>311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198</v>
      </c>
      <c r="K38" t="s">
        <v>241</v>
      </c>
      <c r="L38" t="s">
        <v>213</v>
      </c>
      <c r="M38" t="s">
        <v>225</v>
      </c>
      <c r="N38" t="str">
        <f t="shared" si="0"/>
        <v>SSSS</v>
      </c>
    </row>
    <row r="39" spans="1:14" x14ac:dyDescent="0.25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198</v>
      </c>
      <c r="K39" t="s">
        <v>206</v>
      </c>
      <c r="L39" t="s">
        <v>213</v>
      </c>
      <c r="M39" t="s">
        <v>225</v>
      </c>
      <c r="N39" t="str">
        <f t="shared" si="0"/>
        <v>BMS</v>
      </c>
    </row>
    <row r="40" spans="1:14" x14ac:dyDescent="0.25">
      <c r="A40" t="s">
        <v>265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198</v>
      </c>
      <c r="K40" t="s">
        <v>207</v>
      </c>
      <c r="L40" t="s">
        <v>213</v>
      </c>
      <c r="M40" t="s">
        <v>225</v>
      </c>
      <c r="N40" t="str">
        <f t="shared" si="0"/>
        <v>CC</v>
      </c>
    </row>
    <row r="41" spans="1:14" x14ac:dyDescent="0.25">
      <c r="A41" t="s">
        <v>312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198</v>
      </c>
      <c r="K41" t="s">
        <v>233</v>
      </c>
      <c r="L41" t="s">
        <v>213</v>
      </c>
      <c r="M41" t="s">
        <v>225</v>
      </c>
      <c r="N41" t="str">
        <f t="shared" si="0"/>
        <v>POOL</v>
      </c>
    </row>
    <row r="42" spans="1:14" x14ac:dyDescent="0.25">
      <c r="A42" t="s">
        <v>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198</v>
      </c>
      <c r="K42" t="s">
        <v>202</v>
      </c>
      <c r="L42" t="s">
        <v>214</v>
      </c>
      <c r="M42" t="s">
        <v>225</v>
      </c>
      <c r="N42" t="str">
        <f t="shared" si="0"/>
        <v>ZS</v>
      </c>
    </row>
    <row r="43" spans="1:14" x14ac:dyDescent="0.25">
      <c r="A43" t="s">
        <v>22</v>
      </c>
      <c r="B43">
        <v>0</v>
      </c>
      <c r="C43">
        <v>0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 t="s">
        <v>198</v>
      </c>
      <c r="K43" t="s">
        <v>203</v>
      </c>
      <c r="L43" t="s">
        <v>214</v>
      </c>
      <c r="M43" t="s">
        <v>225</v>
      </c>
      <c r="N43" t="str">
        <f t="shared" si="0"/>
        <v>ZS\&amp;POOL</v>
      </c>
    </row>
    <row r="44" spans="1:14" x14ac:dyDescent="0.25">
      <c r="A44" t="s">
        <v>23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198</v>
      </c>
      <c r="K44" t="s">
        <v>204</v>
      </c>
      <c r="L44" t="s">
        <v>214</v>
      </c>
      <c r="M44" t="s">
        <v>225</v>
      </c>
      <c r="N44" t="str">
        <f t="shared" si="0"/>
        <v>ZSGL</v>
      </c>
    </row>
    <row r="45" spans="1:14" x14ac:dyDescent="0.25">
      <c r="A45" t="s">
        <v>313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198</v>
      </c>
      <c r="K45" t="s">
        <v>239</v>
      </c>
      <c r="L45" t="s">
        <v>214</v>
      </c>
      <c r="M45" t="s">
        <v>225</v>
      </c>
      <c r="N45" t="str">
        <f t="shared" si="0"/>
        <v>BFCS</v>
      </c>
    </row>
    <row r="46" spans="1:14" x14ac:dyDescent="0.25">
      <c r="A46" t="s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198</v>
      </c>
      <c r="K46" t="s">
        <v>241</v>
      </c>
      <c r="L46" t="s">
        <v>214</v>
      </c>
      <c r="M46" t="s">
        <v>225</v>
      </c>
      <c r="N46" t="str">
        <f t="shared" si="0"/>
        <v>SSSS</v>
      </c>
    </row>
    <row r="47" spans="1:14" x14ac:dyDescent="0.25">
      <c r="A47" t="s">
        <v>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198</v>
      </c>
      <c r="K47" t="s">
        <v>206</v>
      </c>
      <c r="L47" t="s">
        <v>214</v>
      </c>
      <c r="M47" t="s">
        <v>225</v>
      </c>
      <c r="N47" t="str">
        <f t="shared" si="0"/>
        <v>BMS</v>
      </c>
    </row>
    <row r="48" spans="1:14" x14ac:dyDescent="0.25">
      <c r="A48" t="s">
        <v>266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207</v>
      </c>
      <c r="L48" t="s">
        <v>214</v>
      </c>
      <c r="M48" t="s">
        <v>225</v>
      </c>
      <c r="N48" t="str">
        <f t="shared" si="0"/>
        <v>CC</v>
      </c>
    </row>
    <row r="49" spans="1:14" x14ac:dyDescent="0.25">
      <c r="A49" t="s">
        <v>315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198</v>
      </c>
      <c r="K49" t="s">
        <v>233</v>
      </c>
      <c r="L49" t="s">
        <v>214</v>
      </c>
      <c r="M49" t="s">
        <v>225</v>
      </c>
      <c r="N49" t="str">
        <f t="shared" si="0"/>
        <v>POOL</v>
      </c>
    </row>
    <row r="50" spans="1:14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198</v>
      </c>
      <c r="K50" t="s">
        <v>202</v>
      </c>
      <c r="L50" t="s">
        <v>215</v>
      </c>
      <c r="M50" t="s">
        <v>225</v>
      </c>
      <c r="N50" t="str">
        <f t="shared" si="0"/>
        <v>ZS</v>
      </c>
    </row>
    <row r="51" spans="1:14" x14ac:dyDescent="0.25">
      <c r="A51" t="s">
        <v>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198</v>
      </c>
      <c r="K51" t="s">
        <v>203</v>
      </c>
      <c r="L51" t="s">
        <v>215</v>
      </c>
      <c r="M51" t="s">
        <v>225</v>
      </c>
      <c r="N51" t="str">
        <f t="shared" si="0"/>
        <v>ZS\&amp;POOL</v>
      </c>
    </row>
    <row r="52" spans="1:14" x14ac:dyDescent="0.25">
      <c r="A52" t="s">
        <v>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198</v>
      </c>
      <c r="K52" t="s">
        <v>204</v>
      </c>
      <c r="L52" t="s">
        <v>215</v>
      </c>
      <c r="M52" t="s">
        <v>225</v>
      </c>
      <c r="N52" t="str">
        <f t="shared" si="0"/>
        <v>ZSGL</v>
      </c>
    </row>
    <row r="53" spans="1:14" x14ac:dyDescent="0.25">
      <c r="A53" t="s">
        <v>316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198</v>
      </c>
      <c r="K53" t="s">
        <v>239</v>
      </c>
      <c r="L53" t="s">
        <v>215</v>
      </c>
      <c r="M53" t="s">
        <v>225</v>
      </c>
      <c r="N53" t="str">
        <f t="shared" si="0"/>
        <v>BFCS</v>
      </c>
    </row>
    <row r="54" spans="1:14" x14ac:dyDescent="0.25">
      <c r="A54" t="s">
        <v>317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198</v>
      </c>
      <c r="K54" t="s">
        <v>241</v>
      </c>
      <c r="L54" t="s">
        <v>215</v>
      </c>
      <c r="M54" t="s">
        <v>225</v>
      </c>
      <c r="N54" t="str">
        <f t="shared" si="0"/>
        <v>SSSS</v>
      </c>
    </row>
    <row r="55" spans="1:14" x14ac:dyDescent="0.25">
      <c r="A55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198</v>
      </c>
      <c r="K55" t="s">
        <v>206</v>
      </c>
      <c r="L55" t="s">
        <v>215</v>
      </c>
      <c r="M55" t="s">
        <v>225</v>
      </c>
      <c r="N55" t="str">
        <f t="shared" si="0"/>
        <v>BMS</v>
      </c>
    </row>
    <row r="56" spans="1:14" x14ac:dyDescent="0.25">
      <c r="A56" t="s">
        <v>267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198</v>
      </c>
      <c r="K56" t="s">
        <v>207</v>
      </c>
      <c r="L56" t="s">
        <v>215</v>
      </c>
      <c r="M56" t="s">
        <v>225</v>
      </c>
      <c r="N56" t="str">
        <f t="shared" si="0"/>
        <v>CC</v>
      </c>
    </row>
    <row r="57" spans="1:14" x14ac:dyDescent="0.25">
      <c r="A57" t="s">
        <v>318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198</v>
      </c>
      <c r="K57" t="s">
        <v>233</v>
      </c>
      <c r="L57" t="s">
        <v>215</v>
      </c>
      <c r="M57" t="s">
        <v>225</v>
      </c>
      <c r="N57" t="str">
        <f t="shared" si="0"/>
        <v>POOL</v>
      </c>
    </row>
    <row r="58" spans="1:14" x14ac:dyDescent="0.25">
      <c r="A58" t="s">
        <v>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198</v>
      </c>
      <c r="K58" t="s">
        <v>202</v>
      </c>
      <c r="L58" t="s">
        <v>216</v>
      </c>
      <c r="M58" t="s">
        <v>225</v>
      </c>
      <c r="N58" t="str">
        <f t="shared" si="0"/>
        <v>ZS</v>
      </c>
    </row>
    <row r="59" spans="1:14" x14ac:dyDescent="0.25">
      <c r="A59" t="s">
        <v>30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198</v>
      </c>
      <c r="K59" t="s">
        <v>203</v>
      </c>
      <c r="L59" t="s">
        <v>216</v>
      </c>
      <c r="M59" t="s">
        <v>225</v>
      </c>
      <c r="N59" t="str">
        <f t="shared" si="0"/>
        <v>ZS\&amp;POOL</v>
      </c>
    </row>
    <row r="60" spans="1:14" x14ac:dyDescent="0.25">
      <c r="A60" t="s">
        <v>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198</v>
      </c>
      <c r="K60" t="s">
        <v>204</v>
      </c>
      <c r="L60" t="s">
        <v>216</v>
      </c>
      <c r="M60" t="s">
        <v>225</v>
      </c>
      <c r="N60" t="str">
        <f t="shared" si="0"/>
        <v>ZSGL</v>
      </c>
    </row>
    <row r="61" spans="1:14" x14ac:dyDescent="0.25">
      <c r="A61" t="s">
        <v>319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198</v>
      </c>
      <c r="K61" t="s">
        <v>239</v>
      </c>
      <c r="L61" t="s">
        <v>216</v>
      </c>
      <c r="M61" t="s">
        <v>225</v>
      </c>
      <c r="N61" t="str">
        <f t="shared" si="0"/>
        <v>BFCS</v>
      </c>
    </row>
    <row r="62" spans="1:14" x14ac:dyDescent="0.25">
      <c r="A62" t="s">
        <v>320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198</v>
      </c>
      <c r="K62" t="s">
        <v>241</v>
      </c>
      <c r="L62" t="s">
        <v>216</v>
      </c>
      <c r="M62" t="s">
        <v>225</v>
      </c>
      <c r="N62" t="str">
        <f t="shared" si="0"/>
        <v>SSSS</v>
      </c>
    </row>
    <row r="63" spans="1:14" x14ac:dyDescent="0.25">
      <c r="A63" t="s">
        <v>32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198</v>
      </c>
      <c r="K63" t="s">
        <v>206</v>
      </c>
      <c r="L63" t="s">
        <v>216</v>
      </c>
      <c r="M63" t="s">
        <v>225</v>
      </c>
      <c r="N63" t="str">
        <f t="shared" si="0"/>
        <v>BMS</v>
      </c>
    </row>
    <row r="64" spans="1:14" x14ac:dyDescent="0.25">
      <c r="A64" t="s">
        <v>268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198</v>
      </c>
      <c r="K64" t="s">
        <v>207</v>
      </c>
      <c r="L64" t="s">
        <v>216</v>
      </c>
      <c r="M64" t="s">
        <v>225</v>
      </c>
      <c r="N64" t="str">
        <f t="shared" si="0"/>
        <v>CC</v>
      </c>
    </row>
    <row r="65" spans="1:14" x14ac:dyDescent="0.25">
      <c r="A65" t="s">
        <v>321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198</v>
      </c>
      <c r="K65" t="s">
        <v>233</v>
      </c>
      <c r="L65" t="s">
        <v>216</v>
      </c>
      <c r="M65" t="s">
        <v>225</v>
      </c>
      <c r="N65" t="str">
        <f t="shared" si="0"/>
        <v>POOL</v>
      </c>
    </row>
    <row r="66" spans="1:14" x14ac:dyDescent="0.25">
      <c r="A66" t="s">
        <v>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198</v>
      </c>
      <c r="K66" t="s">
        <v>202</v>
      </c>
      <c r="L66" t="s">
        <v>217</v>
      </c>
      <c r="M66" t="s">
        <v>225</v>
      </c>
      <c r="N66" t="str">
        <f t="shared" ref="N66:N129" si="1">VLOOKUP(K66,modelNames,2,FALSE)</f>
        <v>ZS</v>
      </c>
    </row>
    <row r="67" spans="1:14" x14ac:dyDescent="0.25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198</v>
      </c>
      <c r="K67" t="s">
        <v>203</v>
      </c>
      <c r="L67" t="s">
        <v>217</v>
      </c>
      <c r="M67" t="s">
        <v>225</v>
      </c>
      <c r="N67" t="str">
        <f t="shared" si="1"/>
        <v>ZS\&amp;POOL</v>
      </c>
    </row>
    <row r="68" spans="1:14" x14ac:dyDescent="0.25">
      <c r="A68" t="s">
        <v>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198</v>
      </c>
      <c r="K68" t="s">
        <v>204</v>
      </c>
      <c r="L68" t="s">
        <v>217</v>
      </c>
      <c r="M68" t="s">
        <v>225</v>
      </c>
      <c r="N68" t="str">
        <f t="shared" si="1"/>
        <v>ZSGL</v>
      </c>
    </row>
    <row r="69" spans="1:14" x14ac:dyDescent="0.25">
      <c r="A69" t="s">
        <v>322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198</v>
      </c>
      <c r="K69" t="s">
        <v>239</v>
      </c>
      <c r="L69" t="s">
        <v>217</v>
      </c>
      <c r="M69" t="s">
        <v>225</v>
      </c>
      <c r="N69" t="str">
        <f t="shared" si="1"/>
        <v>BFCS</v>
      </c>
    </row>
    <row r="70" spans="1:14" x14ac:dyDescent="0.25">
      <c r="A70" t="s">
        <v>323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198</v>
      </c>
      <c r="K70" t="s">
        <v>241</v>
      </c>
      <c r="L70" t="s">
        <v>217</v>
      </c>
      <c r="M70" t="s">
        <v>225</v>
      </c>
      <c r="N70" t="str">
        <f t="shared" si="1"/>
        <v>SSSS</v>
      </c>
    </row>
    <row r="71" spans="1:14" x14ac:dyDescent="0.25">
      <c r="A71" t="s">
        <v>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198</v>
      </c>
      <c r="K71" t="s">
        <v>206</v>
      </c>
      <c r="L71" t="s">
        <v>217</v>
      </c>
      <c r="M71" t="s">
        <v>225</v>
      </c>
      <c r="N71" t="str">
        <f t="shared" si="1"/>
        <v>BMS</v>
      </c>
    </row>
    <row r="72" spans="1:14" x14ac:dyDescent="0.25">
      <c r="A72" t="s">
        <v>269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198</v>
      </c>
      <c r="K72" t="s">
        <v>207</v>
      </c>
      <c r="L72" t="s">
        <v>217</v>
      </c>
      <c r="M72" t="s">
        <v>225</v>
      </c>
      <c r="N72" t="str">
        <f t="shared" si="1"/>
        <v>CC</v>
      </c>
    </row>
    <row r="73" spans="1:14" x14ac:dyDescent="0.25">
      <c r="A73" t="s">
        <v>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198</v>
      </c>
      <c r="K73" t="s">
        <v>233</v>
      </c>
      <c r="L73" t="s">
        <v>217</v>
      </c>
      <c r="M73" t="s">
        <v>225</v>
      </c>
      <c r="N73" t="str">
        <f t="shared" si="1"/>
        <v>POOL</v>
      </c>
    </row>
    <row r="74" spans="1:14" x14ac:dyDescent="0.25">
      <c r="A74" t="s">
        <v>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198</v>
      </c>
      <c r="K74" t="s">
        <v>202</v>
      </c>
      <c r="L74" t="s">
        <v>218</v>
      </c>
      <c r="M74" t="s">
        <v>225</v>
      </c>
      <c r="N74" t="str">
        <f t="shared" si="1"/>
        <v>ZS</v>
      </c>
    </row>
    <row r="75" spans="1:14" x14ac:dyDescent="0.25">
      <c r="A75" t="s">
        <v>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198</v>
      </c>
      <c r="K75" t="s">
        <v>203</v>
      </c>
      <c r="L75" t="s">
        <v>218</v>
      </c>
      <c r="M75" t="s">
        <v>225</v>
      </c>
      <c r="N75" t="str">
        <f t="shared" si="1"/>
        <v>ZS\&amp;POOL</v>
      </c>
    </row>
    <row r="76" spans="1:14" x14ac:dyDescent="0.25">
      <c r="A76" t="s">
        <v>39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198</v>
      </c>
      <c r="K76" t="s">
        <v>204</v>
      </c>
      <c r="L76" t="s">
        <v>218</v>
      </c>
      <c r="M76" t="s">
        <v>225</v>
      </c>
      <c r="N76" t="str">
        <f t="shared" si="1"/>
        <v>ZSGL</v>
      </c>
    </row>
    <row r="77" spans="1:14" x14ac:dyDescent="0.25">
      <c r="A77" t="s">
        <v>325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198</v>
      </c>
      <c r="K77" t="s">
        <v>239</v>
      </c>
      <c r="L77" t="s">
        <v>218</v>
      </c>
      <c r="M77" t="s">
        <v>225</v>
      </c>
      <c r="N77" t="str">
        <f t="shared" si="1"/>
        <v>BFCS</v>
      </c>
    </row>
    <row r="78" spans="1:14" x14ac:dyDescent="0.25">
      <c r="A78" t="s">
        <v>326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198</v>
      </c>
      <c r="K78" t="s">
        <v>241</v>
      </c>
      <c r="L78" t="s">
        <v>218</v>
      </c>
      <c r="M78" t="s">
        <v>225</v>
      </c>
      <c r="N78" t="str">
        <f t="shared" si="1"/>
        <v>SSSS</v>
      </c>
    </row>
    <row r="79" spans="1:14" x14ac:dyDescent="0.25">
      <c r="A79" t="s">
        <v>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198</v>
      </c>
      <c r="K79" t="s">
        <v>206</v>
      </c>
      <c r="L79" t="s">
        <v>218</v>
      </c>
      <c r="M79" t="s">
        <v>225</v>
      </c>
      <c r="N79" t="str">
        <f t="shared" si="1"/>
        <v>BMS</v>
      </c>
    </row>
    <row r="80" spans="1:14" x14ac:dyDescent="0.25">
      <c r="A80" t="s">
        <v>270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198</v>
      </c>
      <c r="K80" t="s">
        <v>207</v>
      </c>
      <c r="L80" t="s">
        <v>218</v>
      </c>
      <c r="M80" t="s">
        <v>225</v>
      </c>
      <c r="N80" t="str">
        <f t="shared" si="1"/>
        <v>CC</v>
      </c>
    </row>
    <row r="81" spans="1:14" x14ac:dyDescent="0.25">
      <c r="A81" t="s">
        <v>327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198</v>
      </c>
      <c r="K81" t="s">
        <v>233</v>
      </c>
      <c r="L81" t="s">
        <v>218</v>
      </c>
      <c r="M81" t="s">
        <v>225</v>
      </c>
      <c r="N81" t="str">
        <f t="shared" si="1"/>
        <v>POOL</v>
      </c>
    </row>
    <row r="82" spans="1:14" x14ac:dyDescent="0.25">
      <c r="A82" t="s">
        <v>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198</v>
      </c>
      <c r="K82" t="s">
        <v>202</v>
      </c>
      <c r="L82" t="s">
        <v>219</v>
      </c>
      <c r="M82" t="s">
        <v>225</v>
      </c>
      <c r="N82" t="str">
        <f t="shared" si="1"/>
        <v>ZS</v>
      </c>
    </row>
    <row r="83" spans="1:14" x14ac:dyDescent="0.25">
      <c r="A83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198</v>
      </c>
      <c r="K83" t="s">
        <v>203</v>
      </c>
      <c r="L83" t="s">
        <v>219</v>
      </c>
      <c r="M83" t="s">
        <v>225</v>
      </c>
      <c r="N83" t="str">
        <f t="shared" si="1"/>
        <v>ZS\&amp;POOL</v>
      </c>
    </row>
    <row r="84" spans="1:14" x14ac:dyDescent="0.25">
      <c r="A84" t="s">
        <v>43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198</v>
      </c>
      <c r="K84" t="s">
        <v>204</v>
      </c>
      <c r="L84" t="s">
        <v>219</v>
      </c>
      <c r="M84" t="s">
        <v>225</v>
      </c>
      <c r="N84" t="str">
        <f t="shared" si="1"/>
        <v>ZSGL</v>
      </c>
    </row>
    <row r="85" spans="1:14" x14ac:dyDescent="0.25">
      <c r="A85" t="s">
        <v>328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198</v>
      </c>
      <c r="K85" t="s">
        <v>239</v>
      </c>
      <c r="L85" t="s">
        <v>219</v>
      </c>
      <c r="M85" t="s">
        <v>225</v>
      </c>
      <c r="N85" t="str">
        <f t="shared" si="1"/>
        <v>BFCS</v>
      </c>
    </row>
    <row r="86" spans="1:14" x14ac:dyDescent="0.25">
      <c r="A86" t="s">
        <v>329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198</v>
      </c>
      <c r="K86" t="s">
        <v>241</v>
      </c>
      <c r="L86" t="s">
        <v>219</v>
      </c>
      <c r="M86" t="s">
        <v>225</v>
      </c>
      <c r="N86" t="str">
        <f t="shared" si="1"/>
        <v>SSSS</v>
      </c>
    </row>
    <row r="87" spans="1:14" x14ac:dyDescent="0.25">
      <c r="A87" t="s">
        <v>44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198</v>
      </c>
      <c r="K87" t="s">
        <v>206</v>
      </c>
      <c r="L87" t="s">
        <v>219</v>
      </c>
      <c r="M87" t="s">
        <v>225</v>
      </c>
      <c r="N87" t="str">
        <f t="shared" si="1"/>
        <v>BMS</v>
      </c>
    </row>
    <row r="88" spans="1:14" x14ac:dyDescent="0.25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198</v>
      </c>
      <c r="K88" t="s">
        <v>207</v>
      </c>
      <c r="L88" t="s">
        <v>219</v>
      </c>
      <c r="M88" t="s">
        <v>225</v>
      </c>
      <c r="N88" t="str">
        <f t="shared" si="1"/>
        <v>CC</v>
      </c>
    </row>
    <row r="89" spans="1:14" x14ac:dyDescent="0.25">
      <c r="A89" t="s">
        <v>330</v>
      </c>
      <c r="B89">
        <v>0</v>
      </c>
      <c r="C89">
        <v>0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 t="s">
        <v>198</v>
      </c>
      <c r="K89" t="s">
        <v>233</v>
      </c>
      <c r="L89" t="s">
        <v>219</v>
      </c>
      <c r="M89" t="s">
        <v>225</v>
      </c>
      <c r="N89" t="str">
        <f t="shared" si="1"/>
        <v>POOL</v>
      </c>
    </row>
    <row r="90" spans="1:14" x14ac:dyDescent="0.25">
      <c r="A90" t="s">
        <v>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198</v>
      </c>
      <c r="K90" t="s">
        <v>202</v>
      </c>
      <c r="L90" t="s">
        <v>220</v>
      </c>
      <c r="M90" t="s">
        <v>225</v>
      </c>
      <c r="N90" t="str">
        <f t="shared" si="1"/>
        <v>ZS</v>
      </c>
    </row>
    <row r="91" spans="1:14" x14ac:dyDescent="0.25">
      <c r="A91" t="s">
        <v>46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198</v>
      </c>
      <c r="K91" t="s">
        <v>203</v>
      </c>
      <c r="L91" t="s">
        <v>220</v>
      </c>
      <c r="M91" t="s">
        <v>225</v>
      </c>
      <c r="N91" t="str">
        <f t="shared" si="1"/>
        <v>ZS\&amp;POOL</v>
      </c>
    </row>
    <row r="92" spans="1:14" x14ac:dyDescent="0.25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198</v>
      </c>
      <c r="K92" t="s">
        <v>204</v>
      </c>
      <c r="L92" t="s">
        <v>220</v>
      </c>
      <c r="M92" t="s">
        <v>225</v>
      </c>
      <c r="N92" t="str">
        <f t="shared" si="1"/>
        <v>ZSGL</v>
      </c>
    </row>
    <row r="93" spans="1:14" x14ac:dyDescent="0.25">
      <c r="A93" t="s">
        <v>331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198</v>
      </c>
      <c r="K93" t="s">
        <v>239</v>
      </c>
      <c r="L93" t="s">
        <v>220</v>
      </c>
      <c r="M93" t="s">
        <v>225</v>
      </c>
      <c r="N93" t="str">
        <f t="shared" si="1"/>
        <v>BFCS</v>
      </c>
    </row>
    <row r="94" spans="1:14" x14ac:dyDescent="0.25">
      <c r="A94" t="s">
        <v>332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198</v>
      </c>
      <c r="K94" t="s">
        <v>241</v>
      </c>
      <c r="L94" t="s">
        <v>220</v>
      </c>
      <c r="M94" t="s">
        <v>225</v>
      </c>
      <c r="N94" t="str">
        <f t="shared" si="1"/>
        <v>SSSS</v>
      </c>
    </row>
    <row r="95" spans="1:14" x14ac:dyDescent="0.25">
      <c r="A95" t="s">
        <v>48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198</v>
      </c>
      <c r="K95" t="s">
        <v>206</v>
      </c>
      <c r="L95" t="s">
        <v>220</v>
      </c>
      <c r="M95" t="s">
        <v>225</v>
      </c>
      <c r="N95" t="str">
        <f t="shared" si="1"/>
        <v>BMS</v>
      </c>
    </row>
    <row r="96" spans="1:14" x14ac:dyDescent="0.25">
      <c r="A96" t="s">
        <v>272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198</v>
      </c>
      <c r="K96" t="s">
        <v>207</v>
      </c>
      <c r="L96" t="s">
        <v>220</v>
      </c>
      <c r="M96" t="s">
        <v>225</v>
      </c>
      <c r="N96" t="str">
        <f t="shared" si="1"/>
        <v>CC</v>
      </c>
    </row>
    <row r="97" spans="1:14" x14ac:dyDescent="0.25">
      <c r="A97" t="s">
        <v>333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198</v>
      </c>
      <c r="K97" t="s">
        <v>233</v>
      </c>
      <c r="L97" t="s">
        <v>220</v>
      </c>
      <c r="M97" t="s">
        <v>225</v>
      </c>
      <c r="N97" t="str">
        <f t="shared" si="1"/>
        <v>POOL</v>
      </c>
    </row>
    <row r="98" spans="1:14" x14ac:dyDescent="0.25">
      <c r="A98" t="s">
        <v>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198</v>
      </c>
      <c r="K98" t="s">
        <v>202</v>
      </c>
      <c r="L98" t="s">
        <v>221</v>
      </c>
      <c r="M98" t="s">
        <v>225</v>
      </c>
      <c r="N98" t="str">
        <f t="shared" si="1"/>
        <v>ZS</v>
      </c>
    </row>
    <row r="99" spans="1:14" x14ac:dyDescent="0.25">
      <c r="A99" t="s">
        <v>50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198</v>
      </c>
      <c r="K99" t="s">
        <v>203</v>
      </c>
      <c r="L99" t="s">
        <v>221</v>
      </c>
      <c r="M99" t="s">
        <v>225</v>
      </c>
      <c r="N99" t="str">
        <f t="shared" si="1"/>
        <v>ZS\&amp;POOL</v>
      </c>
    </row>
    <row r="100" spans="1:14" x14ac:dyDescent="0.25">
      <c r="A100" t="s">
        <v>51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198</v>
      </c>
      <c r="K100" t="s">
        <v>204</v>
      </c>
      <c r="L100" t="s">
        <v>221</v>
      </c>
      <c r="M100" t="s">
        <v>225</v>
      </c>
      <c r="N100" t="str">
        <f t="shared" si="1"/>
        <v>ZSGL</v>
      </c>
    </row>
    <row r="101" spans="1:14" x14ac:dyDescent="0.25">
      <c r="A101" t="s">
        <v>334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198</v>
      </c>
      <c r="K101" t="s">
        <v>239</v>
      </c>
      <c r="L101" t="s">
        <v>221</v>
      </c>
      <c r="M101" t="s">
        <v>225</v>
      </c>
      <c r="N101" t="str">
        <f t="shared" si="1"/>
        <v>BFCS</v>
      </c>
    </row>
    <row r="102" spans="1:14" x14ac:dyDescent="0.25">
      <c r="A102" t="s">
        <v>335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198</v>
      </c>
      <c r="K102" t="s">
        <v>241</v>
      </c>
      <c r="L102" t="s">
        <v>221</v>
      </c>
      <c r="M102" t="s">
        <v>225</v>
      </c>
      <c r="N102" t="str">
        <f t="shared" si="1"/>
        <v>SSSS</v>
      </c>
    </row>
    <row r="103" spans="1:14" x14ac:dyDescent="0.25">
      <c r="A103" t="s">
        <v>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198</v>
      </c>
      <c r="K103" t="s">
        <v>206</v>
      </c>
      <c r="L103" t="s">
        <v>221</v>
      </c>
      <c r="M103" t="s">
        <v>225</v>
      </c>
      <c r="N103" t="str">
        <f t="shared" si="1"/>
        <v>BMS</v>
      </c>
    </row>
    <row r="104" spans="1:14" x14ac:dyDescent="0.25">
      <c r="A104" t="s">
        <v>273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198</v>
      </c>
      <c r="K104" t="s">
        <v>207</v>
      </c>
      <c r="L104" t="s">
        <v>221</v>
      </c>
      <c r="M104" t="s">
        <v>225</v>
      </c>
      <c r="N104" t="str">
        <f t="shared" si="1"/>
        <v>CC</v>
      </c>
    </row>
    <row r="105" spans="1:14" x14ac:dyDescent="0.25">
      <c r="A105" t="s">
        <v>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198</v>
      </c>
      <c r="K105" t="s">
        <v>233</v>
      </c>
      <c r="L105" t="s">
        <v>221</v>
      </c>
      <c r="M105" t="s">
        <v>225</v>
      </c>
      <c r="N105" t="str">
        <f t="shared" si="1"/>
        <v>POOL</v>
      </c>
    </row>
    <row r="106" spans="1:14" x14ac:dyDescent="0.25">
      <c r="A106" t="s">
        <v>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198</v>
      </c>
      <c r="K106" t="s">
        <v>202</v>
      </c>
      <c r="L106" t="s">
        <v>222</v>
      </c>
      <c r="M106" t="s">
        <v>225</v>
      </c>
      <c r="N106" t="str">
        <f t="shared" si="1"/>
        <v>ZS</v>
      </c>
    </row>
    <row r="107" spans="1:14" x14ac:dyDescent="0.25">
      <c r="A107" t="s">
        <v>54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 t="s">
        <v>198</v>
      </c>
      <c r="K107" t="s">
        <v>203</v>
      </c>
      <c r="L107" t="s">
        <v>222</v>
      </c>
      <c r="M107" t="s">
        <v>225</v>
      </c>
      <c r="N107" t="str">
        <f t="shared" si="1"/>
        <v>ZS\&amp;POOL</v>
      </c>
    </row>
    <row r="108" spans="1:14" x14ac:dyDescent="0.25">
      <c r="A108" t="s">
        <v>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 t="s">
        <v>198</v>
      </c>
      <c r="K108" t="s">
        <v>204</v>
      </c>
      <c r="L108" t="s">
        <v>222</v>
      </c>
      <c r="M108" t="s">
        <v>225</v>
      </c>
      <c r="N108" t="str">
        <f t="shared" si="1"/>
        <v>ZSGL</v>
      </c>
    </row>
    <row r="109" spans="1:14" x14ac:dyDescent="0.25">
      <c r="A109" t="s">
        <v>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198</v>
      </c>
      <c r="K109" t="s">
        <v>239</v>
      </c>
      <c r="L109" t="s">
        <v>222</v>
      </c>
      <c r="M109" t="s">
        <v>225</v>
      </c>
      <c r="N109" t="str">
        <f t="shared" si="1"/>
        <v>BFCS</v>
      </c>
    </row>
    <row r="110" spans="1:14" x14ac:dyDescent="0.25">
      <c r="A110" t="s">
        <v>338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198</v>
      </c>
      <c r="K110" t="s">
        <v>241</v>
      </c>
      <c r="L110" t="s">
        <v>222</v>
      </c>
      <c r="M110" t="s">
        <v>225</v>
      </c>
      <c r="N110" t="str">
        <f t="shared" si="1"/>
        <v>SSSS</v>
      </c>
    </row>
    <row r="111" spans="1:14" x14ac:dyDescent="0.25">
      <c r="A111" t="s">
        <v>56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198</v>
      </c>
      <c r="K111" t="s">
        <v>206</v>
      </c>
      <c r="L111" t="s">
        <v>222</v>
      </c>
      <c r="M111" t="s">
        <v>225</v>
      </c>
      <c r="N111" t="str">
        <f t="shared" si="1"/>
        <v>BMS</v>
      </c>
    </row>
    <row r="112" spans="1:14" x14ac:dyDescent="0.25">
      <c r="A112" t="s">
        <v>274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198</v>
      </c>
      <c r="K112" t="s">
        <v>207</v>
      </c>
      <c r="L112" t="s">
        <v>222</v>
      </c>
      <c r="M112" t="s">
        <v>225</v>
      </c>
      <c r="N112" t="str">
        <f t="shared" si="1"/>
        <v>CC</v>
      </c>
    </row>
    <row r="113" spans="1:14" x14ac:dyDescent="0.25">
      <c r="A113" t="s">
        <v>339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 t="s">
        <v>198</v>
      </c>
      <c r="K113" t="s">
        <v>233</v>
      </c>
      <c r="L113" t="s">
        <v>222</v>
      </c>
      <c r="M113" t="s">
        <v>225</v>
      </c>
      <c r="N113" t="str">
        <f t="shared" si="1"/>
        <v>POOL</v>
      </c>
    </row>
    <row r="114" spans="1:14" x14ac:dyDescent="0.25">
      <c r="A114" t="s">
        <v>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198</v>
      </c>
      <c r="K114" t="s">
        <v>202</v>
      </c>
      <c r="L114" t="s">
        <v>223</v>
      </c>
      <c r="M114" t="s">
        <v>225</v>
      </c>
      <c r="N114" t="str">
        <f t="shared" si="1"/>
        <v>ZS</v>
      </c>
    </row>
    <row r="115" spans="1:14" x14ac:dyDescent="0.25">
      <c r="A115" t="s">
        <v>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198</v>
      </c>
      <c r="K115" t="s">
        <v>203</v>
      </c>
      <c r="L115" t="s">
        <v>223</v>
      </c>
      <c r="M115" t="s">
        <v>225</v>
      </c>
      <c r="N115" t="str">
        <f t="shared" si="1"/>
        <v>ZS\&amp;POOL</v>
      </c>
    </row>
    <row r="116" spans="1:14" x14ac:dyDescent="0.25">
      <c r="A116" t="s">
        <v>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198</v>
      </c>
      <c r="K116" t="s">
        <v>204</v>
      </c>
      <c r="L116" t="s">
        <v>223</v>
      </c>
      <c r="M116" t="s">
        <v>225</v>
      </c>
      <c r="N116" t="str">
        <f t="shared" si="1"/>
        <v>ZSGL</v>
      </c>
    </row>
    <row r="117" spans="1:14" x14ac:dyDescent="0.25">
      <c r="A117" t="s">
        <v>340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198</v>
      </c>
      <c r="K117" t="s">
        <v>239</v>
      </c>
      <c r="L117" t="s">
        <v>223</v>
      </c>
      <c r="M117" t="s">
        <v>225</v>
      </c>
      <c r="N117" t="str">
        <f t="shared" si="1"/>
        <v>BFCS</v>
      </c>
    </row>
    <row r="118" spans="1:14" x14ac:dyDescent="0.25">
      <c r="A118" t="s">
        <v>341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198</v>
      </c>
      <c r="K118" t="s">
        <v>241</v>
      </c>
      <c r="L118" t="s">
        <v>223</v>
      </c>
      <c r="M118" t="s">
        <v>225</v>
      </c>
      <c r="N118" t="str">
        <f t="shared" si="1"/>
        <v>SSSS</v>
      </c>
    </row>
    <row r="119" spans="1:14" x14ac:dyDescent="0.25">
      <c r="A119" t="s">
        <v>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198</v>
      </c>
      <c r="K119" t="s">
        <v>206</v>
      </c>
      <c r="L119" t="s">
        <v>223</v>
      </c>
      <c r="M119" t="s">
        <v>225</v>
      </c>
      <c r="N119" t="str">
        <f t="shared" si="1"/>
        <v>BMS</v>
      </c>
    </row>
    <row r="120" spans="1:14" x14ac:dyDescent="0.25">
      <c r="A120" t="s">
        <v>275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198</v>
      </c>
      <c r="K120" t="s">
        <v>207</v>
      </c>
      <c r="L120" t="s">
        <v>223</v>
      </c>
      <c r="M120" t="s">
        <v>225</v>
      </c>
      <c r="N120" t="str">
        <f t="shared" si="1"/>
        <v>CC</v>
      </c>
    </row>
    <row r="121" spans="1:14" x14ac:dyDescent="0.25">
      <c r="A121" t="s">
        <v>342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198</v>
      </c>
      <c r="K121" t="s">
        <v>233</v>
      </c>
      <c r="L121" t="s">
        <v>223</v>
      </c>
      <c r="M121" t="s">
        <v>225</v>
      </c>
      <c r="N121" t="str">
        <f t="shared" si="1"/>
        <v>POOL</v>
      </c>
    </row>
    <row r="122" spans="1:14" x14ac:dyDescent="0.25">
      <c r="A122" t="s">
        <v>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199</v>
      </c>
      <c r="K122" t="s">
        <v>202</v>
      </c>
      <c r="L122" t="s">
        <v>209</v>
      </c>
      <c r="M122" t="s">
        <v>225</v>
      </c>
      <c r="N122" t="str">
        <f t="shared" si="1"/>
        <v>ZS</v>
      </c>
    </row>
    <row r="123" spans="1:14" x14ac:dyDescent="0.25">
      <c r="A123" t="s">
        <v>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 t="s">
        <v>199</v>
      </c>
      <c r="K123" t="s">
        <v>203</v>
      </c>
      <c r="L123" t="s">
        <v>209</v>
      </c>
      <c r="M123" t="s">
        <v>225</v>
      </c>
      <c r="N123" t="str">
        <f t="shared" si="1"/>
        <v>ZS\&amp;POOL</v>
      </c>
    </row>
    <row r="124" spans="1:14" x14ac:dyDescent="0.25">
      <c r="A124" t="s">
        <v>63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199</v>
      </c>
      <c r="K124" t="s">
        <v>204</v>
      </c>
      <c r="L124" t="s">
        <v>209</v>
      </c>
      <c r="M124" t="s">
        <v>225</v>
      </c>
      <c r="N124" t="str">
        <f t="shared" si="1"/>
        <v>ZSGL</v>
      </c>
    </row>
    <row r="125" spans="1:14" x14ac:dyDescent="0.25">
      <c r="A125" t="s">
        <v>343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199</v>
      </c>
      <c r="K125" t="s">
        <v>239</v>
      </c>
      <c r="L125" t="s">
        <v>209</v>
      </c>
      <c r="M125" t="s">
        <v>225</v>
      </c>
      <c r="N125" t="str">
        <f t="shared" si="1"/>
        <v>BFCS</v>
      </c>
    </row>
    <row r="126" spans="1:14" x14ac:dyDescent="0.25">
      <c r="A126" t="s">
        <v>344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199</v>
      </c>
      <c r="K126" t="s">
        <v>241</v>
      </c>
      <c r="L126" t="s">
        <v>209</v>
      </c>
      <c r="M126" t="s">
        <v>225</v>
      </c>
      <c r="N126" t="str">
        <f t="shared" si="1"/>
        <v>SSSS</v>
      </c>
    </row>
    <row r="127" spans="1:14" x14ac:dyDescent="0.25">
      <c r="A127" t="s">
        <v>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</v>
      </c>
      <c r="J127" t="s">
        <v>199</v>
      </c>
      <c r="K127" t="s">
        <v>206</v>
      </c>
      <c r="L127" t="s">
        <v>209</v>
      </c>
      <c r="M127" t="s">
        <v>225</v>
      </c>
      <c r="N127" t="str">
        <f t="shared" si="1"/>
        <v>BMS</v>
      </c>
    </row>
    <row r="128" spans="1:14" x14ac:dyDescent="0.25">
      <c r="A128" t="s">
        <v>276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199</v>
      </c>
      <c r="K128" t="s">
        <v>207</v>
      </c>
      <c r="L128" t="s">
        <v>209</v>
      </c>
      <c r="M128" t="s">
        <v>225</v>
      </c>
      <c r="N128" t="str">
        <f t="shared" si="1"/>
        <v>CC</v>
      </c>
    </row>
    <row r="129" spans="1:14" x14ac:dyDescent="0.25">
      <c r="A129" t="s">
        <v>345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199</v>
      </c>
      <c r="K129" t="s">
        <v>233</v>
      </c>
      <c r="L129" t="s">
        <v>209</v>
      </c>
      <c r="M129" t="s">
        <v>225</v>
      </c>
      <c r="N129" t="str">
        <f t="shared" si="1"/>
        <v>POOL</v>
      </c>
    </row>
    <row r="130" spans="1:14" x14ac:dyDescent="0.25">
      <c r="A130" t="s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199</v>
      </c>
      <c r="K130" t="s">
        <v>202</v>
      </c>
      <c r="L130" t="s">
        <v>210</v>
      </c>
      <c r="M130" t="s">
        <v>225</v>
      </c>
      <c r="N130" t="str">
        <f t="shared" ref="N130:N193" si="2">VLOOKUP(K130,modelNames,2,FALSE)</f>
        <v>ZS</v>
      </c>
    </row>
    <row r="131" spans="1:14" x14ac:dyDescent="0.25">
      <c r="A131" t="s">
        <v>66</v>
      </c>
      <c r="B131">
        <v>1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0</v>
      </c>
      <c r="J131" t="s">
        <v>199</v>
      </c>
      <c r="K131" t="s">
        <v>203</v>
      </c>
      <c r="L131" t="s">
        <v>210</v>
      </c>
      <c r="M131" t="s">
        <v>225</v>
      </c>
      <c r="N131" t="str">
        <f t="shared" si="2"/>
        <v>ZS\&amp;POOL</v>
      </c>
    </row>
    <row r="132" spans="1:14" x14ac:dyDescent="0.25">
      <c r="A132" t="s">
        <v>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199</v>
      </c>
      <c r="K132" t="s">
        <v>204</v>
      </c>
      <c r="L132" t="s">
        <v>210</v>
      </c>
      <c r="M132" t="s">
        <v>225</v>
      </c>
      <c r="N132" t="str">
        <f t="shared" si="2"/>
        <v>ZSGL</v>
      </c>
    </row>
    <row r="133" spans="1:14" x14ac:dyDescent="0.25">
      <c r="A133" t="s">
        <v>346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199</v>
      </c>
      <c r="K133" t="s">
        <v>239</v>
      </c>
      <c r="L133" t="s">
        <v>210</v>
      </c>
      <c r="M133" t="s">
        <v>225</v>
      </c>
      <c r="N133" t="str">
        <f t="shared" si="2"/>
        <v>BFCS</v>
      </c>
    </row>
    <row r="134" spans="1:14" x14ac:dyDescent="0.25">
      <c r="A134" t="s">
        <v>347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199</v>
      </c>
      <c r="K134" t="s">
        <v>241</v>
      </c>
      <c r="L134" t="s">
        <v>210</v>
      </c>
      <c r="M134" t="s">
        <v>225</v>
      </c>
      <c r="N134" t="str">
        <f t="shared" si="2"/>
        <v>SSSS</v>
      </c>
    </row>
    <row r="135" spans="1:14" x14ac:dyDescent="0.25">
      <c r="A135" t="s">
        <v>68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 t="s">
        <v>199</v>
      </c>
      <c r="K135" t="s">
        <v>206</v>
      </c>
      <c r="L135" t="s">
        <v>210</v>
      </c>
      <c r="M135" t="s">
        <v>225</v>
      </c>
      <c r="N135" t="str">
        <f t="shared" si="2"/>
        <v>BMS</v>
      </c>
    </row>
    <row r="136" spans="1:14" x14ac:dyDescent="0.25">
      <c r="A136" t="s">
        <v>277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199</v>
      </c>
      <c r="K136" t="s">
        <v>207</v>
      </c>
      <c r="L136" t="s">
        <v>210</v>
      </c>
      <c r="M136" t="s">
        <v>225</v>
      </c>
      <c r="N136" t="str">
        <f t="shared" si="2"/>
        <v>CC</v>
      </c>
    </row>
    <row r="137" spans="1:14" x14ac:dyDescent="0.25">
      <c r="A137" t="s">
        <v>348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199</v>
      </c>
      <c r="K137" t="s">
        <v>233</v>
      </c>
      <c r="L137" t="s">
        <v>210</v>
      </c>
      <c r="M137" t="s">
        <v>225</v>
      </c>
      <c r="N137" t="str">
        <f t="shared" si="2"/>
        <v>POOL</v>
      </c>
    </row>
    <row r="138" spans="1:14" x14ac:dyDescent="0.25">
      <c r="A138" t="s">
        <v>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199</v>
      </c>
      <c r="K138" t="s">
        <v>202</v>
      </c>
      <c r="L138" t="s">
        <v>211</v>
      </c>
      <c r="M138" t="s">
        <v>225</v>
      </c>
      <c r="N138" t="str">
        <f t="shared" si="2"/>
        <v>ZS</v>
      </c>
    </row>
    <row r="139" spans="1:14" x14ac:dyDescent="0.25">
      <c r="A139" t="s">
        <v>70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 t="s">
        <v>199</v>
      </c>
      <c r="K139" t="s">
        <v>203</v>
      </c>
      <c r="L139" t="s">
        <v>211</v>
      </c>
      <c r="M139" t="s">
        <v>225</v>
      </c>
      <c r="N139" t="str">
        <f t="shared" si="2"/>
        <v>ZS\&amp;POOL</v>
      </c>
    </row>
    <row r="140" spans="1:14" x14ac:dyDescent="0.25">
      <c r="A140" t="s">
        <v>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199</v>
      </c>
      <c r="K140" t="s">
        <v>204</v>
      </c>
      <c r="L140" t="s">
        <v>211</v>
      </c>
      <c r="M140" t="s">
        <v>225</v>
      </c>
      <c r="N140" t="str">
        <f t="shared" si="2"/>
        <v>ZSGL</v>
      </c>
    </row>
    <row r="141" spans="1:14" x14ac:dyDescent="0.25">
      <c r="A141" t="s">
        <v>349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199</v>
      </c>
      <c r="K141" t="s">
        <v>239</v>
      </c>
      <c r="L141" t="s">
        <v>211</v>
      </c>
      <c r="M141" t="s">
        <v>225</v>
      </c>
      <c r="N141" t="str">
        <f t="shared" si="2"/>
        <v>BFCS</v>
      </c>
    </row>
    <row r="142" spans="1:14" x14ac:dyDescent="0.25">
      <c r="A142" t="s">
        <v>350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199</v>
      </c>
      <c r="K142" t="s">
        <v>241</v>
      </c>
      <c r="L142" t="s">
        <v>211</v>
      </c>
      <c r="M142" t="s">
        <v>225</v>
      </c>
      <c r="N142" t="str">
        <f t="shared" si="2"/>
        <v>SSSS</v>
      </c>
    </row>
    <row r="143" spans="1:14" x14ac:dyDescent="0.25">
      <c r="A143" t="s">
        <v>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199</v>
      </c>
      <c r="K143" t="s">
        <v>206</v>
      </c>
      <c r="L143" t="s">
        <v>211</v>
      </c>
      <c r="M143" t="s">
        <v>225</v>
      </c>
      <c r="N143" t="str">
        <f t="shared" si="2"/>
        <v>BMS</v>
      </c>
    </row>
    <row r="144" spans="1:14" x14ac:dyDescent="0.25">
      <c r="A144" t="s">
        <v>278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199</v>
      </c>
      <c r="K144" t="s">
        <v>207</v>
      </c>
      <c r="L144" t="s">
        <v>211</v>
      </c>
      <c r="M144" t="s">
        <v>225</v>
      </c>
      <c r="N144" t="str">
        <f t="shared" si="2"/>
        <v>CC</v>
      </c>
    </row>
    <row r="145" spans="1:14" x14ac:dyDescent="0.25">
      <c r="A145" t="s">
        <v>351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199</v>
      </c>
      <c r="K145" t="s">
        <v>233</v>
      </c>
      <c r="L145" t="s">
        <v>211</v>
      </c>
      <c r="M145" t="s">
        <v>225</v>
      </c>
      <c r="N145" t="str">
        <f t="shared" si="2"/>
        <v>POOL</v>
      </c>
    </row>
    <row r="146" spans="1:14" x14ac:dyDescent="0.25">
      <c r="A146" t="s">
        <v>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199</v>
      </c>
      <c r="K146" t="s">
        <v>202</v>
      </c>
      <c r="L146" t="s">
        <v>212</v>
      </c>
      <c r="M146" t="s">
        <v>225</v>
      </c>
      <c r="N146" t="str">
        <f t="shared" si="2"/>
        <v>ZS</v>
      </c>
    </row>
    <row r="147" spans="1:14" x14ac:dyDescent="0.25">
      <c r="A147" t="s">
        <v>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 t="s">
        <v>199</v>
      </c>
      <c r="K147" t="s">
        <v>203</v>
      </c>
      <c r="L147" t="s">
        <v>212</v>
      </c>
      <c r="M147" t="s">
        <v>225</v>
      </c>
      <c r="N147" t="str">
        <f t="shared" si="2"/>
        <v>ZS\&amp;POOL</v>
      </c>
    </row>
    <row r="148" spans="1:14" x14ac:dyDescent="0.25">
      <c r="A148" t="s">
        <v>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 t="s">
        <v>199</v>
      </c>
      <c r="K148" t="s">
        <v>204</v>
      </c>
      <c r="L148" t="s">
        <v>212</v>
      </c>
      <c r="M148" t="s">
        <v>225</v>
      </c>
      <c r="N148" t="str">
        <f t="shared" si="2"/>
        <v>ZSGL</v>
      </c>
    </row>
    <row r="149" spans="1:14" x14ac:dyDescent="0.25">
      <c r="A149" t="s">
        <v>352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199</v>
      </c>
      <c r="K149" t="s">
        <v>239</v>
      </c>
      <c r="L149" t="s">
        <v>212</v>
      </c>
      <c r="M149" t="s">
        <v>225</v>
      </c>
      <c r="N149" t="str">
        <f t="shared" si="2"/>
        <v>BFCS</v>
      </c>
    </row>
    <row r="150" spans="1:14" x14ac:dyDescent="0.25">
      <c r="A150" t="s">
        <v>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199</v>
      </c>
      <c r="K150" t="s">
        <v>241</v>
      </c>
      <c r="L150" t="s">
        <v>212</v>
      </c>
      <c r="M150" t="s">
        <v>225</v>
      </c>
      <c r="N150" t="str">
        <f t="shared" si="2"/>
        <v>SSSS</v>
      </c>
    </row>
    <row r="151" spans="1:14" x14ac:dyDescent="0.25">
      <c r="A151" t="s">
        <v>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199</v>
      </c>
      <c r="K151" t="s">
        <v>206</v>
      </c>
      <c r="L151" t="s">
        <v>212</v>
      </c>
      <c r="M151" t="s">
        <v>225</v>
      </c>
      <c r="N151" t="str">
        <f t="shared" si="2"/>
        <v>BMS</v>
      </c>
    </row>
    <row r="152" spans="1:14" x14ac:dyDescent="0.25">
      <c r="A152" t="s">
        <v>279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199</v>
      </c>
      <c r="K152" t="s">
        <v>207</v>
      </c>
      <c r="L152" t="s">
        <v>212</v>
      </c>
      <c r="M152" t="s">
        <v>225</v>
      </c>
      <c r="N152" t="str">
        <f t="shared" si="2"/>
        <v>CC</v>
      </c>
    </row>
    <row r="153" spans="1:14" x14ac:dyDescent="0.25">
      <c r="A153" t="s">
        <v>354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 t="s">
        <v>199</v>
      </c>
      <c r="K153" t="s">
        <v>233</v>
      </c>
      <c r="L153" t="s">
        <v>212</v>
      </c>
      <c r="M153" t="s">
        <v>225</v>
      </c>
      <c r="N153" t="str">
        <f t="shared" si="2"/>
        <v>POOL</v>
      </c>
    </row>
    <row r="154" spans="1:14" x14ac:dyDescent="0.25">
      <c r="A154" t="s">
        <v>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199</v>
      </c>
      <c r="K154" t="s">
        <v>202</v>
      </c>
      <c r="L154" t="s">
        <v>213</v>
      </c>
      <c r="M154" t="s">
        <v>225</v>
      </c>
      <c r="N154" t="str">
        <f t="shared" si="2"/>
        <v>ZS</v>
      </c>
    </row>
    <row r="155" spans="1:14" x14ac:dyDescent="0.25">
      <c r="A155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199</v>
      </c>
      <c r="K155" t="s">
        <v>203</v>
      </c>
      <c r="L155" t="s">
        <v>213</v>
      </c>
      <c r="M155" t="s">
        <v>225</v>
      </c>
      <c r="N155" t="str">
        <f t="shared" si="2"/>
        <v>ZS\&amp;POOL</v>
      </c>
    </row>
    <row r="156" spans="1:14" x14ac:dyDescent="0.25">
      <c r="A156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199</v>
      </c>
      <c r="K156" t="s">
        <v>204</v>
      </c>
      <c r="L156" t="s">
        <v>213</v>
      </c>
      <c r="M156" t="s">
        <v>225</v>
      </c>
      <c r="N156" t="str">
        <f t="shared" si="2"/>
        <v>ZSGL</v>
      </c>
    </row>
    <row r="157" spans="1:14" x14ac:dyDescent="0.25">
      <c r="A157" t="s">
        <v>355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199</v>
      </c>
      <c r="K157" t="s">
        <v>239</v>
      </c>
      <c r="L157" t="s">
        <v>213</v>
      </c>
      <c r="M157" t="s">
        <v>225</v>
      </c>
      <c r="N157" t="str">
        <f t="shared" si="2"/>
        <v>BFCS</v>
      </c>
    </row>
    <row r="158" spans="1:14" x14ac:dyDescent="0.25">
      <c r="A158" t="s">
        <v>356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199</v>
      </c>
      <c r="K158" t="s">
        <v>241</v>
      </c>
      <c r="L158" t="s">
        <v>213</v>
      </c>
      <c r="M158" t="s">
        <v>225</v>
      </c>
      <c r="N158" t="str">
        <f t="shared" si="2"/>
        <v>SSSS</v>
      </c>
    </row>
    <row r="159" spans="1:14" x14ac:dyDescent="0.25">
      <c r="A159" t="s">
        <v>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199</v>
      </c>
      <c r="K159" t="s">
        <v>206</v>
      </c>
      <c r="L159" t="s">
        <v>213</v>
      </c>
      <c r="M159" t="s">
        <v>225</v>
      </c>
      <c r="N159" t="str">
        <f t="shared" si="2"/>
        <v>BMS</v>
      </c>
    </row>
    <row r="160" spans="1:14" x14ac:dyDescent="0.25">
      <c r="A160" t="s">
        <v>280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199</v>
      </c>
      <c r="K160" t="s">
        <v>207</v>
      </c>
      <c r="L160" t="s">
        <v>213</v>
      </c>
      <c r="M160" t="s">
        <v>225</v>
      </c>
      <c r="N160" t="str">
        <f t="shared" si="2"/>
        <v>CC</v>
      </c>
    </row>
    <row r="161" spans="1:14" x14ac:dyDescent="0.25">
      <c r="A161" t="s">
        <v>357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 t="s">
        <v>199</v>
      </c>
      <c r="K161" t="s">
        <v>233</v>
      </c>
      <c r="L161" t="s">
        <v>213</v>
      </c>
      <c r="M161" t="s">
        <v>225</v>
      </c>
      <c r="N161" t="str">
        <f t="shared" si="2"/>
        <v>POOL</v>
      </c>
    </row>
    <row r="162" spans="1:14" x14ac:dyDescent="0.25">
      <c r="A162" t="s">
        <v>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199</v>
      </c>
      <c r="K162" t="s">
        <v>202</v>
      </c>
      <c r="L162" t="s">
        <v>214</v>
      </c>
      <c r="M162" t="s">
        <v>225</v>
      </c>
      <c r="N162" t="str">
        <f t="shared" si="2"/>
        <v>ZS</v>
      </c>
    </row>
    <row r="163" spans="1:14" x14ac:dyDescent="0.25">
      <c r="A163" t="s">
        <v>82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 t="s">
        <v>199</v>
      </c>
      <c r="K163" t="s">
        <v>203</v>
      </c>
      <c r="L163" t="s">
        <v>214</v>
      </c>
      <c r="M163" t="s">
        <v>225</v>
      </c>
      <c r="N163" t="str">
        <f t="shared" si="2"/>
        <v>ZS\&amp;POOL</v>
      </c>
    </row>
    <row r="164" spans="1:14" x14ac:dyDescent="0.25">
      <c r="A164" t="s">
        <v>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199</v>
      </c>
      <c r="K164" t="s">
        <v>204</v>
      </c>
      <c r="L164" t="s">
        <v>214</v>
      </c>
      <c r="M164" t="s">
        <v>225</v>
      </c>
      <c r="N164" t="str">
        <f t="shared" si="2"/>
        <v>ZSGL</v>
      </c>
    </row>
    <row r="165" spans="1:14" x14ac:dyDescent="0.25">
      <c r="A165" t="s">
        <v>358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199</v>
      </c>
      <c r="K165" t="s">
        <v>239</v>
      </c>
      <c r="L165" t="s">
        <v>214</v>
      </c>
      <c r="M165" t="s">
        <v>225</v>
      </c>
      <c r="N165" t="str">
        <f t="shared" si="2"/>
        <v>BFCS</v>
      </c>
    </row>
    <row r="166" spans="1:14" x14ac:dyDescent="0.25">
      <c r="A166" t="s">
        <v>359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199</v>
      </c>
      <c r="K166" t="s">
        <v>241</v>
      </c>
      <c r="L166" t="s">
        <v>214</v>
      </c>
      <c r="M166" t="s">
        <v>225</v>
      </c>
      <c r="N166" t="str">
        <f t="shared" si="2"/>
        <v>SSSS</v>
      </c>
    </row>
    <row r="167" spans="1:14" x14ac:dyDescent="0.25">
      <c r="A167" t="s">
        <v>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199</v>
      </c>
      <c r="K167" t="s">
        <v>206</v>
      </c>
      <c r="L167" t="s">
        <v>214</v>
      </c>
      <c r="M167" t="s">
        <v>225</v>
      </c>
      <c r="N167" t="str">
        <f t="shared" si="2"/>
        <v>BMS</v>
      </c>
    </row>
    <row r="168" spans="1:14" x14ac:dyDescent="0.25">
      <c r="A168" t="s">
        <v>281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199</v>
      </c>
      <c r="K168" t="s">
        <v>207</v>
      </c>
      <c r="L168" t="s">
        <v>214</v>
      </c>
      <c r="M168" t="s">
        <v>225</v>
      </c>
      <c r="N168" t="str">
        <f t="shared" si="2"/>
        <v>CC</v>
      </c>
    </row>
    <row r="169" spans="1:14" x14ac:dyDescent="0.25">
      <c r="A169" t="s">
        <v>360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199</v>
      </c>
      <c r="K169" t="s">
        <v>233</v>
      </c>
      <c r="L169" t="s">
        <v>214</v>
      </c>
      <c r="M169" t="s">
        <v>225</v>
      </c>
      <c r="N169" t="str">
        <f t="shared" si="2"/>
        <v>POOL</v>
      </c>
    </row>
    <row r="170" spans="1:14" x14ac:dyDescent="0.25">
      <c r="A170" t="s">
        <v>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199</v>
      </c>
      <c r="K170" t="s">
        <v>202</v>
      </c>
      <c r="L170" t="s">
        <v>215</v>
      </c>
      <c r="M170" t="s">
        <v>225</v>
      </c>
      <c r="N170" t="str">
        <f t="shared" si="2"/>
        <v>ZS</v>
      </c>
    </row>
    <row r="171" spans="1:14" x14ac:dyDescent="0.25">
      <c r="A171" t="s">
        <v>86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199</v>
      </c>
      <c r="K171" t="s">
        <v>203</v>
      </c>
      <c r="L171" t="s">
        <v>215</v>
      </c>
      <c r="M171" t="s">
        <v>225</v>
      </c>
      <c r="N171" t="str">
        <f t="shared" si="2"/>
        <v>ZS\&amp;POOL</v>
      </c>
    </row>
    <row r="172" spans="1:14" x14ac:dyDescent="0.25">
      <c r="A172" t="s">
        <v>87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199</v>
      </c>
      <c r="K172" t="s">
        <v>204</v>
      </c>
      <c r="L172" t="s">
        <v>215</v>
      </c>
      <c r="M172" t="s">
        <v>225</v>
      </c>
      <c r="N172" t="str">
        <f t="shared" si="2"/>
        <v>ZSGL</v>
      </c>
    </row>
    <row r="173" spans="1:14" x14ac:dyDescent="0.25">
      <c r="A173" t="s">
        <v>361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199</v>
      </c>
      <c r="K173" t="s">
        <v>239</v>
      </c>
      <c r="L173" t="s">
        <v>215</v>
      </c>
      <c r="M173" t="s">
        <v>225</v>
      </c>
      <c r="N173" t="str">
        <f t="shared" si="2"/>
        <v>BFCS</v>
      </c>
    </row>
    <row r="174" spans="1:14" x14ac:dyDescent="0.25">
      <c r="A174" t="s">
        <v>362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199</v>
      </c>
      <c r="K174" t="s">
        <v>241</v>
      </c>
      <c r="L174" t="s">
        <v>215</v>
      </c>
      <c r="M174" t="s">
        <v>225</v>
      </c>
      <c r="N174" t="str">
        <f t="shared" si="2"/>
        <v>SSSS</v>
      </c>
    </row>
    <row r="175" spans="1:14" x14ac:dyDescent="0.25">
      <c r="A175" t="s">
        <v>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199</v>
      </c>
      <c r="K175" t="s">
        <v>206</v>
      </c>
      <c r="L175" t="s">
        <v>215</v>
      </c>
      <c r="M175" t="s">
        <v>225</v>
      </c>
      <c r="N175" t="str">
        <f t="shared" si="2"/>
        <v>BMS</v>
      </c>
    </row>
    <row r="176" spans="1:14" x14ac:dyDescent="0.25">
      <c r="A176" t="s">
        <v>282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199</v>
      </c>
      <c r="K176" t="s">
        <v>207</v>
      </c>
      <c r="L176" t="s">
        <v>215</v>
      </c>
      <c r="M176" t="s">
        <v>225</v>
      </c>
      <c r="N176" t="str">
        <f t="shared" si="2"/>
        <v>CC</v>
      </c>
    </row>
    <row r="177" spans="1:14" x14ac:dyDescent="0.25">
      <c r="A177" t="s">
        <v>363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199</v>
      </c>
      <c r="K177" t="s">
        <v>233</v>
      </c>
      <c r="L177" t="s">
        <v>215</v>
      </c>
      <c r="M177" t="s">
        <v>225</v>
      </c>
      <c r="N177" t="str">
        <f t="shared" si="2"/>
        <v>POOL</v>
      </c>
    </row>
    <row r="178" spans="1:14" x14ac:dyDescent="0.25">
      <c r="A178" t="s">
        <v>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199</v>
      </c>
      <c r="K178" t="s">
        <v>202</v>
      </c>
      <c r="L178" t="s">
        <v>216</v>
      </c>
      <c r="M178" t="s">
        <v>225</v>
      </c>
      <c r="N178" t="str">
        <f t="shared" si="2"/>
        <v>ZS</v>
      </c>
    </row>
    <row r="179" spans="1:14" x14ac:dyDescent="0.25">
      <c r="A179" t="s">
        <v>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199</v>
      </c>
      <c r="K179" t="s">
        <v>203</v>
      </c>
      <c r="L179" t="s">
        <v>216</v>
      </c>
      <c r="M179" t="s">
        <v>225</v>
      </c>
      <c r="N179" t="str">
        <f t="shared" si="2"/>
        <v>ZS\&amp;POOL</v>
      </c>
    </row>
    <row r="180" spans="1:14" x14ac:dyDescent="0.25">
      <c r="A180" t="s">
        <v>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199</v>
      </c>
      <c r="K180" t="s">
        <v>204</v>
      </c>
      <c r="L180" t="s">
        <v>216</v>
      </c>
      <c r="M180" t="s">
        <v>225</v>
      </c>
      <c r="N180" t="str">
        <f t="shared" si="2"/>
        <v>ZSGL</v>
      </c>
    </row>
    <row r="181" spans="1:14" x14ac:dyDescent="0.25">
      <c r="A181" t="s">
        <v>364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199</v>
      </c>
      <c r="K181" t="s">
        <v>239</v>
      </c>
      <c r="L181" t="s">
        <v>216</v>
      </c>
      <c r="M181" t="s">
        <v>225</v>
      </c>
      <c r="N181" t="str">
        <f t="shared" si="2"/>
        <v>BFCS</v>
      </c>
    </row>
    <row r="182" spans="1:14" x14ac:dyDescent="0.25">
      <c r="A182" t="s">
        <v>365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199</v>
      </c>
      <c r="K182" t="s">
        <v>241</v>
      </c>
      <c r="L182" t="s">
        <v>216</v>
      </c>
      <c r="M182" t="s">
        <v>225</v>
      </c>
      <c r="N182" t="str">
        <f t="shared" si="2"/>
        <v>SSSS</v>
      </c>
    </row>
    <row r="183" spans="1:14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199</v>
      </c>
      <c r="K183" t="s">
        <v>206</v>
      </c>
      <c r="L183" t="s">
        <v>216</v>
      </c>
      <c r="M183" t="s">
        <v>225</v>
      </c>
      <c r="N183" t="str">
        <f t="shared" si="2"/>
        <v>BMS</v>
      </c>
    </row>
    <row r="184" spans="1:14" x14ac:dyDescent="0.25">
      <c r="A184" t="s">
        <v>283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199</v>
      </c>
      <c r="K184" t="s">
        <v>207</v>
      </c>
      <c r="L184" t="s">
        <v>216</v>
      </c>
      <c r="M184" t="s">
        <v>225</v>
      </c>
      <c r="N184" t="str">
        <f t="shared" si="2"/>
        <v>CC</v>
      </c>
    </row>
    <row r="185" spans="1:14" x14ac:dyDescent="0.25">
      <c r="A185" t="s">
        <v>366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 t="s">
        <v>199</v>
      </c>
      <c r="K185" t="s">
        <v>233</v>
      </c>
      <c r="L185" t="s">
        <v>216</v>
      </c>
      <c r="M185" t="s">
        <v>225</v>
      </c>
      <c r="N185" t="str">
        <f t="shared" si="2"/>
        <v>POOL</v>
      </c>
    </row>
    <row r="186" spans="1:14" x14ac:dyDescent="0.25">
      <c r="A186" t="s">
        <v>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199</v>
      </c>
      <c r="K186" t="s">
        <v>202</v>
      </c>
      <c r="L186" t="s">
        <v>217</v>
      </c>
      <c r="M186" t="s">
        <v>225</v>
      </c>
      <c r="N186" t="str">
        <f t="shared" si="2"/>
        <v>ZS</v>
      </c>
    </row>
    <row r="187" spans="1:14" x14ac:dyDescent="0.25">
      <c r="A187" t="s">
        <v>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199</v>
      </c>
      <c r="K187" t="s">
        <v>203</v>
      </c>
      <c r="L187" t="s">
        <v>217</v>
      </c>
      <c r="M187" t="s">
        <v>225</v>
      </c>
      <c r="N187" t="str">
        <f t="shared" si="2"/>
        <v>ZS\&amp;POOL</v>
      </c>
    </row>
    <row r="188" spans="1:14" x14ac:dyDescent="0.25">
      <c r="A188" t="s">
        <v>95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 t="s">
        <v>199</v>
      </c>
      <c r="K188" t="s">
        <v>204</v>
      </c>
      <c r="L188" t="s">
        <v>217</v>
      </c>
      <c r="M188" t="s">
        <v>225</v>
      </c>
      <c r="N188" t="str">
        <f t="shared" si="2"/>
        <v>ZSGL</v>
      </c>
    </row>
    <row r="189" spans="1:14" x14ac:dyDescent="0.25">
      <c r="A189" t="s">
        <v>367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199</v>
      </c>
      <c r="K189" t="s">
        <v>239</v>
      </c>
      <c r="L189" t="s">
        <v>217</v>
      </c>
      <c r="M189" t="s">
        <v>225</v>
      </c>
      <c r="N189" t="str">
        <f t="shared" si="2"/>
        <v>BFCS</v>
      </c>
    </row>
    <row r="190" spans="1:14" x14ac:dyDescent="0.25">
      <c r="A190" t="s">
        <v>368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199</v>
      </c>
      <c r="K190" t="s">
        <v>241</v>
      </c>
      <c r="L190" t="s">
        <v>217</v>
      </c>
      <c r="M190" t="s">
        <v>225</v>
      </c>
      <c r="N190" t="str">
        <f t="shared" si="2"/>
        <v>SSSS</v>
      </c>
    </row>
    <row r="191" spans="1:14" x14ac:dyDescent="0.25">
      <c r="A191" t="s">
        <v>96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 t="s">
        <v>199</v>
      </c>
      <c r="K191" t="s">
        <v>206</v>
      </c>
      <c r="L191" t="s">
        <v>217</v>
      </c>
      <c r="M191" t="s">
        <v>225</v>
      </c>
      <c r="N191" t="str">
        <f t="shared" si="2"/>
        <v>BMS</v>
      </c>
    </row>
    <row r="192" spans="1:14" x14ac:dyDescent="0.25">
      <c r="A192" t="s">
        <v>284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199</v>
      </c>
      <c r="K192" t="s">
        <v>207</v>
      </c>
      <c r="L192" t="s">
        <v>217</v>
      </c>
      <c r="M192" t="s">
        <v>225</v>
      </c>
      <c r="N192" t="str">
        <f t="shared" si="2"/>
        <v>CC</v>
      </c>
    </row>
    <row r="193" spans="1:14" x14ac:dyDescent="0.25">
      <c r="A193" t="s">
        <v>369</v>
      </c>
      <c r="B193">
        <v>1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 t="s">
        <v>199</v>
      </c>
      <c r="K193" t="s">
        <v>233</v>
      </c>
      <c r="L193" t="s">
        <v>217</v>
      </c>
      <c r="M193" t="s">
        <v>225</v>
      </c>
      <c r="N193" t="str">
        <f t="shared" si="2"/>
        <v>POOL</v>
      </c>
    </row>
    <row r="194" spans="1:14" x14ac:dyDescent="0.25">
      <c r="A194" t="s">
        <v>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199</v>
      </c>
      <c r="K194" t="s">
        <v>202</v>
      </c>
      <c r="L194" t="s">
        <v>218</v>
      </c>
      <c r="M194" t="s">
        <v>225</v>
      </c>
      <c r="N194" t="str">
        <f t="shared" ref="N194:N257" si="3">VLOOKUP(K194,modelNames,2,FALSE)</f>
        <v>ZS</v>
      </c>
    </row>
    <row r="195" spans="1:14" x14ac:dyDescent="0.25">
      <c r="A195" t="s">
        <v>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199</v>
      </c>
      <c r="K195" t="s">
        <v>203</v>
      </c>
      <c r="L195" t="s">
        <v>218</v>
      </c>
      <c r="M195" t="s">
        <v>225</v>
      </c>
      <c r="N195" t="str">
        <f t="shared" si="3"/>
        <v>ZS\&amp;POOL</v>
      </c>
    </row>
    <row r="196" spans="1:14" x14ac:dyDescent="0.25">
      <c r="A196" t="s">
        <v>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199</v>
      </c>
      <c r="K196" t="s">
        <v>204</v>
      </c>
      <c r="L196" t="s">
        <v>218</v>
      </c>
      <c r="M196" t="s">
        <v>225</v>
      </c>
      <c r="N196" t="str">
        <f t="shared" si="3"/>
        <v>ZSGL</v>
      </c>
    </row>
    <row r="197" spans="1:14" x14ac:dyDescent="0.25">
      <c r="A197" t="s">
        <v>370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199</v>
      </c>
      <c r="K197" t="s">
        <v>239</v>
      </c>
      <c r="L197" t="s">
        <v>218</v>
      </c>
      <c r="M197" t="s">
        <v>225</v>
      </c>
      <c r="N197" t="str">
        <f t="shared" si="3"/>
        <v>BFCS</v>
      </c>
    </row>
    <row r="198" spans="1:14" x14ac:dyDescent="0.25">
      <c r="A198" t="s">
        <v>371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199</v>
      </c>
      <c r="K198" t="s">
        <v>241</v>
      </c>
      <c r="L198" t="s">
        <v>218</v>
      </c>
      <c r="M198" t="s">
        <v>225</v>
      </c>
      <c r="N198" t="str">
        <f t="shared" si="3"/>
        <v>SSSS</v>
      </c>
    </row>
    <row r="199" spans="1:14" x14ac:dyDescent="0.25">
      <c r="A199" t="s">
        <v>100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199</v>
      </c>
      <c r="K199" t="s">
        <v>206</v>
      </c>
      <c r="L199" t="s">
        <v>218</v>
      </c>
      <c r="M199" t="s">
        <v>225</v>
      </c>
      <c r="N199" t="str">
        <f t="shared" si="3"/>
        <v>BMS</v>
      </c>
    </row>
    <row r="200" spans="1:14" x14ac:dyDescent="0.25">
      <c r="A200" t="s">
        <v>285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199</v>
      </c>
      <c r="K200" t="s">
        <v>207</v>
      </c>
      <c r="L200" t="s">
        <v>218</v>
      </c>
      <c r="M200" t="s">
        <v>225</v>
      </c>
      <c r="N200" t="str">
        <f t="shared" si="3"/>
        <v>CC</v>
      </c>
    </row>
    <row r="201" spans="1:14" x14ac:dyDescent="0.25">
      <c r="A201" t="s">
        <v>372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199</v>
      </c>
      <c r="K201" t="s">
        <v>233</v>
      </c>
      <c r="L201" t="s">
        <v>218</v>
      </c>
      <c r="M201" t="s">
        <v>225</v>
      </c>
      <c r="N201" t="str">
        <f t="shared" si="3"/>
        <v>POOL</v>
      </c>
    </row>
    <row r="202" spans="1:14" x14ac:dyDescent="0.25">
      <c r="A202" t="s">
        <v>101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199</v>
      </c>
      <c r="K202" t="s">
        <v>202</v>
      </c>
      <c r="L202" t="s">
        <v>219</v>
      </c>
      <c r="M202" t="s">
        <v>225</v>
      </c>
      <c r="N202" t="str">
        <f t="shared" si="3"/>
        <v>ZS</v>
      </c>
    </row>
    <row r="203" spans="1:14" x14ac:dyDescent="0.25">
      <c r="A203" t="s">
        <v>102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199</v>
      </c>
      <c r="K203" t="s">
        <v>203</v>
      </c>
      <c r="L203" t="s">
        <v>219</v>
      </c>
      <c r="M203" t="s">
        <v>225</v>
      </c>
      <c r="N203" t="str">
        <f t="shared" si="3"/>
        <v>ZS\&amp;POOL</v>
      </c>
    </row>
    <row r="204" spans="1:14" x14ac:dyDescent="0.25">
      <c r="A204" t="s">
        <v>103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199</v>
      </c>
      <c r="K204" t="s">
        <v>204</v>
      </c>
      <c r="L204" t="s">
        <v>219</v>
      </c>
      <c r="M204" t="s">
        <v>225</v>
      </c>
      <c r="N204" t="str">
        <f t="shared" si="3"/>
        <v>ZSGL</v>
      </c>
    </row>
    <row r="205" spans="1:14" x14ac:dyDescent="0.25">
      <c r="A205" t="s">
        <v>373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199</v>
      </c>
      <c r="K205" t="s">
        <v>239</v>
      </c>
      <c r="L205" t="s">
        <v>219</v>
      </c>
      <c r="M205" t="s">
        <v>225</v>
      </c>
      <c r="N205" t="str">
        <f t="shared" si="3"/>
        <v>BFCS</v>
      </c>
    </row>
    <row r="206" spans="1:14" x14ac:dyDescent="0.25">
      <c r="A206" t="s">
        <v>374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199</v>
      </c>
      <c r="K206" t="s">
        <v>241</v>
      </c>
      <c r="L206" t="s">
        <v>219</v>
      </c>
      <c r="M206" t="s">
        <v>225</v>
      </c>
      <c r="N206" t="str">
        <f t="shared" si="3"/>
        <v>SSSS</v>
      </c>
    </row>
    <row r="207" spans="1:14" x14ac:dyDescent="0.25">
      <c r="A207" t="s">
        <v>104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199</v>
      </c>
      <c r="K207" t="s">
        <v>206</v>
      </c>
      <c r="L207" t="s">
        <v>219</v>
      </c>
      <c r="M207" t="s">
        <v>225</v>
      </c>
      <c r="N207" t="str">
        <f t="shared" si="3"/>
        <v>BMS</v>
      </c>
    </row>
    <row r="208" spans="1:14" x14ac:dyDescent="0.25">
      <c r="A208" t="s">
        <v>286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199</v>
      </c>
      <c r="K208" t="s">
        <v>207</v>
      </c>
      <c r="L208" t="s">
        <v>219</v>
      </c>
      <c r="M208" t="s">
        <v>225</v>
      </c>
      <c r="N208" t="str">
        <f t="shared" si="3"/>
        <v>CC</v>
      </c>
    </row>
    <row r="209" spans="1:14" x14ac:dyDescent="0.25">
      <c r="A209" t="s">
        <v>375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 t="s">
        <v>199</v>
      </c>
      <c r="K209" t="s">
        <v>233</v>
      </c>
      <c r="L209" t="s">
        <v>219</v>
      </c>
      <c r="M209" t="s">
        <v>225</v>
      </c>
      <c r="N209" t="str">
        <f t="shared" si="3"/>
        <v>POOL</v>
      </c>
    </row>
    <row r="210" spans="1:14" x14ac:dyDescent="0.25">
      <c r="A210" t="s">
        <v>105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199</v>
      </c>
      <c r="K210" t="s">
        <v>202</v>
      </c>
      <c r="L210" t="s">
        <v>220</v>
      </c>
      <c r="M210" t="s">
        <v>225</v>
      </c>
      <c r="N210" t="str">
        <f t="shared" si="3"/>
        <v>ZS</v>
      </c>
    </row>
    <row r="211" spans="1:14" x14ac:dyDescent="0.25">
      <c r="A211" t="s">
        <v>106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199</v>
      </c>
      <c r="K211" t="s">
        <v>203</v>
      </c>
      <c r="L211" t="s">
        <v>220</v>
      </c>
      <c r="M211" t="s">
        <v>225</v>
      </c>
      <c r="N211" t="str">
        <f t="shared" si="3"/>
        <v>ZS\&amp;POOL</v>
      </c>
    </row>
    <row r="212" spans="1:14" x14ac:dyDescent="0.25">
      <c r="A212" t="s">
        <v>107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199</v>
      </c>
      <c r="K212" t="s">
        <v>204</v>
      </c>
      <c r="L212" t="s">
        <v>220</v>
      </c>
      <c r="M212" t="s">
        <v>225</v>
      </c>
      <c r="N212" t="str">
        <f t="shared" si="3"/>
        <v>ZSGL</v>
      </c>
    </row>
    <row r="213" spans="1:14" x14ac:dyDescent="0.25">
      <c r="A213" t="s">
        <v>376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199</v>
      </c>
      <c r="K213" t="s">
        <v>239</v>
      </c>
      <c r="L213" t="s">
        <v>220</v>
      </c>
      <c r="M213" t="s">
        <v>225</v>
      </c>
      <c r="N213" t="str">
        <f t="shared" si="3"/>
        <v>BFCS</v>
      </c>
    </row>
    <row r="214" spans="1:14" x14ac:dyDescent="0.25">
      <c r="A214" t="s">
        <v>377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199</v>
      </c>
      <c r="K214" t="s">
        <v>241</v>
      </c>
      <c r="L214" t="s">
        <v>220</v>
      </c>
      <c r="M214" t="s">
        <v>225</v>
      </c>
      <c r="N214" t="str">
        <f t="shared" si="3"/>
        <v>SSSS</v>
      </c>
    </row>
    <row r="215" spans="1:14" x14ac:dyDescent="0.25">
      <c r="A215" t="s">
        <v>108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199</v>
      </c>
      <c r="K215" t="s">
        <v>206</v>
      </c>
      <c r="L215" t="s">
        <v>220</v>
      </c>
      <c r="M215" t="s">
        <v>225</v>
      </c>
      <c r="N215" t="str">
        <f t="shared" si="3"/>
        <v>BMS</v>
      </c>
    </row>
    <row r="216" spans="1:14" x14ac:dyDescent="0.25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199</v>
      </c>
      <c r="K216" t="s">
        <v>207</v>
      </c>
      <c r="L216" t="s">
        <v>220</v>
      </c>
      <c r="M216" t="s">
        <v>225</v>
      </c>
      <c r="N216" t="str">
        <f t="shared" si="3"/>
        <v>CC</v>
      </c>
    </row>
    <row r="217" spans="1:14" x14ac:dyDescent="0.25">
      <c r="A217" t="s">
        <v>378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199</v>
      </c>
      <c r="K217" t="s">
        <v>233</v>
      </c>
      <c r="L217" t="s">
        <v>220</v>
      </c>
      <c r="M217" t="s">
        <v>225</v>
      </c>
      <c r="N217" t="str">
        <f t="shared" si="3"/>
        <v>POOL</v>
      </c>
    </row>
    <row r="218" spans="1:14" x14ac:dyDescent="0.25">
      <c r="A218" t="s">
        <v>109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199</v>
      </c>
      <c r="K218" t="s">
        <v>202</v>
      </c>
      <c r="L218" t="s">
        <v>221</v>
      </c>
      <c r="M218" t="s">
        <v>225</v>
      </c>
      <c r="N218" t="str">
        <f t="shared" si="3"/>
        <v>ZS</v>
      </c>
    </row>
    <row r="219" spans="1:14" x14ac:dyDescent="0.25">
      <c r="A219" t="s">
        <v>110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199</v>
      </c>
      <c r="K219" t="s">
        <v>203</v>
      </c>
      <c r="L219" t="s">
        <v>221</v>
      </c>
      <c r="M219" t="s">
        <v>225</v>
      </c>
      <c r="N219" t="str">
        <f t="shared" si="3"/>
        <v>ZS\&amp;POOL</v>
      </c>
    </row>
    <row r="220" spans="1:14" x14ac:dyDescent="0.25">
      <c r="A220" t="s">
        <v>111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199</v>
      </c>
      <c r="K220" t="s">
        <v>204</v>
      </c>
      <c r="L220" t="s">
        <v>221</v>
      </c>
      <c r="M220" t="s">
        <v>225</v>
      </c>
      <c r="N220" t="str">
        <f t="shared" si="3"/>
        <v>ZSGL</v>
      </c>
    </row>
    <row r="221" spans="1:14" x14ac:dyDescent="0.25">
      <c r="A221" t="s">
        <v>379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199</v>
      </c>
      <c r="K221" t="s">
        <v>239</v>
      </c>
      <c r="L221" t="s">
        <v>221</v>
      </c>
      <c r="M221" t="s">
        <v>225</v>
      </c>
      <c r="N221" t="str">
        <f t="shared" si="3"/>
        <v>BFCS</v>
      </c>
    </row>
    <row r="222" spans="1:14" x14ac:dyDescent="0.25">
      <c r="A222" t="s">
        <v>380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199</v>
      </c>
      <c r="K222" t="s">
        <v>241</v>
      </c>
      <c r="L222" t="s">
        <v>221</v>
      </c>
      <c r="M222" t="s">
        <v>225</v>
      </c>
      <c r="N222" t="str">
        <f t="shared" si="3"/>
        <v>SSSS</v>
      </c>
    </row>
    <row r="223" spans="1:14" x14ac:dyDescent="0.25">
      <c r="A223" t="s">
        <v>112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199</v>
      </c>
      <c r="K223" t="s">
        <v>206</v>
      </c>
      <c r="L223" t="s">
        <v>221</v>
      </c>
      <c r="M223" t="s">
        <v>225</v>
      </c>
      <c r="N223" t="str">
        <f t="shared" si="3"/>
        <v>BMS</v>
      </c>
    </row>
    <row r="224" spans="1:14" x14ac:dyDescent="0.25">
      <c r="A224" t="s">
        <v>288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199</v>
      </c>
      <c r="K224" t="s">
        <v>207</v>
      </c>
      <c r="L224" t="s">
        <v>221</v>
      </c>
      <c r="M224" t="s">
        <v>225</v>
      </c>
      <c r="N224" t="str">
        <f t="shared" si="3"/>
        <v>CC</v>
      </c>
    </row>
    <row r="225" spans="1:14" x14ac:dyDescent="0.25">
      <c r="A225" t="s">
        <v>381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199</v>
      </c>
      <c r="K225" t="s">
        <v>233</v>
      </c>
      <c r="L225" t="s">
        <v>221</v>
      </c>
      <c r="M225" t="s">
        <v>225</v>
      </c>
      <c r="N225" t="str">
        <f t="shared" si="3"/>
        <v>POOL</v>
      </c>
    </row>
    <row r="226" spans="1:14" x14ac:dyDescent="0.25">
      <c r="A226" t="s">
        <v>113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199</v>
      </c>
      <c r="K226" t="s">
        <v>202</v>
      </c>
      <c r="L226" t="s">
        <v>222</v>
      </c>
      <c r="M226" t="s">
        <v>225</v>
      </c>
      <c r="N226" t="str">
        <f t="shared" si="3"/>
        <v>ZS</v>
      </c>
    </row>
    <row r="227" spans="1:14" x14ac:dyDescent="0.25">
      <c r="A227" t="s">
        <v>114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199</v>
      </c>
      <c r="K227" t="s">
        <v>203</v>
      </c>
      <c r="L227" t="s">
        <v>222</v>
      </c>
      <c r="M227" t="s">
        <v>225</v>
      </c>
      <c r="N227" t="str">
        <f t="shared" si="3"/>
        <v>ZS\&amp;POOL</v>
      </c>
    </row>
    <row r="228" spans="1:14" x14ac:dyDescent="0.25">
      <c r="A228" t="s">
        <v>115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199</v>
      </c>
      <c r="K228" t="s">
        <v>204</v>
      </c>
      <c r="L228" t="s">
        <v>222</v>
      </c>
      <c r="M228" t="s">
        <v>225</v>
      </c>
      <c r="N228" t="str">
        <f t="shared" si="3"/>
        <v>ZSGL</v>
      </c>
    </row>
    <row r="229" spans="1:14" x14ac:dyDescent="0.25">
      <c r="A229" t="s">
        <v>382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199</v>
      </c>
      <c r="K229" t="s">
        <v>239</v>
      </c>
      <c r="L229" t="s">
        <v>222</v>
      </c>
      <c r="M229" t="s">
        <v>225</v>
      </c>
      <c r="N229" t="str">
        <f t="shared" si="3"/>
        <v>BFCS</v>
      </c>
    </row>
    <row r="230" spans="1:14" x14ac:dyDescent="0.25">
      <c r="A230" t="s">
        <v>383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199</v>
      </c>
      <c r="K230" t="s">
        <v>241</v>
      </c>
      <c r="L230" t="s">
        <v>222</v>
      </c>
      <c r="M230" t="s">
        <v>225</v>
      </c>
      <c r="N230" t="str">
        <f t="shared" si="3"/>
        <v>SSSS</v>
      </c>
    </row>
    <row r="231" spans="1:14" x14ac:dyDescent="0.25">
      <c r="A231" t="s">
        <v>116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199</v>
      </c>
      <c r="K231" t="s">
        <v>206</v>
      </c>
      <c r="L231" t="s">
        <v>222</v>
      </c>
      <c r="M231" t="s">
        <v>225</v>
      </c>
      <c r="N231" t="str">
        <f t="shared" si="3"/>
        <v>BMS</v>
      </c>
    </row>
    <row r="232" spans="1:14" x14ac:dyDescent="0.25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199</v>
      </c>
      <c r="K232" t="s">
        <v>207</v>
      </c>
      <c r="L232" t="s">
        <v>222</v>
      </c>
      <c r="M232" t="s">
        <v>225</v>
      </c>
      <c r="N232" t="str">
        <f t="shared" si="3"/>
        <v>CC</v>
      </c>
    </row>
    <row r="233" spans="1:14" x14ac:dyDescent="0.25">
      <c r="A233" t="s">
        <v>384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199</v>
      </c>
      <c r="K233" t="s">
        <v>233</v>
      </c>
      <c r="L233" t="s">
        <v>222</v>
      </c>
      <c r="M233" t="s">
        <v>225</v>
      </c>
      <c r="N233" t="str">
        <f t="shared" si="3"/>
        <v>POOL</v>
      </c>
    </row>
    <row r="234" spans="1:14" x14ac:dyDescent="0.25">
      <c r="A234" t="s">
        <v>117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199</v>
      </c>
      <c r="K234" t="s">
        <v>202</v>
      </c>
      <c r="L234" t="s">
        <v>223</v>
      </c>
      <c r="M234" t="s">
        <v>225</v>
      </c>
      <c r="N234" t="str">
        <f t="shared" si="3"/>
        <v>ZS</v>
      </c>
    </row>
    <row r="235" spans="1:14" x14ac:dyDescent="0.25">
      <c r="A235" t="s">
        <v>118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199</v>
      </c>
      <c r="K235" t="s">
        <v>203</v>
      </c>
      <c r="L235" t="s">
        <v>223</v>
      </c>
      <c r="M235" t="s">
        <v>225</v>
      </c>
      <c r="N235" t="str">
        <f t="shared" si="3"/>
        <v>ZS\&amp;POOL</v>
      </c>
    </row>
    <row r="236" spans="1:14" x14ac:dyDescent="0.25">
      <c r="A236" t="s">
        <v>119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199</v>
      </c>
      <c r="K236" t="s">
        <v>204</v>
      </c>
      <c r="L236" t="s">
        <v>223</v>
      </c>
      <c r="M236" t="s">
        <v>225</v>
      </c>
      <c r="N236" t="str">
        <f t="shared" si="3"/>
        <v>ZSGL</v>
      </c>
    </row>
    <row r="237" spans="1:14" x14ac:dyDescent="0.25">
      <c r="A237" t="s">
        <v>385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199</v>
      </c>
      <c r="K237" t="s">
        <v>239</v>
      </c>
      <c r="L237" t="s">
        <v>223</v>
      </c>
      <c r="M237" t="s">
        <v>225</v>
      </c>
      <c r="N237" t="str">
        <f t="shared" si="3"/>
        <v>BFCS</v>
      </c>
    </row>
    <row r="238" spans="1:14" x14ac:dyDescent="0.25">
      <c r="A238" t="s">
        <v>386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 t="s">
        <v>199</v>
      </c>
      <c r="K238" t="s">
        <v>241</v>
      </c>
      <c r="L238" t="s">
        <v>223</v>
      </c>
      <c r="M238" t="s">
        <v>225</v>
      </c>
      <c r="N238" t="str">
        <f t="shared" si="3"/>
        <v>SSSS</v>
      </c>
    </row>
    <row r="239" spans="1:14" x14ac:dyDescent="0.25">
      <c r="A239" t="s">
        <v>120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1</v>
      </c>
      <c r="J239" t="s">
        <v>199</v>
      </c>
      <c r="K239" t="s">
        <v>206</v>
      </c>
      <c r="L239" t="s">
        <v>223</v>
      </c>
      <c r="M239" t="s">
        <v>225</v>
      </c>
      <c r="N239" t="str">
        <f t="shared" si="3"/>
        <v>BMS</v>
      </c>
    </row>
    <row r="240" spans="1:14" x14ac:dyDescent="0.25">
      <c r="A240" t="s">
        <v>290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199</v>
      </c>
      <c r="K240" t="s">
        <v>207</v>
      </c>
      <c r="L240" t="s">
        <v>223</v>
      </c>
      <c r="M240" t="s">
        <v>225</v>
      </c>
      <c r="N240" t="str">
        <f t="shared" si="3"/>
        <v>CC</v>
      </c>
    </row>
    <row r="241" spans="1:14" x14ac:dyDescent="0.25">
      <c r="A241" t="s">
        <v>387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199</v>
      </c>
      <c r="K241" t="s">
        <v>233</v>
      </c>
      <c r="L241" t="s">
        <v>223</v>
      </c>
      <c r="M241" t="s">
        <v>225</v>
      </c>
      <c r="N241" t="str">
        <f t="shared" si="3"/>
        <v>POOL</v>
      </c>
    </row>
    <row r="242" spans="1:14" x14ac:dyDescent="0.25">
      <c r="A242" t="s">
        <v>121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200</v>
      </c>
      <c r="K242" t="s">
        <v>202</v>
      </c>
      <c r="L242" t="s">
        <v>209</v>
      </c>
      <c r="M242" t="s">
        <v>225</v>
      </c>
      <c r="N242" t="str">
        <f t="shared" si="3"/>
        <v>ZS</v>
      </c>
    </row>
    <row r="243" spans="1:14" x14ac:dyDescent="0.25">
      <c r="A243" t="s">
        <v>122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200</v>
      </c>
      <c r="K243" t="s">
        <v>203</v>
      </c>
      <c r="L243" t="s">
        <v>209</v>
      </c>
      <c r="M243" t="s">
        <v>225</v>
      </c>
      <c r="N243" t="str">
        <f t="shared" si="3"/>
        <v>ZS\&amp;POOL</v>
      </c>
    </row>
    <row r="244" spans="1:14" x14ac:dyDescent="0.25">
      <c r="A244" t="s">
        <v>123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200</v>
      </c>
      <c r="K244" t="s">
        <v>204</v>
      </c>
      <c r="L244" t="s">
        <v>209</v>
      </c>
      <c r="M244" t="s">
        <v>225</v>
      </c>
      <c r="N244" t="str">
        <f t="shared" si="3"/>
        <v>ZSGL</v>
      </c>
    </row>
    <row r="245" spans="1:14" x14ac:dyDescent="0.2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200</v>
      </c>
      <c r="K245" t="s">
        <v>239</v>
      </c>
      <c r="L245" t="s">
        <v>209</v>
      </c>
      <c r="M245" t="s">
        <v>225</v>
      </c>
      <c r="N245" t="str">
        <f t="shared" si="3"/>
        <v>BFCS</v>
      </c>
    </row>
    <row r="246" spans="1:14" x14ac:dyDescent="0.2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 t="s">
        <v>200</v>
      </c>
      <c r="K246" t="s">
        <v>241</v>
      </c>
      <c r="L246" t="s">
        <v>209</v>
      </c>
      <c r="M246" t="s">
        <v>225</v>
      </c>
      <c r="N246" t="str">
        <f t="shared" si="3"/>
        <v>SSSS</v>
      </c>
    </row>
    <row r="247" spans="1:14" x14ac:dyDescent="0.25">
      <c r="A247" t="s">
        <v>124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 t="s">
        <v>200</v>
      </c>
      <c r="K247" t="s">
        <v>206</v>
      </c>
      <c r="L247" t="s">
        <v>209</v>
      </c>
      <c r="M247" t="s">
        <v>225</v>
      </c>
      <c r="N247" t="str">
        <f t="shared" si="3"/>
        <v>BMS</v>
      </c>
    </row>
    <row r="248" spans="1:14" x14ac:dyDescent="0.25">
      <c r="A248" t="s">
        <v>291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200</v>
      </c>
      <c r="K248" t="s">
        <v>207</v>
      </c>
      <c r="L248" t="s">
        <v>209</v>
      </c>
      <c r="M248" t="s">
        <v>225</v>
      </c>
      <c r="N248" t="str">
        <f t="shared" si="3"/>
        <v>CC</v>
      </c>
    </row>
    <row r="249" spans="1:14" x14ac:dyDescent="0.25">
      <c r="A249" t="s">
        <v>390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 t="s">
        <v>200</v>
      </c>
      <c r="K249" t="s">
        <v>233</v>
      </c>
      <c r="L249" t="s">
        <v>209</v>
      </c>
      <c r="M249" t="s">
        <v>225</v>
      </c>
      <c r="N249" t="str">
        <f t="shared" si="3"/>
        <v>POOL</v>
      </c>
    </row>
    <row r="250" spans="1:14" x14ac:dyDescent="0.25">
      <c r="A250" t="s">
        <v>125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200</v>
      </c>
      <c r="K250" t="s">
        <v>202</v>
      </c>
      <c r="L250" t="s">
        <v>210</v>
      </c>
      <c r="M250" t="s">
        <v>225</v>
      </c>
      <c r="N250" t="str">
        <f t="shared" si="3"/>
        <v>ZS</v>
      </c>
    </row>
    <row r="251" spans="1:14" x14ac:dyDescent="0.25">
      <c r="A251" t="s">
        <v>126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200</v>
      </c>
      <c r="K251" t="s">
        <v>203</v>
      </c>
      <c r="L251" t="s">
        <v>210</v>
      </c>
      <c r="M251" t="s">
        <v>225</v>
      </c>
      <c r="N251" t="str">
        <f t="shared" si="3"/>
        <v>ZS\&amp;POOL</v>
      </c>
    </row>
    <row r="252" spans="1:14" x14ac:dyDescent="0.25">
      <c r="A252" t="s">
        <v>127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200</v>
      </c>
      <c r="K252" t="s">
        <v>204</v>
      </c>
      <c r="L252" t="s">
        <v>210</v>
      </c>
      <c r="M252" t="s">
        <v>225</v>
      </c>
      <c r="N252" t="str">
        <f t="shared" si="3"/>
        <v>ZSGL</v>
      </c>
    </row>
    <row r="253" spans="1:14" x14ac:dyDescent="0.25">
      <c r="A253" t="s">
        <v>391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200</v>
      </c>
      <c r="K253" t="s">
        <v>239</v>
      </c>
      <c r="L253" t="s">
        <v>210</v>
      </c>
      <c r="M253" t="s">
        <v>225</v>
      </c>
      <c r="N253" t="str">
        <f t="shared" si="3"/>
        <v>BFCS</v>
      </c>
    </row>
    <row r="254" spans="1:14" x14ac:dyDescent="0.25">
      <c r="A254" t="s">
        <v>392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200</v>
      </c>
      <c r="K254" t="s">
        <v>241</v>
      </c>
      <c r="L254" t="s">
        <v>210</v>
      </c>
      <c r="M254" t="s">
        <v>225</v>
      </c>
      <c r="N254" t="str">
        <f t="shared" si="3"/>
        <v>SSSS</v>
      </c>
    </row>
    <row r="255" spans="1:14" x14ac:dyDescent="0.25">
      <c r="A255" t="s">
        <v>128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200</v>
      </c>
      <c r="K255" t="s">
        <v>206</v>
      </c>
      <c r="L255" t="s">
        <v>210</v>
      </c>
      <c r="M255" t="s">
        <v>225</v>
      </c>
      <c r="N255" t="str">
        <f t="shared" si="3"/>
        <v>BMS</v>
      </c>
    </row>
    <row r="256" spans="1:14" x14ac:dyDescent="0.25">
      <c r="A256" t="s">
        <v>292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200</v>
      </c>
      <c r="K256" t="s">
        <v>207</v>
      </c>
      <c r="L256" t="s">
        <v>210</v>
      </c>
      <c r="M256" t="s">
        <v>225</v>
      </c>
      <c r="N256" t="str">
        <f t="shared" si="3"/>
        <v>CC</v>
      </c>
    </row>
    <row r="257" spans="1:14" x14ac:dyDescent="0.25">
      <c r="A257" t="s">
        <v>393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200</v>
      </c>
      <c r="K257" t="s">
        <v>233</v>
      </c>
      <c r="L257" t="s">
        <v>210</v>
      </c>
      <c r="M257" t="s">
        <v>225</v>
      </c>
      <c r="N257" t="str">
        <f t="shared" si="3"/>
        <v>POOL</v>
      </c>
    </row>
    <row r="258" spans="1:14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200</v>
      </c>
      <c r="K258" t="s">
        <v>202</v>
      </c>
      <c r="L258" t="s">
        <v>211</v>
      </c>
      <c r="M258" t="s">
        <v>225</v>
      </c>
      <c r="N258" t="str">
        <f t="shared" ref="N258:N321" si="4">VLOOKUP(K258,modelNames,2,FALSE)</f>
        <v>ZS</v>
      </c>
    </row>
    <row r="259" spans="1:14" x14ac:dyDescent="0.25">
      <c r="A259" t="s">
        <v>130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200</v>
      </c>
      <c r="K259" t="s">
        <v>203</v>
      </c>
      <c r="L259" t="s">
        <v>211</v>
      </c>
      <c r="M259" t="s">
        <v>225</v>
      </c>
      <c r="N259" t="str">
        <f t="shared" si="4"/>
        <v>ZS\&amp;POOL</v>
      </c>
    </row>
    <row r="260" spans="1:14" x14ac:dyDescent="0.25">
      <c r="A260" t="s">
        <v>131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200</v>
      </c>
      <c r="K260" t="s">
        <v>204</v>
      </c>
      <c r="L260" t="s">
        <v>211</v>
      </c>
      <c r="M260" t="s">
        <v>225</v>
      </c>
      <c r="N260" t="str">
        <f t="shared" si="4"/>
        <v>ZSGL</v>
      </c>
    </row>
    <row r="261" spans="1:14" x14ac:dyDescent="0.25">
      <c r="A261" t="s">
        <v>394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200</v>
      </c>
      <c r="K261" t="s">
        <v>239</v>
      </c>
      <c r="L261" t="s">
        <v>211</v>
      </c>
      <c r="M261" t="s">
        <v>225</v>
      </c>
      <c r="N261" t="str">
        <f t="shared" si="4"/>
        <v>BFCS</v>
      </c>
    </row>
    <row r="262" spans="1:14" x14ac:dyDescent="0.25">
      <c r="A262" t="s">
        <v>395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200</v>
      </c>
      <c r="K262" t="s">
        <v>241</v>
      </c>
      <c r="L262" t="s">
        <v>211</v>
      </c>
      <c r="M262" t="s">
        <v>225</v>
      </c>
      <c r="N262" t="str">
        <f t="shared" si="4"/>
        <v>SSSS</v>
      </c>
    </row>
    <row r="263" spans="1:14" x14ac:dyDescent="0.25">
      <c r="A263" t="s">
        <v>132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200</v>
      </c>
      <c r="K263" t="s">
        <v>206</v>
      </c>
      <c r="L263" t="s">
        <v>211</v>
      </c>
      <c r="M263" t="s">
        <v>225</v>
      </c>
      <c r="N263" t="str">
        <f t="shared" si="4"/>
        <v>BMS</v>
      </c>
    </row>
    <row r="264" spans="1:14" x14ac:dyDescent="0.25">
      <c r="A264" t="s">
        <v>293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200</v>
      </c>
      <c r="K264" t="s">
        <v>207</v>
      </c>
      <c r="L264" t="s">
        <v>211</v>
      </c>
      <c r="M264" t="s">
        <v>225</v>
      </c>
      <c r="N264" t="str">
        <f t="shared" si="4"/>
        <v>CC</v>
      </c>
    </row>
    <row r="265" spans="1:14" x14ac:dyDescent="0.25">
      <c r="A265" t="s">
        <v>396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200</v>
      </c>
      <c r="K265" t="s">
        <v>233</v>
      </c>
      <c r="L265" t="s">
        <v>211</v>
      </c>
      <c r="M265" t="s">
        <v>225</v>
      </c>
      <c r="N265" t="str">
        <f t="shared" si="4"/>
        <v>POOL</v>
      </c>
    </row>
    <row r="266" spans="1:14" x14ac:dyDescent="0.25">
      <c r="A266" t="s">
        <v>133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200</v>
      </c>
      <c r="K266" t="s">
        <v>202</v>
      </c>
      <c r="L266" t="s">
        <v>212</v>
      </c>
      <c r="M266" t="s">
        <v>225</v>
      </c>
      <c r="N266" t="str">
        <f t="shared" si="4"/>
        <v>ZS</v>
      </c>
    </row>
    <row r="267" spans="1:14" x14ac:dyDescent="0.25">
      <c r="A267" t="s">
        <v>134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200</v>
      </c>
      <c r="K267" t="s">
        <v>203</v>
      </c>
      <c r="L267" t="s">
        <v>212</v>
      </c>
      <c r="M267" t="s">
        <v>225</v>
      </c>
      <c r="N267" t="str">
        <f t="shared" si="4"/>
        <v>ZS\&amp;POOL</v>
      </c>
    </row>
    <row r="268" spans="1:14" x14ac:dyDescent="0.25">
      <c r="A268" t="s">
        <v>135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200</v>
      </c>
      <c r="K268" t="s">
        <v>204</v>
      </c>
      <c r="L268" t="s">
        <v>212</v>
      </c>
      <c r="M268" t="s">
        <v>225</v>
      </c>
      <c r="N268" t="str">
        <f t="shared" si="4"/>
        <v>ZSGL</v>
      </c>
    </row>
    <row r="269" spans="1:14" x14ac:dyDescent="0.25">
      <c r="A269" t="s">
        <v>397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200</v>
      </c>
      <c r="K269" t="s">
        <v>239</v>
      </c>
      <c r="L269" t="s">
        <v>212</v>
      </c>
      <c r="M269" t="s">
        <v>225</v>
      </c>
      <c r="N269" t="str">
        <f t="shared" si="4"/>
        <v>BFCS</v>
      </c>
    </row>
    <row r="270" spans="1:14" x14ac:dyDescent="0.25">
      <c r="A270" t="s">
        <v>398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 t="s">
        <v>200</v>
      </c>
      <c r="K270" t="s">
        <v>241</v>
      </c>
      <c r="L270" t="s">
        <v>212</v>
      </c>
      <c r="M270" t="s">
        <v>225</v>
      </c>
      <c r="N270" t="str">
        <f t="shared" si="4"/>
        <v>SSSS</v>
      </c>
    </row>
    <row r="271" spans="1:14" x14ac:dyDescent="0.25">
      <c r="A271" t="s">
        <v>136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200</v>
      </c>
      <c r="K271" t="s">
        <v>206</v>
      </c>
      <c r="L271" t="s">
        <v>212</v>
      </c>
      <c r="M271" t="s">
        <v>225</v>
      </c>
      <c r="N271" t="str">
        <f t="shared" si="4"/>
        <v>BMS</v>
      </c>
    </row>
    <row r="272" spans="1:14" x14ac:dyDescent="0.25">
      <c r="A272" t="s">
        <v>294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200</v>
      </c>
      <c r="K272" t="s">
        <v>207</v>
      </c>
      <c r="L272" t="s">
        <v>212</v>
      </c>
      <c r="M272" t="s">
        <v>225</v>
      </c>
      <c r="N272" t="str">
        <f t="shared" si="4"/>
        <v>CC</v>
      </c>
    </row>
    <row r="273" spans="1:14" x14ac:dyDescent="0.25">
      <c r="A273" t="s">
        <v>399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 t="s">
        <v>200</v>
      </c>
      <c r="K273" t="s">
        <v>233</v>
      </c>
      <c r="L273" t="s">
        <v>212</v>
      </c>
      <c r="M273" t="s">
        <v>225</v>
      </c>
      <c r="N273" t="str">
        <f t="shared" si="4"/>
        <v>POOL</v>
      </c>
    </row>
    <row r="274" spans="1:14" x14ac:dyDescent="0.25">
      <c r="A274" t="s">
        <v>137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200</v>
      </c>
      <c r="K274" t="s">
        <v>202</v>
      </c>
      <c r="L274" t="s">
        <v>213</v>
      </c>
      <c r="M274" t="s">
        <v>225</v>
      </c>
      <c r="N274" t="str">
        <f t="shared" si="4"/>
        <v>ZS</v>
      </c>
    </row>
    <row r="275" spans="1:14" x14ac:dyDescent="0.25">
      <c r="A275" t="s">
        <v>138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 t="s">
        <v>200</v>
      </c>
      <c r="K275" t="s">
        <v>203</v>
      </c>
      <c r="L275" t="s">
        <v>213</v>
      </c>
      <c r="M275" t="s">
        <v>225</v>
      </c>
      <c r="N275" t="str">
        <f t="shared" si="4"/>
        <v>ZS\&amp;POOL</v>
      </c>
    </row>
    <row r="276" spans="1:14" x14ac:dyDescent="0.25">
      <c r="A276" t="s">
        <v>139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200</v>
      </c>
      <c r="K276" t="s">
        <v>204</v>
      </c>
      <c r="L276" t="s">
        <v>213</v>
      </c>
      <c r="M276" t="s">
        <v>225</v>
      </c>
      <c r="N276" t="str">
        <f t="shared" si="4"/>
        <v>ZSGL</v>
      </c>
    </row>
    <row r="277" spans="1:14" x14ac:dyDescent="0.25">
      <c r="A277" t="s">
        <v>400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200</v>
      </c>
      <c r="K277" t="s">
        <v>239</v>
      </c>
      <c r="L277" t="s">
        <v>213</v>
      </c>
      <c r="M277" t="s">
        <v>225</v>
      </c>
      <c r="N277" t="str">
        <f t="shared" si="4"/>
        <v>BFCS</v>
      </c>
    </row>
    <row r="278" spans="1:14" x14ac:dyDescent="0.25">
      <c r="A278" t="s">
        <v>401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 t="s">
        <v>200</v>
      </c>
      <c r="K278" t="s">
        <v>241</v>
      </c>
      <c r="L278" t="s">
        <v>213</v>
      </c>
      <c r="M278" t="s">
        <v>225</v>
      </c>
      <c r="N278" t="str">
        <f t="shared" si="4"/>
        <v>SSSS</v>
      </c>
    </row>
    <row r="279" spans="1:14" x14ac:dyDescent="0.25">
      <c r="A279" t="s">
        <v>140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 t="s">
        <v>200</v>
      </c>
      <c r="K279" t="s">
        <v>206</v>
      </c>
      <c r="L279" t="s">
        <v>213</v>
      </c>
      <c r="M279" t="s">
        <v>225</v>
      </c>
      <c r="N279" t="str">
        <f t="shared" si="4"/>
        <v>BMS</v>
      </c>
    </row>
    <row r="280" spans="1:14" x14ac:dyDescent="0.25">
      <c r="A280" t="s">
        <v>295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200</v>
      </c>
      <c r="K280" t="s">
        <v>207</v>
      </c>
      <c r="L280" t="s">
        <v>213</v>
      </c>
      <c r="M280" t="s">
        <v>225</v>
      </c>
      <c r="N280" t="str">
        <f t="shared" si="4"/>
        <v>CC</v>
      </c>
    </row>
    <row r="281" spans="1:14" x14ac:dyDescent="0.25">
      <c r="A281" t="s">
        <v>402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200</v>
      </c>
      <c r="K281" t="s">
        <v>233</v>
      </c>
      <c r="L281" t="s">
        <v>213</v>
      </c>
      <c r="M281" t="s">
        <v>225</v>
      </c>
      <c r="N281" t="str">
        <f t="shared" si="4"/>
        <v>POOL</v>
      </c>
    </row>
    <row r="282" spans="1:14" x14ac:dyDescent="0.25">
      <c r="A282" t="s">
        <v>141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200</v>
      </c>
      <c r="K282" t="s">
        <v>202</v>
      </c>
      <c r="L282" t="s">
        <v>214</v>
      </c>
      <c r="M282" t="s">
        <v>225</v>
      </c>
      <c r="N282" t="str">
        <f t="shared" si="4"/>
        <v>ZS</v>
      </c>
    </row>
    <row r="283" spans="1:14" x14ac:dyDescent="0.25">
      <c r="A283" t="s">
        <v>142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200</v>
      </c>
      <c r="K283" t="s">
        <v>203</v>
      </c>
      <c r="L283" t="s">
        <v>214</v>
      </c>
      <c r="M283" t="s">
        <v>225</v>
      </c>
      <c r="N283" t="str">
        <f t="shared" si="4"/>
        <v>ZS\&amp;POOL</v>
      </c>
    </row>
    <row r="284" spans="1:14" x14ac:dyDescent="0.25">
      <c r="A284" t="s">
        <v>143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 t="s">
        <v>200</v>
      </c>
      <c r="K284" t="s">
        <v>204</v>
      </c>
      <c r="L284" t="s">
        <v>214</v>
      </c>
      <c r="M284" t="s">
        <v>225</v>
      </c>
      <c r="N284" t="str">
        <f t="shared" si="4"/>
        <v>ZSGL</v>
      </c>
    </row>
    <row r="285" spans="1:14" x14ac:dyDescent="0.25">
      <c r="A285" t="s">
        <v>403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200</v>
      </c>
      <c r="K285" t="s">
        <v>239</v>
      </c>
      <c r="L285" t="s">
        <v>214</v>
      </c>
      <c r="M285" t="s">
        <v>225</v>
      </c>
      <c r="N285" t="str">
        <f t="shared" si="4"/>
        <v>BFCS</v>
      </c>
    </row>
    <row r="286" spans="1:14" x14ac:dyDescent="0.25">
      <c r="A286" t="s">
        <v>404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200</v>
      </c>
      <c r="K286" t="s">
        <v>241</v>
      </c>
      <c r="L286" t="s">
        <v>214</v>
      </c>
      <c r="M286" t="s">
        <v>225</v>
      </c>
      <c r="N286" t="str">
        <f t="shared" si="4"/>
        <v>SSSS</v>
      </c>
    </row>
    <row r="287" spans="1:14" x14ac:dyDescent="0.25">
      <c r="A287" t="s">
        <v>144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200</v>
      </c>
      <c r="K287" t="s">
        <v>206</v>
      </c>
      <c r="L287" t="s">
        <v>214</v>
      </c>
      <c r="M287" t="s">
        <v>225</v>
      </c>
      <c r="N287" t="str">
        <f t="shared" si="4"/>
        <v>BMS</v>
      </c>
    </row>
    <row r="288" spans="1:14" x14ac:dyDescent="0.25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200</v>
      </c>
      <c r="K288" t="s">
        <v>207</v>
      </c>
      <c r="L288" t="s">
        <v>214</v>
      </c>
      <c r="M288" t="s">
        <v>225</v>
      </c>
      <c r="N288" t="str">
        <f t="shared" si="4"/>
        <v>CC</v>
      </c>
    </row>
    <row r="289" spans="1:14" x14ac:dyDescent="0.25">
      <c r="A289" t="s">
        <v>405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200</v>
      </c>
      <c r="K289" t="s">
        <v>233</v>
      </c>
      <c r="L289" t="s">
        <v>214</v>
      </c>
      <c r="M289" t="s">
        <v>225</v>
      </c>
      <c r="N289" t="str">
        <f t="shared" si="4"/>
        <v>POOL</v>
      </c>
    </row>
    <row r="290" spans="1:14" x14ac:dyDescent="0.25">
      <c r="A290" t="s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200</v>
      </c>
      <c r="K290" t="s">
        <v>202</v>
      </c>
      <c r="L290" t="s">
        <v>215</v>
      </c>
      <c r="M290" t="s">
        <v>225</v>
      </c>
      <c r="N290" t="str">
        <f t="shared" si="4"/>
        <v>ZS</v>
      </c>
    </row>
    <row r="291" spans="1:14" x14ac:dyDescent="0.25">
      <c r="A291" t="s">
        <v>146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200</v>
      </c>
      <c r="K291" t="s">
        <v>203</v>
      </c>
      <c r="L291" t="s">
        <v>215</v>
      </c>
      <c r="M291" t="s">
        <v>225</v>
      </c>
      <c r="N291" t="str">
        <f t="shared" si="4"/>
        <v>ZS\&amp;POOL</v>
      </c>
    </row>
    <row r="292" spans="1:14" x14ac:dyDescent="0.25">
      <c r="A292" t="s">
        <v>147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200</v>
      </c>
      <c r="K292" t="s">
        <v>204</v>
      </c>
      <c r="L292" t="s">
        <v>215</v>
      </c>
      <c r="M292" t="s">
        <v>225</v>
      </c>
      <c r="N292" t="str">
        <f t="shared" si="4"/>
        <v>ZSGL</v>
      </c>
    </row>
    <row r="293" spans="1:14" x14ac:dyDescent="0.25">
      <c r="A293" t="s">
        <v>406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 t="s">
        <v>200</v>
      </c>
      <c r="K293" t="s">
        <v>239</v>
      </c>
      <c r="L293" t="s">
        <v>215</v>
      </c>
      <c r="M293" t="s">
        <v>225</v>
      </c>
      <c r="N293" t="str">
        <f t="shared" si="4"/>
        <v>BFCS</v>
      </c>
    </row>
    <row r="294" spans="1:14" x14ac:dyDescent="0.25">
      <c r="A294" t="s">
        <v>407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200</v>
      </c>
      <c r="K294" t="s">
        <v>241</v>
      </c>
      <c r="L294" t="s">
        <v>215</v>
      </c>
      <c r="M294" t="s">
        <v>225</v>
      </c>
      <c r="N294" t="str">
        <f t="shared" si="4"/>
        <v>SSSS</v>
      </c>
    </row>
    <row r="295" spans="1:14" x14ac:dyDescent="0.25">
      <c r="A295" t="s">
        <v>148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 t="s">
        <v>200</v>
      </c>
      <c r="K295" t="s">
        <v>206</v>
      </c>
      <c r="L295" t="s">
        <v>215</v>
      </c>
      <c r="M295" t="s">
        <v>225</v>
      </c>
      <c r="N295" t="str">
        <f t="shared" si="4"/>
        <v>BMS</v>
      </c>
    </row>
    <row r="296" spans="1:14" x14ac:dyDescent="0.25">
      <c r="A296" t="s">
        <v>297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200</v>
      </c>
      <c r="K296" t="s">
        <v>207</v>
      </c>
      <c r="L296" t="s">
        <v>215</v>
      </c>
      <c r="M296" t="s">
        <v>225</v>
      </c>
      <c r="N296" t="str">
        <f t="shared" si="4"/>
        <v>CC</v>
      </c>
    </row>
    <row r="297" spans="1:14" x14ac:dyDescent="0.25">
      <c r="A297" t="s">
        <v>408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200</v>
      </c>
      <c r="K297" t="s">
        <v>233</v>
      </c>
      <c r="L297" t="s">
        <v>215</v>
      </c>
      <c r="M297" t="s">
        <v>225</v>
      </c>
      <c r="N297" t="str">
        <f t="shared" si="4"/>
        <v>POOL</v>
      </c>
    </row>
    <row r="298" spans="1:14" x14ac:dyDescent="0.25">
      <c r="A298" t="s">
        <v>149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200</v>
      </c>
      <c r="K298" t="s">
        <v>202</v>
      </c>
      <c r="L298" t="s">
        <v>216</v>
      </c>
      <c r="M298" t="s">
        <v>225</v>
      </c>
      <c r="N298" t="str">
        <f t="shared" si="4"/>
        <v>ZS</v>
      </c>
    </row>
    <row r="299" spans="1:14" x14ac:dyDescent="0.25">
      <c r="A299" t="s">
        <v>150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200</v>
      </c>
      <c r="K299" t="s">
        <v>203</v>
      </c>
      <c r="L299" t="s">
        <v>216</v>
      </c>
      <c r="M299" t="s">
        <v>225</v>
      </c>
      <c r="N299" t="str">
        <f t="shared" si="4"/>
        <v>ZS\&amp;POOL</v>
      </c>
    </row>
    <row r="300" spans="1:14" x14ac:dyDescent="0.25">
      <c r="A300" t="s">
        <v>151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200</v>
      </c>
      <c r="K300" t="s">
        <v>204</v>
      </c>
      <c r="L300" t="s">
        <v>216</v>
      </c>
      <c r="M300" t="s">
        <v>225</v>
      </c>
      <c r="N300" t="str">
        <f t="shared" si="4"/>
        <v>ZSGL</v>
      </c>
    </row>
    <row r="301" spans="1:14" x14ac:dyDescent="0.25">
      <c r="A301" t="s">
        <v>409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200</v>
      </c>
      <c r="K301" t="s">
        <v>239</v>
      </c>
      <c r="L301" t="s">
        <v>216</v>
      </c>
      <c r="M301" t="s">
        <v>225</v>
      </c>
      <c r="N301" t="str">
        <f t="shared" si="4"/>
        <v>BFCS</v>
      </c>
    </row>
    <row r="302" spans="1:14" x14ac:dyDescent="0.25">
      <c r="A302" t="s">
        <v>410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200</v>
      </c>
      <c r="K302" t="s">
        <v>241</v>
      </c>
      <c r="L302" t="s">
        <v>216</v>
      </c>
      <c r="M302" t="s">
        <v>225</v>
      </c>
      <c r="N302" t="str">
        <f t="shared" si="4"/>
        <v>SSSS</v>
      </c>
    </row>
    <row r="303" spans="1:14" x14ac:dyDescent="0.25">
      <c r="A303" t="s">
        <v>152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200</v>
      </c>
      <c r="K303" t="s">
        <v>206</v>
      </c>
      <c r="L303" t="s">
        <v>216</v>
      </c>
      <c r="M303" t="s">
        <v>225</v>
      </c>
      <c r="N303" t="str">
        <f t="shared" si="4"/>
        <v>BMS</v>
      </c>
    </row>
    <row r="304" spans="1:14" x14ac:dyDescent="0.25">
      <c r="A304" t="s">
        <v>153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200</v>
      </c>
      <c r="K304" t="s">
        <v>207</v>
      </c>
      <c r="L304" t="s">
        <v>216</v>
      </c>
      <c r="M304" t="s">
        <v>225</v>
      </c>
      <c r="N304" t="str">
        <f t="shared" si="4"/>
        <v>CC</v>
      </c>
    </row>
    <row r="305" spans="1:14" x14ac:dyDescent="0.25">
      <c r="A305" t="s">
        <v>411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 t="s">
        <v>200</v>
      </c>
      <c r="K305" t="s">
        <v>233</v>
      </c>
      <c r="L305" t="s">
        <v>216</v>
      </c>
      <c r="M305" t="s">
        <v>225</v>
      </c>
      <c r="N305" t="str">
        <f t="shared" si="4"/>
        <v>POOL</v>
      </c>
    </row>
    <row r="306" spans="1:14" x14ac:dyDescent="0.25">
      <c r="A306" t="s">
        <v>154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200</v>
      </c>
      <c r="K306" t="s">
        <v>202</v>
      </c>
      <c r="L306" t="s">
        <v>217</v>
      </c>
      <c r="M306" t="s">
        <v>225</v>
      </c>
      <c r="N306" t="str">
        <f t="shared" si="4"/>
        <v>ZS</v>
      </c>
    </row>
    <row r="307" spans="1:14" x14ac:dyDescent="0.25">
      <c r="A307" t="s">
        <v>155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200</v>
      </c>
      <c r="K307" t="s">
        <v>203</v>
      </c>
      <c r="L307" t="s">
        <v>217</v>
      </c>
      <c r="M307" t="s">
        <v>225</v>
      </c>
      <c r="N307" t="str">
        <f t="shared" si="4"/>
        <v>ZS\&amp;POOL</v>
      </c>
    </row>
    <row r="308" spans="1:14" x14ac:dyDescent="0.25">
      <c r="A308" t="s">
        <v>156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 t="s">
        <v>200</v>
      </c>
      <c r="K308" t="s">
        <v>204</v>
      </c>
      <c r="L308" t="s">
        <v>217</v>
      </c>
      <c r="M308" t="s">
        <v>225</v>
      </c>
      <c r="N308" t="str">
        <f t="shared" si="4"/>
        <v>ZSGL</v>
      </c>
    </row>
    <row r="309" spans="1:14" x14ac:dyDescent="0.25">
      <c r="A309" t="s">
        <v>412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200</v>
      </c>
      <c r="K309" t="s">
        <v>239</v>
      </c>
      <c r="L309" t="s">
        <v>217</v>
      </c>
      <c r="M309" t="s">
        <v>225</v>
      </c>
      <c r="N309" t="str">
        <f t="shared" si="4"/>
        <v>BFCS</v>
      </c>
    </row>
    <row r="310" spans="1:14" x14ac:dyDescent="0.25">
      <c r="A310" t="s">
        <v>413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 t="s">
        <v>200</v>
      </c>
      <c r="K310" t="s">
        <v>241</v>
      </c>
      <c r="L310" t="s">
        <v>217</v>
      </c>
      <c r="M310" t="s">
        <v>225</v>
      </c>
      <c r="N310" t="str">
        <f t="shared" si="4"/>
        <v>SSSS</v>
      </c>
    </row>
    <row r="311" spans="1:14" x14ac:dyDescent="0.25">
      <c r="A311" t="s">
        <v>157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200</v>
      </c>
      <c r="K311" t="s">
        <v>206</v>
      </c>
      <c r="L311" t="s">
        <v>217</v>
      </c>
      <c r="M311" t="s">
        <v>225</v>
      </c>
      <c r="N311" t="str">
        <f t="shared" si="4"/>
        <v>BMS</v>
      </c>
    </row>
    <row r="312" spans="1:14" x14ac:dyDescent="0.25">
      <c r="A312" t="s">
        <v>158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200</v>
      </c>
      <c r="K312" t="s">
        <v>207</v>
      </c>
      <c r="L312" t="s">
        <v>217</v>
      </c>
      <c r="M312" t="s">
        <v>225</v>
      </c>
      <c r="N312" t="str">
        <f t="shared" si="4"/>
        <v>CC</v>
      </c>
    </row>
    <row r="313" spans="1:14" x14ac:dyDescent="0.25">
      <c r="A313" t="s">
        <v>414</v>
      </c>
      <c r="B313">
        <v>1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1</v>
      </c>
      <c r="I313">
        <v>1</v>
      </c>
      <c r="J313" t="s">
        <v>200</v>
      </c>
      <c r="K313" t="s">
        <v>233</v>
      </c>
      <c r="L313" t="s">
        <v>217</v>
      </c>
      <c r="M313" t="s">
        <v>225</v>
      </c>
      <c r="N313" t="str">
        <f t="shared" si="4"/>
        <v>POOL</v>
      </c>
    </row>
    <row r="314" spans="1:14" x14ac:dyDescent="0.25">
      <c r="A314" t="s">
        <v>159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200</v>
      </c>
      <c r="K314" t="s">
        <v>202</v>
      </c>
      <c r="L314" t="s">
        <v>218</v>
      </c>
      <c r="M314" t="s">
        <v>225</v>
      </c>
      <c r="N314" t="str">
        <f t="shared" si="4"/>
        <v>ZS</v>
      </c>
    </row>
    <row r="315" spans="1:14" x14ac:dyDescent="0.25">
      <c r="A315" t="s">
        <v>160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 t="s">
        <v>200</v>
      </c>
      <c r="K315" t="s">
        <v>203</v>
      </c>
      <c r="L315" t="s">
        <v>218</v>
      </c>
      <c r="M315" t="s">
        <v>225</v>
      </c>
      <c r="N315" t="str">
        <f t="shared" si="4"/>
        <v>ZS\&amp;POOL</v>
      </c>
    </row>
    <row r="316" spans="1:14" x14ac:dyDescent="0.25">
      <c r="A316" t="s">
        <v>161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200</v>
      </c>
      <c r="K316" t="s">
        <v>204</v>
      </c>
      <c r="L316" t="s">
        <v>218</v>
      </c>
      <c r="M316" t="s">
        <v>225</v>
      </c>
      <c r="N316" t="str">
        <f t="shared" si="4"/>
        <v>ZSGL</v>
      </c>
    </row>
    <row r="317" spans="1:14" x14ac:dyDescent="0.25">
      <c r="A317" t="s">
        <v>415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200</v>
      </c>
      <c r="K317" t="s">
        <v>239</v>
      </c>
      <c r="L317" t="s">
        <v>218</v>
      </c>
      <c r="M317" t="s">
        <v>225</v>
      </c>
      <c r="N317" t="str">
        <f t="shared" si="4"/>
        <v>BFCS</v>
      </c>
    </row>
    <row r="318" spans="1:14" x14ac:dyDescent="0.25">
      <c r="A318" t="s">
        <v>416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 t="s">
        <v>200</v>
      </c>
      <c r="K318" t="s">
        <v>241</v>
      </c>
      <c r="L318" t="s">
        <v>218</v>
      </c>
      <c r="M318" t="s">
        <v>225</v>
      </c>
      <c r="N318" t="str">
        <f t="shared" si="4"/>
        <v>SSSS</v>
      </c>
    </row>
    <row r="319" spans="1:14" x14ac:dyDescent="0.25">
      <c r="A319" t="s">
        <v>162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200</v>
      </c>
      <c r="K319" t="s">
        <v>206</v>
      </c>
      <c r="L319" t="s">
        <v>218</v>
      </c>
      <c r="M319" t="s">
        <v>225</v>
      </c>
      <c r="N319" t="str">
        <f t="shared" si="4"/>
        <v>BMS</v>
      </c>
    </row>
    <row r="320" spans="1:14" x14ac:dyDescent="0.25">
      <c r="A320" t="s">
        <v>163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200</v>
      </c>
      <c r="K320" t="s">
        <v>207</v>
      </c>
      <c r="L320" t="s">
        <v>218</v>
      </c>
      <c r="M320" t="s">
        <v>225</v>
      </c>
      <c r="N320" t="str">
        <f t="shared" si="4"/>
        <v>CC</v>
      </c>
    </row>
    <row r="321" spans="1:14" x14ac:dyDescent="0.25">
      <c r="A321" t="s">
        <v>417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200</v>
      </c>
      <c r="K321" t="s">
        <v>233</v>
      </c>
      <c r="L321" t="s">
        <v>218</v>
      </c>
      <c r="M321" t="s">
        <v>225</v>
      </c>
      <c r="N321" t="str">
        <f t="shared" si="4"/>
        <v>POOL</v>
      </c>
    </row>
    <row r="322" spans="1:14" x14ac:dyDescent="0.25">
      <c r="A322" t="s">
        <v>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200</v>
      </c>
      <c r="K322" t="s">
        <v>202</v>
      </c>
      <c r="L322" t="s">
        <v>219</v>
      </c>
      <c r="M322" t="s">
        <v>225</v>
      </c>
      <c r="N322" t="str">
        <f t="shared" ref="N322:N385" si="5">VLOOKUP(K322,modelNames,2,FALSE)</f>
        <v>ZS</v>
      </c>
    </row>
    <row r="323" spans="1:14" x14ac:dyDescent="0.25">
      <c r="A323" t="s">
        <v>165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200</v>
      </c>
      <c r="K323" t="s">
        <v>203</v>
      </c>
      <c r="L323" t="s">
        <v>219</v>
      </c>
      <c r="M323" t="s">
        <v>225</v>
      </c>
      <c r="N323" t="str">
        <f t="shared" si="5"/>
        <v>ZS\&amp;POOL</v>
      </c>
    </row>
    <row r="324" spans="1:14" x14ac:dyDescent="0.25">
      <c r="A324" t="s">
        <v>166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200</v>
      </c>
      <c r="K324" t="s">
        <v>204</v>
      </c>
      <c r="L324" t="s">
        <v>219</v>
      </c>
      <c r="M324" t="s">
        <v>225</v>
      </c>
      <c r="N324" t="str">
        <f t="shared" si="5"/>
        <v>ZSGL</v>
      </c>
    </row>
    <row r="325" spans="1:14" x14ac:dyDescent="0.25">
      <c r="A325" t="s">
        <v>418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200</v>
      </c>
      <c r="K325" t="s">
        <v>239</v>
      </c>
      <c r="L325" t="s">
        <v>219</v>
      </c>
      <c r="M325" t="s">
        <v>225</v>
      </c>
      <c r="N325" t="str">
        <f t="shared" si="5"/>
        <v>BFCS</v>
      </c>
    </row>
    <row r="326" spans="1:14" x14ac:dyDescent="0.25">
      <c r="A326" t="s">
        <v>419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200</v>
      </c>
      <c r="K326" t="s">
        <v>241</v>
      </c>
      <c r="L326" t="s">
        <v>219</v>
      </c>
      <c r="M326" t="s">
        <v>225</v>
      </c>
      <c r="N326" t="str">
        <f t="shared" si="5"/>
        <v>SSSS</v>
      </c>
    </row>
    <row r="327" spans="1:14" x14ac:dyDescent="0.25">
      <c r="A327" t="s">
        <v>167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 t="s">
        <v>200</v>
      </c>
      <c r="K327" t="s">
        <v>206</v>
      </c>
      <c r="L327" t="s">
        <v>219</v>
      </c>
      <c r="M327" t="s">
        <v>225</v>
      </c>
      <c r="N327" t="str">
        <f t="shared" si="5"/>
        <v>BMS</v>
      </c>
    </row>
    <row r="328" spans="1:14" x14ac:dyDescent="0.25">
      <c r="A328" t="s">
        <v>168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200</v>
      </c>
      <c r="K328" t="s">
        <v>207</v>
      </c>
      <c r="L328" t="s">
        <v>219</v>
      </c>
      <c r="M328" t="s">
        <v>225</v>
      </c>
      <c r="N328" t="str">
        <f t="shared" si="5"/>
        <v>CC</v>
      </c>
    </row>
    <row r="329" spans="1:14" x14ac:dyDescent="0.25">
      <c r="A329" t="s">
        <v>420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200</v>
      </c>
      <c r="K329" t="s">
        <v>233</v>
      </c>
      <c r="L329" t="s">
        <v>219</v>
      </c>
      <c r="M329" t="s">
        <v>225</v>
      </c>
      <c r="N329" t="str">
        <f t="shared" si="5"/>
        <v>POOL</v>
      </c>
    </row>
    <row r="330" spans="1:14" x14ac:dyDescent="0.25">
      <c r="A330" t="s">
        <v>169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200</v>
      </c>
      <c r="K330" t="s">
        <v>202</v>
      </c>
      <c r="L330" t="s">
        <v>220</v>
      </c>
      <c r="M330" t="s">
        <v>225</v>
      </c>
      <c r="N330" t="str">
        <f t="shared" si="5"/>
        <v>ZS</v>
      </c>
    </row>
    <row r="331" spans="1:14" x14ac:dyDescent="0.25">
      <c r="A331" t="s">
        <v>170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200</v>
      </c>
      <c r="K331" t="s">
        <v>203</v>
      </c>
      <c r="L331" t="s">
        <v>220</v>
      </c>
      <c r="M331" t="s">
        <v>225</v>
      </c>
      <c r="N331" t="str">
        <f t="shared" si="5"/>
        <v>ZS\&amp;POOL</v>
      </c>
    </row>
    <row r="332" spans="1:14" x14ac:dyDescent="0.25">
      <c r="A332" t="s">
        <v>171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200</v>
      </c>
      <c r="K332" t="s">
        <v>204</v>
      </c>
      <c r="L332" t="s">
        <v>220</v>
      </c>
      <c r="M332" t="s">
        <v>225</v>
      </c>
      <c r="N332" t="str">
        <f t="shared" si="5"/>
        <v>ZSGL</v>
      </c>
    </row>
    <row r="333" spans="1:14" x14ac:dyDescent="0.25">
      <c r="A333" t="s">
        <v>421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200</v>
      </c>
      <c r="K333" t="s">
        <v>239</v>
      </c>
      <c r="L333" t="s">
        <v>220</v>
      </c>
      <c r="M333" t="s">
        <v>225</v>
      </c>
      <c r="N333" t="str">
        <f t="shared" si="5"/>
        <v>BFCS</v>
      </c>
    </row>
    <row r="334" spans="1:14" x14ac:dyDescent="0.25">
      <c r="A334" t="s">
        <v>422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200</v>
      </c>
      <c r="K334" t="s">
        <v>241</v>
      </c>
      <c r="L334" t="s">
        <v>220</v>
      </c>
      <c r="M334" t="s">
        <v>225</v>
      </c>
      <c r="N334" t="str">
        <f t="shared" si="5"/>
        <v>SSSS</v>
      </c>
    </row>
    <row r="335" spans="1:14" x14ac:dyDescent="0.25">
      <c r="A335" t="s">
        <v>172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200</v>
      </c>
      <c r="K335" t="s">
        <v>206</v>
      </c>
      <c r="L335" t="s">
        <v>220</v>
      </c>
      <c r="M335" t="s">
        <v>225</v>
      </c>
      <c r="N335" t="str">
        <f t="shared" si="5"/>
        <v>BMS</v>
      </c>
    </row>
    <row r="336" spans="1:14" x14ac:dyDescent="0.25">
      <c r="A336" t="s">
        <v>173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200</v>
      </c>
      <c r="K336" t="s">
        <v>207</v>
      </c>
      <c r="L336" t="s">
        <v>220</v>
      </c>
      <c r="M336" t="s">
        <v>225</v>
      </c>
      <c r="N336" t="str">
        <f t="shared" si="5"/>
        <v>CC</v>
      </c>
    </row>
    <row r="337" spans="1:14" x14ac:dyDescent="0.25">
      <c r="A337" t="s">
        <v>423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200</v>
      </c>
      <c r="K337" t="s">
        <v>233</v>
      </c>
      <c r="L337" t="s">
        <v>220</v>
      </c>
      <c r="M337" t="s">
        <v>225</v>
      </c>
      <c r="N337" t="str">
        <f t="shared" si="5"/>
        <v>POOL</v>
      </c>
    </row>
    <row r="338" spans="1:14" x14ac:dyDescent="0.25">
      <c r="A338" t="s">
        <v>174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200</v>
      </c>
      <c r="K338" t="s">
        <v>202</v>
      </c>
      <c r="L338" t="s">
        <v>221</v>
      </c>
      <c r="M338" t="s">
        <v>225</v>
      </c>
      <c r="N338" t="str">
        <f t="shared" si="5"/>
        <v>ZS</v>
      </c>
    </row>
    <row r="339" spans="1:14" x14ac:dyDescent="0.25">
      <c r="A339" t="s">
        <v>175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200</v>
      </c>
      <c r="K339" t="s">
        <v>203</v>
      </c>
      <c r="L339" t="s">
        <v>221</v>
      </c>
      <c r="M339" t="s">
        <v>225</v>
      </c>
      <c r="N339" t="str">
        <f t="shared" si="5"/>
        <v>ZS\&amp;POOL</v>
      </c>
    </row>
    <row r="340" spans="1:14" x14ac:dyDescent="0.25">
      <c r="A340" t="s">
        <v>176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 t="s">
        <v>200</v>
      </c>
      <c r="K340" t="s">
        <v>204</v>
      </c>
      <c r="L340" t="s">
        <v>221</v>
      </c>
      <c r="M340" t="s">
        <v>225</v>
      </c>
      <c r="N340" t="str">
        <f t="shared" si="5"/>
        <v>ZSGL</v>
      </c>
    </row>
    <row r="341" spans="1:14" x14ac:dyDescent="0.25">
      <c r="A341" t="s">
        <v>424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200</v>
      </c>
      <c r="K341" t="s">
        <v>239</v>
      </c>
      <c r="L341" t="s">
        <v>221</v>
      </c>
      <c r="M341" t="s">
        <v>225</v>
      </c>
      <c r="N341" t="str">
        <f t="shared" si="5"/>
        <v>BFCS</v>
      </c>
    </row>
    <row r="342" spans="1:14" x14ac:dyDescent="0.25">
      <c r="A342" t="s">
        <v>425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1</v>
      </c>
      <c r="J342" t="s">
        <v>200</v>
      </c>
      <c r="K342" t="s">
        <v>241</v>
      </c>
      <c r="L342" t="s">
        <v>221</v>
      </c>
      <c r="M342" t="s">
        <v>225</v>
      </c>
      <c r="N342" t="str">
        <f t="shared" si="5"/>
        <v>SSSS</v>
      </c>
    </row>
    <row r="343" spans="1:14" x14ac:dyDescent="0.25">
      <c r="A343" t="s">
        <v>177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206</v>
      </c>
      <c r="L343" t="s">
        <v>221</v>
      </c>
      <c r="M343" t="s">
        <v>225</v>
      </c>
      <c r="N343" t="str">
        <f t="shared" si="5"/>
        <v>BMS</v>
      </c>
    </row>
    <row r="344" spans="1:14" x14ac:dyDescent="0.25">
      <c r="A344" t="s">
        <v>178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200</v>
      </c>
      <c r="K344" t="s">
        <v>207</v>
      </c>
      <c r="L344" t="s">
        <v>221</v>
      </c>
      <c r="M344" t="s">
        <v>225</v>
      </c>
      <c r="N344" t="str">
        <f t="shared" si="5"/>
        <v>CC</v>
      </c>
    </row>
    <row r="345" spans="1:14" x14ac:dyDescent="0.25">
      <c r="A345" t="s">
        <v>426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 t="s">
        <v>200</v>
      </c>
      <c r="K345" t="s">
        <v>233</v>
      </c>
      <c r="L345" t="s">
        <v>221</v>
      </c>
      <c r="M345" t="s">
        <v>225</v>
      </c>
      <c r="N345" t="str">
        <f t="shared" si="5"/>
        <v>POOL</v>
      </c>
    </row>
    <row r="346" spans="1:14" x14ac:dyDescent="0.25">
      <c r="A346" t="s">
        <v>179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200</v>
      </c>
      <c r="K346" t="s">
        <v>202</v>
      </c>
      <c r="L346" t="s">
        <v>222</v>
      </c>
      <c r="M346" t="s">
        <v>225</v>
      </c>
      <c r="N346" t="str">
        <f t="shared" si="5"/>
        <v>ZS</v>
      </c>
    </row>
    <row r="347" spans="1:14" x14ac:dyDescent="0.25">
      <c r="A347" t="s">
        <v>180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200</v>
      </c>
      <c r="K347" t="s">
        <v>203</v>
      </c>
      <c r="L347" t="s">
        <v>222</v>
      </c>
      <c r="M347" t="s">
        <v>225</v>
      </c>
      <c r="N347" t="str">
        <f t="shared" si="5"/>
        <v>ZS\&amp;POOL</v>
      </c>
    </row>
    <row r="348" spans="1:14" x14ac:dyDescent="0.25">
      <c r="A348" t="s">
        <v>181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 t="s">
        <v>200</v>
      </c>
      <c r="K348" t="s">
        <v>204</v>
      </c>
      <c r="L348" t="s">
        <v>222</v>
      </c>
      <c r="M348" t="s">
        <v>225</v>
      </c>
      <c r="N348" t="str">
        <f t="shared" si="5"/>
        <v>ZSGL</v>
      </c>
    </row>
    <row r="349" spans="1:14" x14ac:dyDescent="0.25">
      <c r="A349" t="s">
        <v>427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200</v>
      </c>
      <c r="K349" t="s">
        <v>239</v>
      </c>
      <c r="L349" t="s">
        <v>222</v>
      </c>
      <c r="M349" t="s">
        <v>225</v>
      </c>
      <c r="N349" t="str">
        <f t="shared" si="5"/>
        <v>BFCS</v>
      </c>
    </row>
    <row r="350" spans="1:14" x14ac:dyDescent="0.25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200</v>
      </c>
      <c r="K350" t="s">
        <v>241</v>
      </c>
      <c r="L350" t="s">
        <v>222</v>
      </c>
      <c r="M350" t="s">
        <v>225</v>
      </c>
      <c r="N350" t="str">
        <f t="shared" si="5"/>
        <v>SSSS</v>
      </c>
    </row>
    <row r="351" spans="1:14" x14ac:dyDescent="0.25">
      <c r="A351" t="s">
        <v>182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200</v>
      </c>
      <c r="K351" t="s">
        <v>206</v>
      </c>
      <c r="L351" t="s">
        <v>222</v>
      </c>
      <c r="M351" t="s">
        <v>225</v>
      </c>
      <c r="N351" t="str">
        <f t="shared" si="5"/>
        <v>BMS</v>
      </c>
    </row>
    <row r="352" spans="1:14" x14ac:dyDescent="0.25">
      <c r="A352" t="s">
        <v>183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200</v>
      </c>
      <c r="K352" t="s">
        <v>207</v>
      </c>
      <c r="L352" t="s">
        <v>222</v>
      </c>
      <c r="M352" t="s">
        <v>225</v>
      </c>
      <c r="N352" t="str">
        <f t="shared" si="5"/>
        <v>CC</v>
      </c>
    </row>
    <row r="353" spans="1:14" x14ac:dyDescent="0.25">
      <c r="A353" t="s">
        <v>429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 t="s">
        <v>200</v>
      </c>
      <c r="K353" t="s">
        <v>233</v>
      </c>
      <c r="L353" t="s">
        <v>222</v>
      </c>
      <c r="M353" t="s">
        <v>225</v>
      </c>
      <c r="N353" t="str">
        <f t="shared" si="5"/>
        <v>POOL</v>
      </c>
    </row>
    <row r="354" spans="1:14" x14ac:dyDescent="0.25">
      <c r="A354" t="s">
        <v>184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200</v>
      </c>
      <c r="K354" t="s">
        <v>202</v>
      </c>
      <c r="L354" t="s">
        <v>223</v>
      </c>
      <c r="M354" t="s">
        <v>225</v>
      </c>
      <c r="N354" t="str">
        <f t="shared" si="5"/>
        <v>ZS</v>
      </c>
    </row>
    <row r="355" spans="1:14" x14ac:dyDescent="0.25">
      <c r="A355" t="s">
        <v>185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200</v>
      </c>
      <c r="K355" t="s">
        <v>203</v>
      </c>
      <c r="L355" t="s">
        <v>223</v>
      </c>
      <c r="M355" t="s">
        <v>225</v>
      </c>
      <c r="N355" t="str">
        <f t="shared" si="5"/>
        <v>ZS\&amp;POOL</v>
      </c>
    </row>
    <row r="356" spans="1:14" x14ac:dyDescent="0.25">
      <c r="A356" t="s">
        <v>186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200</v>
      </c>
      <c r="K356" t="s">
        <v>204</v>
      </c>
      <c r="L356" t="s">
        <v>223</v>
      </c>
      <c r="M356" t="s">
        <v>225</v>
      </c>
      <c r="N356" t="str">
        <f t="shared" si="5"/>
        <v>ZSGL</v>
      </c>
    </row>
    <row r="357" spans="1:14" x14ac:dyDescent="0.25">
      <c r="A357" t="s">
        <v>430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200</v>
      </c>
      <c r="K357" t="s">
        <v>239</v>
      </c>
      <c r="L357" t="s">
        <v>223</v>
      </c>
      <c r="M357" t="s">
        <v>225</v>
      </c>
      <c r="N357" t="str">
        <f t="shared" si="5"/>
        <v>BFCS</v>
      </c>
    </row>
    <row r="358" spans="1:14" x14ac:dyDescent="0.25">
      <c r="A358" t="s">
        <v>431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200</v>
      </c>
      <c r="K358" t="s">
        <v>241</v>
      </c>
      <c r="L358" t="s">
        <v>223</v>
      </c>
      <c r="M358" t="s">
        <v>225</v>
      </c>
      <c r="N358" t="str">
        <f t="shared" si="5"/>
        <v>SSSS</v>
      </c>
    </row>
    <row r="359" spans="1:14" x14ac:dyDescent="0.25">
      <c r="A359" t="s">
        <v>187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200</v>
      </c>
      <c r="K359" t="s">
        <v>206</v>
      </c>
      <c r="L359" t="s">
        <v>223</v>
      </c>
      <c r="M359" t="s">
        <v>225</v>
      </c>
      <c r="N359" t="str">
        <f t="shared" si="5"/>
        <v>BMS</v>
      </c>
    </row>
    <row r="360" spans="1:14" x14ac:dyDescent="0.25">
      <c r="A360" t="s">
        <v>188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200</v>
      </c>
      <c r="K360" t="s">
        <v>207</v>
      </c>
      <c r="L360" t="s">
        <v>223</v>
      </c>
      <c r="M360" t="s">
        <v>225</v>
      </c>
      <c r="N360" t="str">
        <f t="shared" si="5"/>
        <v>CC</v>
      </c>
    </row>
    <row r="361" spans="1:14" x14ac:dyDescent="0.25">
      <c r="A361" t="s">
        <v>432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200</v>
      </c>
      <c r="K361" t="s">
        <v>233</v>
      </c>
      <c r="L361" t="s">
        <v>223</v>
      </c>
      <c r="M361" t="s">
        <v>225</v>
      </c>
      <c r="N361" t="str">
        <f t="shared" si="5"/>
        <v>POOL</v>
      </c>
    </row>
    <row r="362" spans="1:14" x14ac:dyDescent="0.25">
      <c r="A362" t="s">
        <v>164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200</v>
      </c>
      <c r="K362" t="s">
        <v>202</v>
      </c>
      <c r="L362" t="s">
        <v>219</v>
      </c>
      <c r="M362" t="s">
        <v>225</v>
      </c>
      <c r="N362" t="str">
        <f t="shared" si="5"/>
        <v>ZS</v>
      </c>
    </row>
    <row r="363" spans="1:14" x14ac:dyDescent="0.25">
      <c r="A363" t="s">
        <v>165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200</v>
      </c>
      <c r="K363" t="s">
        <v>203</v>
      </c>
      <c r="L363" t="s">
        <v>219</v>
      </c>
      <c r="M363" t="s">
        <v>225</v>
      </c>
      <c r="N363" t="str">
        <f t="shared" si="5"/>
        <v>ZS\&amp;POOL</v>
      </c>
    </row>
    <row r="364" spans="1:14" x14ac:dyDescent="0.25">
      <c r="A364" t="s">
        <v>166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200</v>
      </c>
      <c r="K364" t="s">
        <v>204</v>
      </c>
      <c r="L364" t="s">
        <v>219</v>
      </c>
      <c r="M364" t="s">
        <v>225</v>
      </c>
      <c r="N364" t="str">
        <f t="shared" si="5"/>
        <v>ZSGL</v>
      </c>
    </row>
    <row r="365" spans="1:14" x14ac:dyDescent="0.25">
      <c r="A365" t="s">
        <v>418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200</v>
      </c>
      <c r="K365" t="s">
        <v>239</v>
      </c>
      <c r="L365" t="s">
        <v>219</v>
      </c>
      <c r="M365" t="s">
        <v>225</v>
      </c>
      <c r="N365" t="str">
        <f t="shared" si="5"/>
        <v>BFCS</v>
      </c>
    </row>
    <row r="366" spans="1:14" x14ac:dyDescent="0.25">
      <c r="A366" t="s">
        <v>419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200</v>
      </c>
      <c r="K366" t="s">
        <v>241</v>
      </c>
      <c r="L366" t="s">
        <v>219</v>
      </c>
      <c r="M366" t="s">
        <v>225</v>
      </c>
      <c r="N366" t="str">
        <f t="shared" si="5"/>
        <v>SSSS</v>
      </c>
    </row>
    <row r="367" spans="1:14" x14ac:dyDescent="0.25">
      <c r="A367" t="s">
        <v>167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 t="s">
        <v>200</v>
      </c>
      <c r="K367" t="s">
        <v>206</v>
      </c>
      <c r="L367" t="s">
        <v>219</v>
      </c>
      <c r="M367" t="s">
        <v>225</v>
      </c>
      <c r="N367" t="str">
        <f t="shared" si="5"/>
        <v>BMS</v>
      </c>
    </row>
    <row r="368" spans="1:14" x14ac:dyDescent="0.25">
      <c r="A368" t="s">
        <v>168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200</v>
      </c>
      <c r="K368" t="s">
        <v>207</v>
      </c>
      <c r="L368" t="s">
        <v>219</v>
      </c>
      <c r="M368" t="s">
        <v>225</v>
      </c>
      <c r="N368" t="str">
        <f t="shared" si="5"/>
        <v>CC</v>
      </c>
    </row>
    <row r="369" spans="1:14" x14ac:dyDescent="0.25">
      <c r="A369" t="s">
        <v>420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200</v>
      </c>
      <c r="K369" t="s">
        <v>233</v>
      </c>
      <c r="L369" t="s">
        <v>219</v>
      </c>
      <c r="M369" t="s">
        <v>225</v>
      </c>
      <c r="N369" t="str">
        <f t="shared" si="5"/>
        <v>POOL</v>
      </c>
    </row>
    <row r="370" spans="1:14" x14ac:dyDescent="0.25">
      <c r="A370" t="s">
        <v>449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1</v>
      </c>
      <c r="J370" t="s">
        <v>200</v>
      </c>
      <c r="K370" t="s">
        <v>226</v>
      </c>
      <c r="L370" t="s">
        <v>219</v>
      </c>
      <c r="M370" t="s">
        <v>225</v>
      </c>
      <c r="N370" t="str">
        <f t="shared" si="5"/>
        <v>J</v>
      </c>
    </row>
    <row r="371" spans="1:14" x14ac:dyDescent="0.25">
      <c r="A371" t="s">
        <v>169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200</v>
      </c>
      <c r="K371" t="s">
        <v>202</v>
      </c>
      <c r="L371" t="s">
        <v>220</v>
      </c>
      <c r="M371" t="s">
        <v>225</v>
      </c>
      <c r="N371" t="str">
        <f t="shared" si="5"/>
        <v>ZS</v>
      </c>
    </row>
    <row r="372" spans="1:14" x14ac:dyDescent="0.25">
      <c r="A372" t="s">
        <v>170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200</v>
      </c>
      <c r="K372" t="s">
        <v>203</v>
      </c>
      <c r="L372" t="s">
        <v>220</v>
      </c>
      <c r="M372" t="s">
        <v>225</v>
      </c>
      <c r="N372" t="str">
        <f t="shared" si="5"/>
        <v>ZS\&amp;POOL</v>
      </c>
    </row>
    <row r="373" spans="1:14" x14ac:dyDescent="0.25">
      <c r="A373" t="s">
        <v>171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200</v>
      </c>
      <c r="K373" t="s">
        <v>204</v>
      </c>
      <c r="L373" t="s">
        <v>220</v>
      </c>
      <c r="M373" t="s">
        <v>225</v>
      </c>
      <c r="N373" t="str">
        <f t="shared" si="5"/>
        <v>ZSGL</v>
      </c>
    </row>
    <row r="374" spans="1:14" x14ac:dyDescent="0.25">
      <c r="A374" t="s">
        <v>421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200</v>
      </c>
      <c r="K374" t="s">
        <v>239</v>
      </c>
      <c r="L374" t="s">
        <v>220</v>
      </c>
      <c r="M374" t="s">
        <v>225</v>
      </c>
      <c r="N374" t="str">
        <f t="shared" si="5"/>
        <v>BFCS</v>
      </c>
    </row>
    <row r="375" spans="1:14" x14ac:dyDescent="0.25">
      <c r="A375" t="s">
        <v>422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200</v>
      </c>
      <c r="K375" t="s">
        <v>241</v>
      </c>
      <c r="L375" t="s">
        <v>220</v>
      </c>
      <c r="M375" t="s">
        <v>225</v>
      </c>
      <c r="N375" t="str">
        <f t="shared" si="5"/>
        <v>SSSS</v>
      </c>
    </row>
    <row r="376" spans="1:14" x14ac:dyDescent="0.25">
      <c r="A376" t="s">
        <v>172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200</v>
      </c>
      <c r="K376" t="s">
        <v>206</v>
      </c>
      <c r="L376" t="s">
        <v>220</v>
      </c>
      <c r="M376" t="s">
        <v>225</v>
      </c>
      <c r="N376" t="str">
        <f t="shared" si="5"/>
        <v>BMS</v>
      </c>
    </row>
    <row r="377" spans="1:14" x14ac:dyDescent="0.25">
      <c r="A377" t="s">
        <v>173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200</v>
      </c>
      <c r="K377" t="s">
        <v>207</v>
      </c>
      <c r="L377" t="s">
        <v>220</v>
      </c>
      <c r="M377" t="s">
        <v>225</v>
      </c>
      <c r="N377" t="str">
        <f t="shared" si="5"/>
        <v>CC</v>
      </c>
    </row>
    <row r="378" spans="1:14" x14ac:dyDescent="0.25">
      <c r="A378" t="s">
        <v>423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200</v>
      </c>
      <c r="K378" t="s">
        <v>233</v>
      </c>
      <c r="L378" t="s">
        <v>220</v>
      </c>
      <c r="M378" t="s">
        <v>225</v>
      </c>
      <c r="N378" t="str">
        <f t="shared" si="5"/>
        <v>POOL</v>
      </c>
    </row>
    <row r="379" spans="1:14" x14ac:dyDescent="0.25">
      <c r="A379" t="s">
        <v>450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1</v>
      </c>
      <c r="J379" t="s">
        <v>200</v>
      </c>
      <c r="K379" t="s">
        <v>226</v>
      </c>
      <c r="L379" t="s">
        <v>220</v>
      </c>
      <c r="M379" t="s">
        <v>225</v>
      </c>
      <c r="N379" t="str">
        <f t="shared" si="5"/>
        <v>J</v>
      </c>
    </row>
    <row r="380" spans="1:14" x14ac:dyDescent="0.25">
      <c r="A380" t="s">
        <v>174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200</v>
      </c>
      <c r="K380" t="s">
        <v>202</v>
      </c>
      <c r="L380" t="s">
        <v>221</v>
      </c>
      <c r="M380" t="s">
        <v>225</v>
      </c>
      <c r="N380" t="str">
        <f t="shared" si="5"/>
        <v>ZS</v>
      </c>
    </row>
    <row r="381" spans="1:14" x14ac:dyDescent="0.25">
      <c r="A381" t="s">
        <v>175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200</v>
      </c>
      <c r="K381" t="s">
        <v>203</v>
      </c>
      <c r="L381" t="s">
        <v>221</v>
      </c>
      <c r="M381" t="s">
        <v>225</v>
      </c>
      <c r="N381" t="str">
        <f t="shared" si="5"/>
        <v>ZS\&amp;POOL</v>
      </c>
    </row>
    <row r="382" spans="1:14" x14ac:dyDescent="0.25">
      <c r="A382" t="s">
        <v>176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 t="s">
        <v>200</v>
      </c>
      <c r="K382" t="s">
        <v>204</v>
      </c>
      <c r="L382" t="s">
        <v>221</v>
      </c>
      <c r="M382" t="s">
        <v>225</v>
      </c>
      <c r="N382" t="str">
        <f t="shared" si="5"/>
        <v>ZSGL</v>
      </c>
    </row>
    <row r="383" spans="1:14" x14ac:dyDescent="0.25">
      <c r="A383" t="s">
        <v>424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200</v>
      </c>
      <c r="K383" t="s">
        <v>239</v>
      </c>
      <c r="L383" t="s">
        <v>221</v>
      </c>
      <c r="M383" t="s">
        <v>225</v>
      </c>
      <c r="N383" t="str">
        <f t="shared" si="5"/>
        <v>BFCS</v>
      </c>
    </row>
    <row r="384" spans="1:14" x14ac:dyDescent="0.25">
      <c r="A384" t="s">
        <v>425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1</v>
      </c>
      <c r="J384" t="s">
        <v>200</v>
      </c>
      <c r="K384" t="s">
        <v>241</v>
      </c>
      <c r="L384" t="s">
        <v>221</v>
      </c>
      <c r="M384" t="s">
        <v>225</v>
      </c>
      <c r="N384" t="str">
        <f t="shared" si="5"/>
        <v>SSSS</v>
      </c>
    </row>
    <row r="385" spans="1:14" x14ac:dyDescent="0.25">
      <c r="A385" t="s">
        <v>177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</v>
      </c>
      <c r="J385" t="s">
        <v>200</v>
      </c>
      <c r="K385" t="s">
        <v>206</v>
      </c>
      <c r="L385" t="s">
        <v>221</v>
      </c>
      <c r="M385" t="s">
        <v>225</v>
      </c>
      <c r="N385" t="str">
        <f t="shared" si="5"/>
        <v>BMS</v>
      </c>
    </row>
    <row r="386" spans="1:14" x14ac:dyDescent="0.25">
      <c r="A386" t="s">
        <v>178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200</v>
      </c>
      <c r="K386" t="s">
        <v>207</v>
      </c>
      <c r="L386" t="s">
        <v>221</v>
      </c>
      <c r="M386" t="s">
        <v>225</v>
      </c>
      <c r="N386" t="str">
        <f t="shared" ref="N386:N406" si="6">VLOOKUP(K386,modelNames,2,FALSE)</f>
        <v>CC</v>
      </c>
    </row>
    <row r="387" spans="1:14" x14ac:dyDescent="0.25">
      <c r="A387" t="s">
        <v>426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 t="s">
        <v>200</v>
      </c>
      <c r="K387" t="s">
        <v>233</v>
      </c>
      <c r="L387" t="s">
        <v>221</v>
      </c>
      <c r="M387" t="s">
        <v>225</v>
      </c>
      <c r="N387" t="str">
        <f t="shared" si="6"/>
        <v>POOL</v>
      </c>
    </row>
    <row r="388" spans="1:14" x14ac:dyDescent="0.25">
      <c r="A388" t="s">
        <v>451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 t="s">
        <v>200</v>
      </c>
      <c r="K388" t="s">
        <v>226</v>
      </c>
      <c r="L388" t="s">
        <v>221</v>
      </c>
      <c r="M388" t="s">
        <v>225</v>
      </c>
      <c r="N388" t="str">
        <f t="shared" si="6"/>
        <v>J</v>
      </c>
    </row>
    <row r="389" spans="1:14" x14ac:dyDescent="0.25">
      <c r="A389" t="s">
        <v>179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200</v>
      </c>
      <c r="K389" t="s">
        <v>202</v>
      </c>
      <c r="L389" t="s">
        <v>222</v>
      </c>
      <c r="M389" t="s">
        <v>225</v>
      </c>
      <c r="N389" t="str">
        <f t="shared" si="6"/>
        <v>ZS</v>
      </c>
    </row>
    <row r="390" spans="1:14" x14ac:dyDescent="0.25">
      <c r="A390" t="s">
        <v>180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200</v>
      </c>
      <c r="K390" t="s">
        <v>203</v>
      </c>
      <c r="L390" t="s">
        <v>222</v>
      </c>
      <c r="M390" t="s">
        <v>225</v>
      </c>
      <c r="N390" t="str">
        <f t="shared" si="6"/>
        <v>ZS\&amp;POOL</v>
      </c>
    </row>
    <row r="391" spans="1:14" x14ac:dyDescent="0.25">
      <c r="A391" t="s">
        <v>181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 t="s">
        <v>200</v>
      </c>
      <c r="K391" t="s">
        <v>204</v>
      </c>
      <c r="L391" t="s">
        <v>222</v>
      </c>
      <c r="M391" t="s">
        <v>225</v>
      </c>
      <c r="N391" t="str">
        <f t="shared" si="6"/>
        <v>ZSGL</v>
      </c>
    </row>
    <row r="392" spans="1:14" x14ac:dyDescent="0.25">
      <c r="A392" t="s">
        <v>427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200</v>
      </c>
      <c r="K392" t="s">
        <v>239</v>
      </c>
      <c r="L392" t="s">
        <v>222</v>
      </c>
      <c r="M392" t="s">
        <v>225</v>
      </c>
      <c r="N392" t="str">
        <f t="shared" si="6"/>
        <v>BFCS</v>
      </c>
    </row>
    <row r="393" spans="1:14" x14ac:dyDescent="0.25">
      <c r="A393" t="s">
        <v>428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200</v>
      </c>
      <c r="K393" t="s">
        <v>241</v>
      </c>
      <c r="L393" t="s">
        <v>222</v>
      </c>
      <c r="M393" t="s">
        <v>225</v>
      </c>
      <c r="N393" t="str">
        <f t="shared" si="6"/>
        <v>SSSS</v>
      </c>
    </row>
    <row r="394" spans="1:14" x14ac:dyDescent="0.25">
      <c r="A394" t="s">
        <v>182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200</v>
      </c>
      <c r="K394" t="s">
        <v>206</v>
      </c>
      <c r="L394" t="s">
        <v>222</v>
      </c>
      <c r="M394" t="s">
        <v>225</v>
      </c>
      <c r="N394" t="str">
        <f t="shared" si="6"/>
        <v>BMS</v>
      </c>
    </row>
    <row r="395" spans="1:14" x14ac:dyDescent="0.25">
      <c r="A395" t="s">
        <v>183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200</v>
      </c>
      <c r="K395" t="s">
        <v>207</v>
      </c>
      <c r="L395" t="s">
        <v>222</v>
      </c>
      <c r="M395" t="s">
        <v>225</v>
      </c>
      <c r="N395" t="str">
        <f t="shared" si="6"/>
        <v>CC</v>
      </c>
    </row>
    <row r="396" spans="1:14" x14ac:dyDescent="0.25">
      <c r="A396" t="s">
        <v>429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 t="s">
        <v>200</v>
      </c>
      <c r="K396" t="s">
        <v>233</v>
      </c>
      <c r="L396" t="s">
        <v>222</v>
      </c>
      <c r="M396" t="s">
        <v>225</v>
      </c>
      <c r="N396" t="str">
        <f t="shared" si="6"/>
        <v>POOL</v>
      </c>
    </row>
    <row r="397" spans="1:14" x14ac:dyDescent="0.25">
      <c r="A397" t="s">
        <v>452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</v>
      </c>
      <c r="J397" t="s">
        <v>200</v>
      </c>
      <c r="K397" t="s">
        <v>226</v>
      </c>
      <c r="L397" t="s">
        <v>222</v>
      </c>
      <c r="M397" t="s">
        <v>225</v>
      </c>
      <c r="N397" t="str">
        <f t="shared" si="6"/>
        <v>J</v>
      </c>
    </row>
    <row r="398" spans="1:14" x14ac:dyDescent="0.25">
      <c r="A398" t="s">
        <v>184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200</v>
      </c>
      <c r="K398" t="s">
        <v>202</v>
      </c>
      <c r="L398" t="s">
        <v>223</v>
      </c>
      <c r="M398" t="s">
        <v>225</v>
      </c>
      <c r="N398" t="str">
        <f t="shared" si="6"/>
        <v>ZS</v>
      </c>
    </row>
    <row r="399" spans="1:14" x14ac:dyDescent="0.25">
      <c r="A399" t="s">
        <v>185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200</v>
      </c>
      <c r="K399" t="s">
        <v>203</v>
      </c>
      <c r="L399" t="s">
        <v>223</v>
      </c>
      <c r="M399" t="s">
        <v>225</v>
      </c>
      <c r="N399" t="str">
        <f t="shared" si="6"/>
        <v>ZS\&amp;POOL</v>
      </c>
    </row>
    <row r="400" spans="1:14" x14ac:dyDescent="0.25">
      <c r="A400" t="s">
        <v>186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200</v>
      </c>
      <c r="K400" t="s">
        <v>204</v>
      </c>
      <c r="L400" t="s">
        <v>223</v>
      </c>
      <c r="M400" t="s">
        <v>225</v>
      </c>
      <c r="N400" t="str">
        <f t="shared" si="6"/>
        <v>ZSGL</v>
      </c>
    </row>
    <row r="401" spans="1:14" x14ac:dyDescent="0.25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200</v>
      </c>
      <c r="K401" t="s">
        <v>239</v>
      </c>
      <c r="L401" t="s">
        <v>223</v>
      </c>
      <c r="M401" t="s">
        <v>225</v>
      </c>
      <c r="N401" t="str">
        <f t="shared" si="6"/>
        <v>BFCS</v>
      </c>
    </row>
    <row r="402" spans="1:14" x14ac:dyDescent="0.25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200</v>
      </c>
      <c r="K402" t="s">
        <v>241</v>
      </c>
      <c r="L402" t="s">
        <v>223</v>
      </c>
      <c r="M402" t="s">
        <v>225</v>
      </c>
      <c r="N402" t="str">
        <f t="shared" si="6"/>
        <v>SSSS</v>
      </c>
    </row>
    <row r="403" spans="1:14" x14ac:dyDescent="0.25">
      <c r="A403" t="s">
        <v>187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200</v>
      </c>
      <c r="K403" t="s">
        <v>206</v>
      </c>
      <c r="L403" t="s">
        <v>223</v>
      </c>
      <c r="M403" t="s">
        <v>225</v>
      </c>
      <c r="N403" t="str">
        <f t="shared" si="6"/>
        <v>BMS</v>
      </c>
    </row>
    <row r="404" spans="1:14" x14ac:dyDescent="0.25">
      <c r="A404" t="s">
        <v>188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200</v>
      </c>
      <c r="K404" t="s">
        <v>207</v>
      </c>
      <c r="L404" t="s">
        <v>223</v>
      </c>
      <c r="M404" t="s">
        <v>225</v>
      </c>
      <c r="N404" t="str">
        <f t="shared" si="6"/>
        <v>CC</v>
      </c>
    </row>
    <row r="405" spans="1:14" x14ac:dyDescent="0.25">
      <c r="A405" t="s">
        <v>432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200</v>
      </c>
      <c r="K405" t="s">
        <v>233</v>
      </c>
      <c r="L405" t="s">
        <v>223</v>
      </c>
      <c r="M405" t="s">
        <v>225</v>
      </c>
      <c r="N405" t="str">
        <f t="shared" si="6"/>
        <v>POOL</v>
      </c>
    </row>
    <row r="406" spans="1:14" x14ac:dyDescent="0.25">
      <c r="A406" t="s">
        <v>453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200</v>
      </c>
      <c r="K406" t="s">
        <v>226</v>
      </c>
      <c r="L406" t="s">
        <v>223</v>
      </c>
      <c r="M406" t="s">
        <v>225</v>
      </c>
      <c r="N406" t="str">
        <f t="shared" si="6"/>
        <v>J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2F85-B590-43B9-A6C0-2144C22D15AB}">
  <dimension ref="A1:M406"/>
  <sheetViews>
    <sheetView workbookViewId="0">
      <selection activeCell="M2" sqref="M2"/>
    </sheetView>
  </sheetViews>
  <sheetFormatPr defaultRowHeight="15" x14ac:dyDescent="0.25"/>
  <cols>
    <col min="1" max="1" width="22.140625" bestFit="1" customWidth="1"/>
    <col min="2" max="9" width="4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198</v>
      </c>
      <c r="K3" t="s">
        <v>203</v>
      </c>
      <c r="L3" t="s">
        <v>209</v>
      </c>
      <c r="M3" t="s">
        <v>225</v>
      </c>
    </row>
    <row r="4" spans="1:13" x14ac:dyDescent="0.25">
      <c r="A4" t="s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198</v>
      </c>
      <c r="K4" t="s">
        <v>204</v>
      </c>
      <c r="L4" t="s">
        <v>209</v>
      </c>
      <c r="M4" t="s">
        <v>225</v>
      </c>
    </row>
    <row r="5" spans="1:13" x14ac:dyDescent="0.25">
      <c r="A5" t="s">
        <v>298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 t="s">
        <v>198</v>
      </c>
      <c r="K5" t="s">
        <v>239</v>
      </c>
      <c r="L5" t="s">
        <v>209</v>
      </c>
      <c r="M5" t="s">
        <v>225</v>
      </c>
    </row>
    <row r="6" spans="1:13" x14ac:dyDescent="0.25">
      <c r="A6" t="s">
        <v>299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198</v>
      </c>
      <c r="K6" t="s">
        <v>241</v>
      </c>
      <c r="L6" t="s">
        <v>209</v>
      </c>
      <c r="M6" t="s">
        <v>225</v>
      </c>
    </row>
    <row r="7" spans="1:13" x14ac:dyDescent="0.25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 t="s">
        <v>198</v>
      </c>
      <c r="K8" t="s">
        <v>207</v>
      </c>
      <c r="L8" t="s">
        <v>209</v>
      </c>
      <c r="M8" t="s">
        <v>225</v>
      </c>
    </row>
    <row r="9" spans="1:13" x14ac:dyDescent="0.25">
      <c r="A9" t="s">
        <v>300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198</v>
      </c>
      <c r="K9" t="s">
        <v>233</v>
      </c>
      <c r="L9" t="s">
        <v>209</v>
      </c>
      <c r="M9" t="s">
        <v>225</v>
      </c>
    </row>
    <row r="10" spans="1:13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198</v>
      </c>
      <c r="K10" t="s">
        <v>202</v>
      </c>
      <c r="L10" t="s">
        <v>210</v>
      </c>
      <c r="M10" t="s">
        <v>225</v>
      </c>
    </row>
    <row r="11" spans="1:13" x14ac:dyDescent="0.25">
      <c r="A11" t="s">
        <v>6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198</v>
      </c>
      <c r="K11" t="s">
        <v>203</v>
      </c>
      <c r="L11" t="s">
        <v>210</v>
      </c>
      <c r="M11" t="s">
        <v>225</v>
      </c>
    </row>
    <row r="12" spans="1:13" x14ac:dyDescent="0.25">
      <c r="A12" t="s">
        <v>7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t="s">
        <v>198</v>
      </c>
      <c r="K13" t="s">
        <v>239</v>
      </c>
      <c r="L13" t="s">
        <v>210</v>
      </c>
      <c r="M13" t="s">
        <v>225</v>
      </c>
    </row>
    <row r="14" spans="1:13" x14ac:dyDescent="0.25">
      <c r="A14" t="s">
        <v>302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 t="s">
        <v>198</v>
      </c>
      <c r="K14" t="s">
        <v>241</v>
      </c>
      <c r="L14" t="s">
        <v>210</v>
      </c>
      <c r="M14" t="s">
        <v>225</v>
      </c>
    </row>
    <row r="15" spans="1:13" x14ac:dyDescent="0.25">
      <c r="A15" t="s">
        <v>8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 t="s">
        <v>198</v>
      </c>
      <c r="K15" t="s">
        <v>206</v>
      </c>
      <c r="L15" t="s">
        <v>210</v>
      </c>
      <c r="M15" t="s">
        <v>225</v>
      </c>
    </row>
    <row r="16" spans="1:13" x14ac:dyDescent="0.25">
      <c r="A16" t="s">
        <v>262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 t="s">
        <v>198</v>
      </c>
      <c r="K16" t="s">
        <v>207</v>
      </c>
      <c r="L16" t="s">
        <v>210</v>
      </c>
      <c r="M16" t="s">
        <v>225</v>
      </c>
    </row>
    <row r="17" spans="1:13" x14ac:dyDescent="0.25">
      <c r="A17" t="s">
        <v>303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198</v>
      </c>
      <c r="K18" t="s">
        <v>202</v>
      </c>
      <c r="L18" t="s">
        <v>211</v>
      </c>
      <c r="M18" t="s">
        <v>225</v>
      </c>
    </row>
    <row r="19" spans="1:13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198</v>
      </c>
      <c r="K19" t="s">
        <v>203</v>
      </c>
      <c r="L19" t="s">
        <v>211</v>
      </c>
      <c r="M19" t="s">
        <v>225</v>
      </c>
    </row>
    <row r="20" spans="1:13" x14ac:dyDescent="0.25">
      <c r="A20" t="s">
        <v>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198</v>
      </c>
      <c r="K20" t="s">
        <v>204</v>
      </c>
      <c r="L20" t="s">
        <v>211</v>
      </c>
      <c r="M20" t="s">
        <v>225</v>
      </c>
    </row>
    <row r="21" spans="1:13" x14ac:dyDescent="0.25">
      <c r="A21" t="s">
        <v>304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t="s">
        <v>198</v>
      </c>
      <c r="K21" t="s">
        <v>239</v>
      </c>
      <c r="L21" t="s">
        <v>211</v>
      </c>
      <c r="M21" t="s">
        <v>225</v>
      </c>
    </row>
    <row r="22" spans="1:13" x14ac:dyDescent="0.25">
      <c r="A22" t="s">
        <v>305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198</v>
      </c>
      <c r="K23" t="s">
        <v>206</v>
      </c>
      <c r="L23" t="s">
        <v>211</v>
      </c>
      <c r="M23" t="s">
        <v>225</v>
      </c>
    </row>
    <row r="24" spans="1:13" x14ac:dyDescent="0.25">
      <c r="A24" t="s">
        <v>263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 t="s">
        <v>198</v>
      </c>
      <c r="K24" t="s">
        <v>207</v>
      </c>
      <c r="L24" t="s">
        <v>211</v>
      </c>
      <c r="M24" t="s">
        <v>225</v>
      </c>
    </row>
    <row r="25" spans="1:13" x14ac:dyDescent="0.25">
      <c r="A25" t="s">
        <v>306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198</v>
      </c>
      <c r="K25" t="s">
        <v>233</v>
      </c>
      <c r="L25" t="s">
        <v>211</v>
      </c>
      <c r="M25" t="s">
        <v>225</v>
      </c>
    </row>
    <row r="26" spans="1:13" x14ac:dyDescent="0.25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198</v>
      </c>
      <c r="K26" t="s">
        <v>202</v>
      </c>
      <c r="L26" t="s">
        <v>212</v>
      </c>
      <c r="M26" t="s">
        <v>225</v>
      </c>
    </row>
    <row r="27" spans="1:13" x14ac:dyDescent="0.25">
      <c r="A27" t="s">
        <v>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198</v>
      </c>
      <c r="K28" t="s">
        <v>204</v>
      </c>
      <c r="L28" t="s">
        <v>212</v>
      </c>
      <c r="M28" t="s">
        <v>225</v>
      </c>
    </row>
    <row r="29" spans="1:13" x14ac:dyDescent="0.25">
      <c r="A29" t="s">
        <v>307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198</v>
      </c>
      <c r="K29" t="s">
        <v>239</v>
      </c>
      <c r="L29" t="s">
        <v>212</v>
      </c>
      <c r="M29" t="s">
        <v>225</v>
      </c>
    </row>
    <row r="30" spans="1:13" x14ac:dyDescent="0.25">
      <c r="A30" t="s">
        <v>308</v>
      </c>
      <c r="B30">
        <v>1</v>
      </c>
      <c r="C30">
        <v>1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 t="s">
        <v>198</v>
      </c>
      <c r="K30" t="s">
        <v>241</v>
      </c>
      <c r="L30" t="s">
        <v>212</v>
      </c>
      <c r="M30" t="s">
        <v>225</v>
      </c>
    </row>
    <row r="31" spans="1:13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 t="s">
        <v>198</v>
      </c>
      <c r="K31" t="s">
        <v>206</v>
      </c>
      <c r="L31" t="s">
        <v>212</v>
      </c>
      <c r="M31" t="s">
        <v>225</v>
      </c>
    </row>
    <row r="32" spans="1:13" x14ac:dyDescent="0.25">
      <c r="A32" t="s">
        <v>264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 t="s">
        <v>198</v>
      </c>
      <c r="K33" t="s">
        <v>233</v>
      </c>
      <c r="L33" t="s">
        <v>212</v>
      </c>
      <c r="M33" t="s">
        <v>225</v>
      </c>
    </row>
    <row r="34" spans="1:13" x14ac:dyDescent="0.25">
      <c r="A34" t="s">
        <v>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198</v>
      </c>
      <c r="K34" t="s">
        <v>202</v>
      </c>
      <c r="L34" t="s">
        <v>213</v>
      </c>
      <c r="M34" t="s">
        <v>225</v>
      </c>
    </row>
    <row r="35" spans="1:13" x14ac:dyDescent="0.25">
      <c r="A35" t="s">
        <v>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198</v>
      </c>
      <c r="K35" t="s">
        <v>203</v>
      </c>
      <c r="L35" t="s">
        <v>213</v>
      </c>
      <c r="M35" t="s">
        <v>225</v>
      </c>
    </row>
    <row r="36" spans="1:13" x14ac:dyDescent="0.25">
      <c r="A36" t="s">
        <v>19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 t="s">
        <v>198</v>
      </c>
      <c r="K36" t="s">
        <v>204</v>
      </c>
      <c r="L36" t="s">
        <v>213</v>
      </c>
      <c r="M36" t="s">
        <v>225</v>
      </c>
    </row>
    <row r="37" spans="1:13" x14ac:dyDescent="0.25">
      <c r="A37" t="s">
        <v>310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 t="s">
        <v>198</v>
      </c>
      <c r="K38" t="s">
        <v>241</v>
      </c>
      <c r="L38" t="s">
        <v>213</v>
      </c>
      <c r="M38" t="s">
        <v>225</v>
      </c>
    </row>
    <row r="39" spans="1:13" x14ac:dyDescent="0.25">
      <c r="A39" t="s">
        <v>20</v>
      </c>
      <c r="B39">
        <v>1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 t="s">
        <v>198</v>
      </c>
      <c r="K39" t="s">
        <v>206</v>
      </c>
      <c r="L39" t="s">
        <v>213</v>
      </c>
      <c r="M39" t="s">
        <v>225</v>
      </c>
    </row>
    <row r="40" spans="1:13" x14ac:dyDescent="0.25">
      <c r="A40" t="s">
        <v>265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 t="s">
        <v>198</v>
      </c>
      <c r="K40" t="s">
        <v>207</v>
      </c>
      <c r="L40" t="s">
        <v>213</v>
      </c>
      <c r="M40" t="s">
        <v>225</v>
      </c>
    </row>
    <row r="41" spans="1:13" x14ac:dyDescent="0.25">
      <c r="A41" t="s">
        <v>312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198</v>
      </c>
      <c r="K41" t="s">
        <v>233</v>
      </c>
      <c r="L41" t="s">
        <v>213</v>
      </c>
      <c r="M41" t="s">
        <v>225</v>
      </c>
    </row>
    <row r="42" spans="1:13" x14ac:dyDescent="0.25">
      <c r="A42" t="s">
        <v>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198</v>
      </c>
      <c r="K43" t="s">
        <v>203</v>
      </c>
      <c r="L43" t="s">
        <v>214</v>
      </c>
      <c r="M43" t="s">
        <v>225</v>
      </c>
    </row>
    <row r="44" spans="1:13" x14ac:dyDescent="0.25">
      <c r="A44" t="s">
        <v>23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 t="s">
        <v>198</v>
      </c>
      <c r="K44" t="s">
        <v>204</v>
      </c>
      <c r="L44" t="s">
        <v>214</v>
      </c>
      <c r="M44" t="s">
        <v>225</v>
      </c>
    </row>
    <row r="45" spans="1:13" x14ac:dyDescent="0.25">
      <c r="A45" t="s">
        <v>313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 t="s">
        <v>198</v>
      </c>
      <c r="K45" t="s">
        <v>239</v>
      </c>
      <c r="L45" t="s">
        <v>214</v>
      </c>
      <c r="M45" t="s">
        <v>225</v>
      </c>
    </row>
    <row r="46" spans="1:13" x14ac:dyDescent="0.25">
      <c r="A46" t="s">
        <v>314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 t="s">
        <v>198</v>
      </c>
      <c r="K46" t="s">
        <v>241</v>
      </c>
      <c r="L46" t="s">
        <v>214</v>
      </c>
      <c r="M46" t="s">
        <v>225</v>
      </c>
    </row>
    <row r="47" spans="1:13" x14ac:dyDescent="0.25">
      <c r="A47" t="s">
        <v>24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207</v>
      </c>
      <c r="L48" t="s">
        <v>214</v>
      </c>
      <c r="M48" t="s">
        <v>225</v>
      </c>
    </row>
    <row r="49" spans="1:13" x14ac:dyDescent="0.25">
      <c r="A49" t="s">
        <v>315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198</v>
      </c>
      <c r="K49" t="s">
        <v>233</v>
      </c>
      <c r="L49" t="s">
        <v>214</v>
      </c>
      <c r="M49" t="s">
        <v>225</v>
      </c>
    </row>
    <row r="50" spans="1:13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198</v>
      </c>
      <c r="K50" t="s">
        <v>202</v>
      </c>
      <c r="L50" t="s">
        <v>215</v>
      </c>
      <c r="M50" t="s">
        <v>225</v>
      </c>
    </row>
    <row r="51" spans="1:13" x14ac:dyDescent="0.25">
      <c r="A51" t="s">
        <v>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198</v>
      </c>
      <c r="K51" t="s">
        <v>203</v>
      </c>
      <c r="L51" t="s">
        <v>215</v>
      </c>
      <c r="M51" t="s">
        <v>225</v>
      </c>
    </row>
    <row r="52" spans="1:13" x14ac:dyDescent="0.25">
      <c r="A52" t="s">
        <v>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 t="s">
        <v>198</v>
      </c>
      <c r="K53" t="s">
        <v>239</v>
      </c>
      <c r="L53" t="s">
        <v>215</v>
      </c>
      <c r="M53" t="s">
        <v>225</v>
      </c>
    </row>
    <row r="54" spans="1:13" x14ac:dyDescent="0.25">
      <c r="A54" t="s">
        <v>317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 t="s">
        <v>198</v>
      </c>
      <c r="K54" t="s">
        <v>241</v>
      </c>
      <c r="L54" t="s">
        <v>215</v>
      </c>
      <c r="M54" t="s">
        <v>225</v>
      </c>
    </row>
    <row r="55" spans="1:13" x14ac:dyDescent="0.25">
      <c r="A55" t="s">
        <v>28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 t="s">
        <v>198</v>
      </c>
      <c r="K55" t="s">
        <v>206</v>
      </c>
      <c r="L55" t="s">
        <v>215</v>
      </c>
      <c r="M55" t="s">
        <v>225</v>
      </c>
    </row>
    <row r="56" spans="1:13" x14ac:dyDescent="0.25">
      <c r="A56" t="s">
        <v>267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 t="s">
        <v>198</v>
      </c>
      <c r="K56" t="s">
        <v>207</v>
      </c>
      <c r="L56" t="s">
        <v>215</v>
      </c>
      <c r="M56" t="s">
        <v>225</v>
      </c>
    </row>
    <row r="57" spans="1:13" x14ac:dyDescent="0.25">
      <c r="A57" t="s">
        <v>318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198</v>
      </c>
      <c r="K58" t="s">
        <v>202</v>
      </c>
      <c r="L58" t="s">
        <v>216</v>
      </c>
      <c r="M58" t="s">
        <v>225</v>
      </c>
    </row>
    <row r="59" spans="1:13" x14ac:dyDescent="0.25">
      <c r="A59" t="s">
        <v>30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198</v>
      </c>
      <c r="K59" t="s">
        <v>203</v>
      </c>
      <c r="L59" t="s">
        <v>216</v>
      </c>
      <c r="M59" t="s">
        <v>225</v>
      </c>
    </row>
    <row r="60" spans="1:13" x14ac:dyDescent="0.25">
      <c r="A60" t="s">
        <v>31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 t="s">
        <v>198</v>
      </c>
      <c r="K60" t="s">
        <v>204</v>
      </c>
      <c r="L60" t="s">
        <v>216</v>
      </c>
      <c r="M60" t="s">
        <v>225</v>
      </c>
    </row>
    <row r="61" spans="1:13" x14ac:dyDescent="0.25">
      <c r="A61" t="s">
        <v>319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 t="s">
        <v>198</v>
      </c>
      <c r="K61" t="s">
        <v>239</v>
      </c>
      <c r="L61" t="s">
        <v>216</v>
      </c>
      <c r="M61" t="s">
        <v>225</v>
      </c>
    </row>
    <row r="62" spans="1:13" x14ac:dyDescent="0.25">
      <c r="A62" t="s">
        <v>320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1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  <c r="J63" t="s">
        <v>198</v>
      </c>
      <c r="K63" t="s">
        <v>206</v>
      </c>
      <c r="L63" t="s">
        <v>216</v>
      </c>
      <c r="M63" t="s">
        <v>225</v>
      </c>
    </row>
    <row r="64" spans="1:13" x14ac:dyDescent="0.25">
      <c r="A64" t="s">
        <v>268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t="s">
        <v>198</v>
      </c>
      <c r="K64" t="s">
        <v>207</v>
      </c>
      <c r="L64" t="s">
        <v>216</v>
      </c>
      <c r="M64" t="s">
        <v>225</v>
      </c>
    </row>
    <row r="65" spans="1:13" x14ac:dyDescent="0.25">
      <c r="A65" t="s">
        <v>321</v>
      </c>
      <c r="B65">
        <v>0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 t="s">
        <v>198</v>
      </c>
      <c r="K65" t="s">
        <v>233</v>
      </c>
      <c r="L65" t="s">
        <v>216</v>
      </c>
      <c r="M65" t="s">
        <v>225</v>
      </c>
    </row>
    <row r="66" spans="1:13" x14ac:dyDescent="0.25">
      <c r="A66" t="s">
        <v>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198</v>
      </c>
      <c r="K66" t="s">
        <v>202</v>
      </c>
      <c r="L66" t="s">
        <v>217</v>
      </c>
      <c r="M66" t="s">
        <v>225</v>
      </c>
    </row>
    <row r="67" spans="1:13" x14ac:dyDescent="0.25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0</v>
      </c>
      <c r="C68">
        <v>1</v>
      </c>
      <c r="D68">
        <v>1</v>
      </c>
      <c r="E68">
        <v>0</v>
      </c>
      <c r="F68">
        <v>1</v>
      </c>
      <c r="G68">
        <v>1</v>
      </c>
      <c r="H68">
        <v>0</v>
      </c>
      <c r="I68">
        <v>0</v>
      </c>
      <c r="J68" t="s">
        <v>198</v>
      </c>
      <c r="K68" t="s">
        <v>204</v>
      </c>
      <c r="L68" t="s">
        <v>217</v>
      </c>
      <c r="M68" t="s">
        <v>225</v>
      </c>
    </row>
    <row r="69" spans="1:13" x14ac:dyDescent="0.25">
      <c r="A69" t="s">
        <v>322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 t="s">
        <v>198</v>
      </c>
      <c r="K69" t="s">
        <v>239</v>
      </c>
      <c r="L69" t="s">
        <v>217</v>
      </c>
      <c r="M69" t="s">
        <v>225</v>
      </c>
    </row>
    <row r="70" spans="1:13" x14ac:dyDescent="0.25">
      <c r="A70" t="s">
        <v>323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 t="s">
        <v>198</v>
      </c>
      <c r="K70" t="s">
        <v>241</v>
      </c>
      <c r="L70" t="s">
        <v>217</v>
      </c>
      <c r="M70" t="s">
        <v>225</v>
      </c>
    </row>
    <row r="71" spans="1:13" x14ac:dyDescent="0.25">
      <c r="A71" t="s">
        <v>36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 t="s">
        <v>198</v>
      </c>
      <c r="K71" t="s">
        <v>206</v>
      </c>
      <c r="L71" t="s">
        <v>217</v>
      </c>
      <c r="M71" t="s">
        <v>225</v>
      </c>
    </row>
    <row r="72" spans="1:13" x14ac:dyDescent="0.25">
      <c r="A72" t="s">
        <v>269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1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 t="s">
        <v>198</v>
      </c>
      <c r="K73" t="s">
        <v>233</v>
      </c>
      <c r="L73" t="s">
        <v>217</v>
      </c>
      <c r="M73" t="s">
        <v>225</v>
      </c>
    </row>
    <row r="74" spans="1:13" x14ac:dyDescent="0.25">
      <c r="A74" t="s">
        <v>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198</v>
      </c>
      <c r="K74" t="s">
        <v>202</v>
      </c>
      <c r="L74" t="s">
        <v>218</v>
      </c>
      <c r="M74" t="s">
        <v>225</v>
      </c>
    </row>
    <row r="75" spans="1:13" x14ac:dyDescent="0.25">
      <c r="A75" t="s">
        <v>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198</v>
      </c>
      <c r="K75" t="s">
        <v>203</v>
      </c>
      <c r="L75" t="s">
        <v>218</v>
      </c>
      <c r="M75" t="s">
        <v>225</v>
      </c>
    </row>
    <row r="76" spans="1:13" x14ac:dyDescent="0.25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 t="s">
        <v>198</v>
      </c>
      <c r="K76" t="s">
        <v>204</v>
      </c>
      <c r="L76" t="s">
        <v>218</v>
      </c>
      <c r="M76" t="s">
        <v>225</v>
      </c>
    </row>
    <row r="77" spans="1:13" x14ac:dyDescent="0.25">
      <c r="A77" t="s">
        <v>325</v>
      </c>
      <c r="B77">
        <v>0</v>
      </c>
      <c r="C77">
        <v>0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198</v>
      </c>
      <c r="K78" t="s">
        <v>241</v>
      </c>
      <c r="L78" t="s">
        <v>218</v>
      </c>
      <c r="M78" t="s">
        <v>225</v>
      </c>
    </row>
    <row r="79" spans="1:13" x14ac:dyDescent="0.25">
      <c r="A79" t="s">
        <v>40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0</v>
      </c>
      <c r="I79">
        <v>1</v>
      </c>
      <c r="J79" t="s">
        <v>198</v>
      </c>
      <c r="K79" t="s">
        <v>206</v>
      </c>
      <c r="L79" t="s">
        <v>218</v>
      </c>
      <c r="M79" t="s">
        <v>225</v>
      </c>
    </row>
    <row r="80" spans="1:13" x14ac:dyDescent="0.25">
      <c r="A80" t="s">
        <v>270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 t="s">
        <v>198</v>
      </c>
      <c r="K80" t="s">
        <v>207</v>
      </c>
      <c r="L80" t="s">
        <v>218</v>
      </c>
      <c r="M80" t="s">
        <v>225</v>
      </c>
    </row>
    <row r="81" spans="1:13" x14ac:dyDescent="0.25">
      <c r="A81" t="s">
        <v>327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198</v>
      </c>
      <c r="K81" t="s">
        <v>233</v>
      </c>
      <c r="L81" t="s">
        <v>218</v>
      </c>
      <c r="M81" t="s">
        <v>225</v>
      </c>
    </row>
    <row r="82" spans="1:13" x14ac:dyDescent="0.25">
      <c r="A82" t="s">
        <v>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198</v>
      </c>
      <c r="K83" t="s">
        <v>203</v>
      </c>
      <c r="L83" t="s">
        <v>219</v>
      </c>
      <c r="M83" t="s">
        <v>225</v>
      </c>
    </row>
    <row r="84" spans="1:13" x14ac:dyDescent="0.25">
      <c r="A84" t="s">
        <v>43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198</v>
      </c>
      <c r="K84" t="s">
        <v>204</v>
      </c>
      <c r="L84" t="s">
        <v>219</v>
      </c>
      <c r="M84" t="s">
        <v>225</v>
      </c>
    </row>
    <row r="85" spans="1:13" x14ac:dyDescent="0.25">
      <c r="A85" t="s">
        <v>328</v>
      </c>
      <c r="B85">
        <v>0</v>
      </c>
      <c r="C85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 t="s">
        <v>198</v>
      </c>
      <c r="K85" t="s">
        <v>239</v>
      </c>
      <c r="L85" t="s">
        <v>219</v>
      </c>
      <c r="M85" t="s">
        <v>225</v>
      </c>
    </row>
    <row r="86" spans="1:13" x14ac:dyDescent="0.25">
      <c r="A86" t="s">
        <v>329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198</v>
      </c>
      <c r="K86" t="s">
        <v>241</v>
      </c>
      <c r="L86" t="s">
        <v>219</v>
      </c>
      <c r="M86" t="s">
        <v>225</v>
      </c>
    </row>
    <row r="87" spans="1:13" x14ac:dyDescent="0.25">
      <c r="A87" t="s">
        <v>44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0</v>
      </c>
      <c r="C88">
        <v>1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 t="s">
        <v>198</v>
      </c>
      <c r="K88" t="s">
        <v>207</v>
      </c>
      <c r="L88" t="s">
        <v>219</v>
      </c>
      <c r="M88" t="s">
        <v>225</v>
      </c>
    </row>
    <row r="89" spans="1:13" x14ac:dyDescent="0.25">
      <c r="A89" t="s">
        <v>330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198</v>
      </c>
      <c r="K89" t="s">
        <v>233</v>
      </c>
      <c r="L89" t="s">
        <v>219</v>
      </c>
      <c r="M89" t="s">
        <v>225</v>
      </c>
    </row>
    <row r="90" spans="1:13" x14ac:dyDescent="0.25">
      <c r="A90" t="s">
        <v>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198</v>
      </c>
      <c r="K90" t="s">
        <v>202</v>
      </c>
      <c r="L90" t="s">
        <v>220</v>
      </c>
      <c r="M90" t="s">
        <v>225</v>
      </c>
    </row>
    <row r="91" spans="1:13" x14ac:dyDescent="0.25">
      <c r="A91" t="s">
        <v>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198</v>
      </c>
      <c r="K91" t="s">
        <v>203</v>
      </c>
      <c r="L91" t="s">
        <v>220</v>
      </c>
      <c r="M91" t="s">
        <v>225</v>
      </c>
    </row>
    <row r="92" spans="1:13" x14ac:dyDescent="0.25">
      <c r="A92" t="s">
        <v>47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1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 t="s">
        <v>198</v>
      </c>
      <c r="K93" t="s">
        <v>239</v>
      </c>
      <c r="L93" t="s">
        <v>220</v>
      </c>
      <c r="M93" t="s">
        <v>225</v>
      </c>
    </row>
    <row r="94" spans="1:13" x14ac:dyDescent="0.25">
      <c r="A94" t="s">
        <v>332</v>
      </c>
      <c r="B94">
        <v>1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 t="s">
        <v>198</v>
      </c>
      <c r="K94" t="s">
        <v>241</v>
      </c>
      <c r="L94" t="s">
        <v>220</v>
      </c>
      <c r="M94" t="s">
        <v>225</v>
      </c>
    </row>
    <row r="95" spans="1:13" x14ac:dyDescent="0.25">
      <c r="A95" t="s">
        <v>48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 t="s">
        <v>198</v>
      </c>
      <c r="K95" t="s">
        <v>206</v>
      </c>
      <c r="L95" t="s">
        <v>220</v>
      </c>
      <c r="M95" t="s">
        <v>225</v>
      </c>
    </row>
    <row r="96" spans="1:13" x14ac:dyDescent="0.25">
      <c r="A96" t="s">
        <v>272</v>
      </c>
      <c r="B96">
        <v>1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 t="s">
        <v>198</v>
      </c>
      <c r="K96" t="s">
        <v>207</v>
      </c>
      <c r="L96" t="s">
        <v>220</v>
      </c>
      <c r="M96" t="s">
        <v>225</v>
      </c>
    </row>
    <row r="97" spans="1:13" x14ac:dyDescent="0.25">
      <c r="A97" t="s">
        <v>333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198</v>
      </c>
      <c r="K98" t="s">
        <v>202</v>
      </c>
      <c r="L98" t="s">
        <v>221</v>
      </c>
      <c r="M98" t="s">
        <v>225</v>
      </c>
    </row>
    <row r="99" spans="1:13" x14ac:dyDescent="0.25">
      <c r="A99" t="s">
        <v>50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 t="s">
        <v>198</v>
      </c>
      <c r="K99" t="s">
        <v>203</v>
      </c>
      <c r="L99" t="s">
        <v>221</v>
      </c>
      <c r="M99" t="s">
        <v>225</v>
      </c>
    </row>
    <row r="100" spans="1:13" x14ac:dyDescent="0.25">
      <c r="A100" t="s">
        <v>51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198</v>
      </c>
      <c r="K100" t="s">
        <v>204</v>
      </c>
      <c r="L100" t="s">
        <v>221</v>
      </c>
      <c r="M100" t="s">
        <v>225</v>
      </c>
    </row>
    <row r="101" spans="1:13" x14ac:dyDescent="0.25">
      <c r="A101" t="s">
        <v>334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 t="s">
        <v>198</v>
      </c>
      <c r="K101" t="s">
        <v>239</v>
      </c>
      <c r="L101" t="s">
        <v>221</v>
      </c>
      <c r="M101" t="s">
        <v>225</v>
      </c>
    </row>
    <row r="102" spans="1:13" x14ac:dyDescent="0.25">
      <c r="A102" t="s">
        <v>335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 t="s">
        <v>198</v>
      </c>
      <c r="K103" t="s">
        <v>206</v>
      </c>
      <c r="L103" t="s">
        <v>221</v>
      </c>
      <c r="M103" t="s">
        <v>225</v>
      </c>
    </row>
    <row r="104" spans="1:13" x14ac:dyDescent="0.25">
      <c r="A104" t="s">
        <v>273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 t="s">
        <v>198</v>
      </c>
      <c r="K104" t="s">
        <v>207</v>
      </c>
      <c r="L104" t="s">
        <v>221</v>
      </c>
      <c r="M104" t="s">
        <v>225</v>
      </c>
    </row>
    <row r="105" spans="1:13" x14ac:dyDescent="0.25">
      <c r="A105" t="s">
        <v>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 t="s">
        <v>198</v>
      </c>
      <c r="K105" t="s">
        <v>233</v>
      </c>
      <c r="L105" t="s">
        <v>221</v>
      </c>
      <c r="M105" t="s">
        <v>225</v>
      </c>
    </row>
    <row r="106" spans="1:13" x14ac:dyDescent="0.25">
      <c r="A106" t="s">
        <v>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198</v>
      </c>
      <c r="K106" t="s">
        <v>202</v>
      </c>
      <c r="L106" t="s">
        <v>222</v>
      </c>
      <c r="M106" t="s">
        <v>225</v>
      </c>
    </row>
    <row r="107" spans="1:13" x14ac:dyDescent="0.25">
      <c r="A107" t="s">
        <v>54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198</v>
      </c>
      <c r="K108" t="s">
        <v>204</v>
      </c>
      <c r="L108" t="s">
        <v>222</v>
      </c>
      <c r="M108" t="s">
        <v>225</v>
      </c>
    </row>
    <row r="109" spans="1:13" x14ac:dyDescent="0.25">
      <c r="A109" t="s">
        <v>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 t="s">
        <v>198</v>
      </c>
      <c r="K109" t="s">
        <v>239</v>
      </c>
      <c r="L109" t="s">
        <v>222</v>
      </c>
      <c r="M109" t="s">
        <v>225</v>
      </c>
    </row>
    <row r="110" spans="1:13" x14ac:dyDescent="0.25">
      <c r="A110" t="s">
        <v>338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 t="s">
        <v>198</v>
      </c>
      <c r="K110" t="s">
        <v>241</v>
      </c>
      <c r="L110" t="s">
        <v>222</v>
      </c>
      <c r="M110" t="s">
        <v>225</v>
      </c>
    </row>
    <row r="111" spans="1:13" x14ac:dyDescent="0.25">
      <c r="A111" t="s">
        <v>56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 t="s">
        <v>198</v>
      </c>
      <c r="K111" t="s">
        <v>206</v>
      </c>
      <c r="L111" t="s">
        <v>222</v>
      </c>
      <c r="M111" t="s">
        <v>225</v>
      </c>
    </row>
    <row r="112" spans="1:13" x14ac:dyDescent="0.25">
      <c r="A112" t="s">
        <v>274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 t="s">
        <v>198</v>
      </c>
      <c r="K113" t="s">
        <v>233</v>
      </c>
      <c r="L113" t="s">
        <v>222</v>
      </c>
      <c r="M113" t="s">
        <v>225</v>
      </c>
    </row>
    <row r="114" spans="1:13" x14ac:dyDescent="0.25">
      <c r="A114" t="s">
        <v>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198</v>
      </c>
      <c r="K114" t="s">
        <v>202</v>
      </c>
      <c r="L114" t="s">
        <v>223</v>
      </c>
      <c r="M114" t="s">
        <v>225</v>
      </c>
    </row>
    <row r="115" spans="1:13" x14ac:dyDescent="0.25">
      <c r="A115" t="s">
        <v>58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198</v>
      </c>
      <c r="K115" t="s">
        <v>203</v>
      </c>
      <c r="L115" t="s">
        <v>223</v>
      </c>
      <c r="M115" t="s">
        <v>225</v>
      </c>
    </row>
    <row r="116" spans="1:13" x14ac:dyDescent="0.25">
      <c r="A116" t="s">
        <v>59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198</v>
      </c>
      <c r="K116" t="s">
        <v>204</v>
      </c>
      <c r="L116" t="s">
        <v>223</v>
      </c>
      <c r="M116" t="s">
        <v>225</v>
      </c>
    </row>
    <row r="117" spans="1:13" x14ac:dyDescent="0.25">
      <c r="A117" t="s">
        <v>340</v>
      </c>
      <c r="B117">
        <v>0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 t="s">
        <v>198</v>
      </c>
      <c r="K118" t="s">
        <v>241</v>
      </c>
      <c r="L118" t="s">
        <v>223</v>
      </c>
      <c r="M118" t="s">
        <v>225</v>
      </c>
    </row>
    <row r="119" spans="1:13" x14ac:dyDescent="0.25">
      <c r="A119" t="s">
        <v>60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1</v>
      </c>
      <c r="J119" t="s">
        <v>198</v>
      </c>
      <c r="K119" t="s">
        <v>206</v>
      </c>
      <c r="L119" t="s">
        <v>223</v>
      </c>
      <c r="M119" t="s">
        <v>225</v>
      </c>
    </row>
    <row r="120" spans="1:13" x14ac:dyDescent="0.25">
      <c r="A120" t="s">
        <v>275</v>
      </c>
      <c r="B120">
        <v>1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1</v>
      </c>
      <c r="J120" t="s">
        <v>198</v>
      </c>
      <c r="K120" t="s">
        <v>207</v>
      </c>
      <c r="L120" t="s">
        <v>223</v>
      </c>
      <c r="M120" t="s">
        <v>225</v>
      </c>
    </row>
    <row r="121" spans="1:13" x14ac:dyDescent="0.25">
      <c r="A121" t="s">
        <v>342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 t="s">
        <v>198</v>
      </c>
      <c r="K121" t="s">
        <v>233</v>
      </c>
      <c r="L121" t="s">
        <v>223</v>
      </c>
      <c r="M121" t="s">
        <v>225</v>
      </c>
    </row>
    <row r="122" spans="1:13" x14ac:dyDescent="0.25">
      <c r="A122" t="s">
        <v>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199</v>
      </c>
      <c r="K123" t="s">
        <v>203</v>
      </c>
      <c r="L123" t="s">
        <v>209</v>
      </c>
      <c r="M123" t="s">
        <v>225</v>
      </c>
    </row>
    <row r="124" spans="1:13" x14ac:dyDescent="0.25">
      <c r="A124" t="s">
        <v>63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199</v>
      </c>
      <c r="K124" t="s">
        <v>204</v>
      </c>
      <c r="L124" t="s">
        <v>209</v>
      </c>
      <c r="M124" t="s">
        <v>225</v>
      </c>
    </row>
    <row r="125" spans="1:13" x14ac:dyDescent="0.25">
      <c r="A125" t="s">
        <v>343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 t="s">
        <v>199</v>
      </c>
      <c r="K125" t="s">
        <v>239</v>
      </c>
      <c r="L125" t="s">
        <v>209</v>
      </c>
      <c r="M125" t="s">
        <v>225</v>
      </c>
    </row>
    <row r="126" spans="1:13" x14ac:dyDescent="0.25">
      <c r="A126" t="s">
        <v>344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 t="s">
        <v>199</v>
      </c>
      <c r="K126" t="s">
        <v>241</v>
      </c>
      <c r="L126" t="s">
        <v>209</v>
      </c>
      <c r="M126" t="s">
        <v>225</v>
      </c>
    </row>
    <row r="127" spans="1:13" x14ac:dyDescent="0.25">
      <c r="A127" t="s">
        <v>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1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 t="s">
        <v>199</v>
      </c>
      <c r="K128" t="s">
        <v>207</v>
      </c>
      <c r="L128" t="s">
        <v>209</v>
      </c>
      <c r="M128" t="s">
        <v>225</v>
      </c>
    </row>
    <row r="129" spans="1:13" x14ac:dyDescent="0.25">
      <c r="A129" t="s">
        <v>345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 t="s">
        <v>199</v>
      </c>
      <c r="K129" t="s">
        <v>233</v>
      </c>
      <c r="L129" t="s">
        <v>209</v>
      </c>
      <c r="M129" t="s">
        <v>225</v>
      </c>
    </row>
    <row r="130" spans="1:13" x14ac:dyDescent="0.25">
      <c r="A130" t="s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199</v>
      </c>
      <c r="K130" t="s">
        <v>202</v>
      </c>
      <c r="L130" t="s">
        <v>210</v>
      </c>
      <c r="M130" t="s">
        <v>225</v>
      </c>
    </row>
    <row r="131" spans="1:13" x14ac:dyDescent="0.25">
      <c r="A131" t="s">
        <v>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199</v>
      </c>
      <c r="K131" t="s">
        <v>203</v>
      </c>
      <c r="L131" t="s">
        <v>210</v>
      </c>
      <c r="M131" t="s">
        <v>225</v>
      </c>
    </row>
    <row r="132" spans="1:13" x14ac:dyDescent="0.25">
      <c r="A132" t="s">
        <v>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199</v>
      </c>
      <c r="K133" t="s">
        <v>239</v>
      </c>
      <c r="L133" t="s">
        <v>210</v>
      </c>
      <c r="M133" t="s">
        <v>225</v>
      </c>
    </row>
    <row r="134" spans="1:13" x14ac:dyDescent="0.25">
      <c r="A134" t="s">
        <v>347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 t="s">
        <v>199</v>
      </c>
      <c r="K134" t="s">
        <v>241</v>
      </c>
      <c r="L134" t="s">
        <v>210</v>
      </c>
      <c r="M134" t="s">
        <v>225</v>
      </c>
    </row>
    <row r="135" spans="1:13" x14ac:dyDescent="0.25">
      <c r="A135" t="s">
        <v>68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199</v>
      </c>
      <c r="K135" t="s">
        <v>206</v>
      </c>
      <c r="L135" t="s">
        <v>210</v>
      </c>
      <c r="M135" t="s">
        <v>225</v>
      </c>
    </row>
    <row r="136" spans="1:13" x14ac:dyDescent="0.25">
      <c r="A136" t="s">
        <v>277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1</v>
      </c>
      <c r="H136">
        <v>1</v>
      </c>
      <c r="I136">
        <v>0</v>
      </c>
      <c r="J136" t="s">
        <v>199</v>
      </c>
      <c r="K136" t="s">
        <v>207</v>
      </c>
      <c r="L136" t="s">
        <v>210</v>
      </c>
      <c r="M136" t="s">
        <v>225</v>
      </c>
    </row>
    <row r="137" spans="1:13" x14ac:dyDescent="0.25">
      <c r="A137" t="s">
        <v>348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199</v>
      </c>
      <c r="K138" t="s">
        <v>202</v>
      </c>
      <c r="L138" t="s">
        <v>211</v>
      </c>
      <c r="M138" t="s">
        <v>225</v>
      </c>
    </row>
    <row r="139" spans="1:13" x14ac:dyDescent="0.25">
      <c r="A139" t="s">
        <v>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199</v>
      </c>
      <c r="K139" t="s">
        <v>203</v>
      </c>
      <c r="L139" t="s">
        <v>211</v>
      </c>
      <c r="M139" t="s">
        <v>225</v>
      </c>
    </row>
    <row r="140" spans="1:13" x14ac:dyDescent="0.25">
      <c r="A140" t="s">
        <v>71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 t="s">
        <v>199</v>
      </c>
      <c r="K140" t="s">
        <v>204</v>
      </c>
      <c r="L140" t="s">
        <v>211</v>
      </c>
      <c r="M140" t="s">
        <v>225</v>
      </c>
    </row>
    <row r="141" spans="1:13" x14ac:dyDescent="0.25">
      <c r="A141" t="s">
        <v>349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0</v>
      </c>
      <c r="J141" t="s">
        <v>199</v>
      </c>
      <c r="K141" t="s">
        <v>239</v>
      </c>
      <c r="L141" t="s">
        <v>211</v>
      </c>
      <c r="M141" t="s">
        <v>225</v>
      </c>
    </row>
    <row r="142" spans="1:13" x14ac:dyDescent="0.25">
      <c r="A142" t="s">
        <v>350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1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199</v>
      </c>
      <c r="K143" t="s">
        <v>206</v>
      </c>
      <c r="L143" t="s">
        <v>211</v>
      </c>
      <c r="M143" t="s">
        <v>225</v>
      </c>
    </row>
    <row r="144" spans="1:13" x14ac:dyDescent="0.25">
      <c r="A144" t="s">
        <v>278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199</v>
      </c>
      <c r="K144" t="s">
        <v>207</v>
      </c>
      <c r="L144" t="s">
        <v>211</v>
      </c>
      <c r="M144" t="s">
        <v>225</v>
      </c>
    </row>
    <row r="145" spans="1:13" x14ac:dyDescent="0.25">
      <c r="A145" t="s">
        <v>351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 t="s">
        <v>199</v>
      </c>
      <c r="K145" t="s">
        <v>233</v>
      </c>
      <c r="L145" t="s">
        <v>211</v>
      </c>
      <c r="M145" t="s">
        <v>225</v>
      </c>
    </row>
    <row r="146" spans="1:13" x14ac:dyDescent="0.25">
      <c r="A146" t="s">
        <v>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199</v>
      </c>
      <c r="K146" t="s">
        <v>202</v>
      </c>
      <c r="L146" t="s">
        <v>212</v>
      </c>
      <c r="M146" t="s">
        <v>225</v>
      </c>
    </row>
    <row r="147" spans="1:13" x14ac:dyDescent="0.25">
      <c r="A147" t="s">
        <v>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199</v>
      </c>
      <c r="K148" t="s">
        <v>204</v>
      </c>
      <c r="L148" t="s">
        <v>212</v>
      </c>
      <c r="M148" t="s">
        <v>225</v>
      </c>
    </row>
    <row r="149" spans="1:13" x14ac:dyDescent="0.25">
      <c r="A149" t="s">
        <v>352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199</v>
      </c>
      <c r="K149" t="s">
        <v>239</v>
      </c>
      <c r="L149" t="s">
        <v>212</v>
      </c>
      <c r="M149" t="s">
        <v>225</v>
      </c>
    </row>
    <row r="150" spans="1:13" x14ac:dyDescent="0.25">
      <c r="A150" t="s">
        <v>353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 t="s">
        <v>199</v>
      </c>
      <c r="K150" t="s">
        <v>241</v>
      </c>
      <c r="L150" t="s">
        <v>212</v>
      </c>
      <c r="M150" t="s">
        <v>225</v>
      </c>
    </row>
    <row r="151" spans="1:13" x14ac:dyDescent="0.25">
      <c r="A151" t="s">
        <v>76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1</v>
      </c>
      <c r="I151">
        <v>0</v>
      </c>
      <c r="J151" t="s">
        <v>199</v>
      </c>
      <c r="K151" t="s">
        <v>206</v>
      </c>
      <c r="L151" t="s">
        <v>212</v>
      </c>
      <c r="M151" t="s">
        <v>225</v>
      </c>
    </row>
    <row r="152" spans="1:13" x14ac:dyDescent="0.25">
      <c r="A152" t="s">
        <v>279</v>
      </c>
      <c r="B152">
        <v>1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199</v>
      </c>
      <c r="K153" t="s">
        <v>233</v>
      </c>
      <c r="L153" t="s">
        <v>212</v>
      </c>
      <c r="M153" t="s">
        <v>225</v>
      </c>
    </row>
    <row r="154" spans="1:13" x14ac:dyDescent="0.25">
      <c r="A154" t="s">
        <v>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199</v>
      </c>
      <c r="K154" t="s">
        <v>202</v>
      </c>
      <c r="L154" t="s">
        <v>213</v>
      </c>
      <c r="M154" t="s">
        <v>225</v>
      </c>
    </row>
    <row r="155" spans="1:13" x14ac:dyDescent="0.25">
      <c r="A155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199</v>
      </c>
      <c r="K155" t="s">
        <v>203</v>
      </c>
      <c r="L155" t="s">
        <v>213</v>
      </c>
      <c r="M155" t="s">
        <v>225</v>
      </c>
    </row>
    <row r="156" spans="1:13" x14ac:dyDescent="0.25">
      <c r="A156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199</v>
      </c>
      <c r="K156" t="s">
        <v>204</v>
      </c>
      <c r="L156" t="s">
        <v>213</v>
      </c>
      <c r="M156" t="s">
        <v>225</v>
      </c>
    </row>
    <row r="157" spans="1:13" x14ac:dyDescent="0.25">
      <c r="A157" t="s">
        <v>355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199</v>
      </c>
      <c r="K158" t="s">
        <v>241</v>
      </c>
      <c r="L158" t="s">
        <v>213</v>
      </c>
      <c r="M158" t="s">
        <v>225</v>
      </c>
    </row>
    <row r="159" spans="1:13" x14ac:dyDescent="0.25">
      <c r="A159" t="s">
        <v>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 t="s">
        <v>199</v>
      </c>
      <c r="K159" t="s">
        <v>206</v>
      </c>
      <c r="L159" t="s">
        <v>213</v>
      </c>
      <c r="M159" t="s">
        <v>225</v>
      </c>
    </row>
    <row r="160" spans="1:13" x14ac:dyDescent="0.25">
      <c r="A160" t="s">
        <v>280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 t="s">
        <v>199</v>
      </c>
      <c r="K160" t="s">
        <v>207</v>
      </c>
      <c r="L160" t="s">
        <v>213</v>
      </c>
      <c r="M160" t="s">
        <v>225</v>
      </c>
    </row>
    <row r="161" spans="1:13" x14ac:dyDescent="0.25">
      <c r="A161" t="s">
        <v>357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199</v>
      </c>
      <c r="K161" t="s">
        <v>233</v>
      </c>
      <c r="L161" t="s">
        <v>213</v>
      </c>
      <c r="M161" t="s">
        <v>225</v>
      </c>
    </row>
    <row r="162" spans="1:13" x14ac:dyDescent="0.25">
      <c r="A162" t="s">
        <v>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 t="s">
        <v>199</v>
      </c>
      <c r="K163" t="s">
        <v>203</v>
      </c>
      <c r="L163" t="s">
        <v>214</v>
      </c>
      <c r="M163" t="s">
        <v>225</v>
      </c>
    </row>
    <row r="164" spans="1:13" x14ac:dyDescent="0.25">
      <c r="A164" t="s">
        <v>83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 t="s">
        <v>199</v>
      </c>
      <c r="K164" t="s">
        <v>204</v>
      </c>
      <c r="L164" t="s">
        <v>214</v>
      </c>
      <c r="M164" t="s">
        <v>225</v>
      </c>
    </row>
    <row r="165" spans="1:13" x14ac:dyDescent="0.25">
      <c r="A165" t="s">
        <v>358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</v>
      </c>
      <c r="J165" t="s">
        <v>199</v>
      </c>
      <c r="K165" t="s">
        <v>239</v>
      </c>
      <c r="L165" t="s">
        <v>214</v>
      </c>
      <c r="M165" t="s">
        <v>225</v>
      </c>
    </row>
    <row r="166" spans="1:13" x14ac:dyDescent="0.25">
      <c r="A166" t="s">
        <v>359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 t="s">
        <v>199</v>
      </c>
      <c r="K166" t="s">
        <v>241</v>
      </c>
      <c r="L166" t="s">
        <v>214</v>
      </c>
      <c r="M166" t="s">
        <v>225</v>
      </c>
    </row>
    <row r="167" spans="1:13" x14ac:dyDescent="0.25">
      <c r="A167" t="s">
        <v>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 t="s">
        <v>199</v>
      </c>
      <c r="K168" t="s">
        <v>207</v>
      </c>
      <c r="L168" t="s">
        <v>214</v>
      </c>
      <c r="M168" t="s">
        <v>225</v>
      </c>
    </row>
    <row r="169" spans="1:13" x14ac:dyDescent="0.25">
      <c r="A169" t="s">
        <v>360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1</v>
      </c>
      <c r="J169" t="s">
        <v>199</v>
      </c>
      <c r="K169" t="s">
        <v>233</v>
      </c>
      <c r="L169" t="s">
        <v>214</v>
      </c>
      <c r="M169" t="s">
        <v>225</v>
      </c>
    </row>
    <row r="170" spans="1:13" x14ac:dyDescent="0.25">
      <c r="A170" t="s">
        <v>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199</v>
      </c>
      <c r="K170" t="s">
        <v>202</v>
      </c>
      <c r="L170" t="s">
        <v>215</v>
      </c>
      <c r="M170" t="s">
        <v>225</v>
      </c>
    </row>
    <row r="171" spans="1:13" x14ac:dyDescent="0.25">
      <c r="A171" t="s">
        <v>86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 t="s">
        <v>199</v>
      </c>
      <c r="K171" t="s">
        <v>203</v>
      </c>
      <c r="L171" t="s">
        <v>215</v>
      </c>
      <c r="M171" t="s">
        <v>225</v>
      </c>
    </row>
    <row r="172" spans="1:13" x14ac:dyDescent="0.25">
      <c r="A172" t="s">
        <v>87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0</v>
      </c>
      <c r="J173" t="s">
        <v>199</v>
      </c>
      <c r="K173" t="s">
        <v>239</v>
      </c>
      <c r="L173" t="s">
        <v>215</v>
      </c>
      <c r="M173" t="s">
        <v>225</v>
      </c>
    </row>
    <row r="174" spans="1:13" x14ac:dyDescent="0.25">
      <c r="A174" t="s">
        <v>362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 t="s">
        <v>199</v>
      </c>
      <c r="K174" t="s">
        <v>241</v>
      </c>
      <c r="L174" t="s">
        <v>215</v>
      </c>
      <c r="M174" t="s">
        <v>225</v>
      </c>
    </row>
    <row r="175" spans="1:13" x14ac:dyDescent="0.25">
      <c r="A175" t="s">
        <v>88</v>
      </c>
      <c r="B175">
        <v>1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199</v>
      </c>
      <c r="K175" t="s">
        <v>206</v>
      </c>
      <c r="L175" t="s">
        <v>215</v>
      </c>
      <c r="M175" t="s">
        <v>225</v>
      </c>
    </row>
    <row r="176" spans="1:13" x14ac:dyDescent="0.25">
      <c r="A176" t="s">
        <v>282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 t="s">
        <v>199</v>
      </c>
      <c r="K176" t="s">
        <v>207</v>
      </c>
      <c r="L176" t="s">
        <v>215</v>
      </c>
      <c r="M176" t="s">
        <v>225</v>
      </c>
    </row>
    <row r="177" spans="1:13" x14ac:dyDescent="0.25">
      <c r="A177" t="s">
        <v>363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199</v>
      </c>
      <c r="K178" t="s">
        <v>202</v>
      </c>
      <c r="L178" t="s">
        <v>216</v>
      </c>
      <c r="M178" t="s">
        <v>225</v>
      </c>
    </row>
    <row r="179" spans="1:13" x14ac:dyDescent="0.25">
      <c r="A179" t="s">
        <v>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 t="s">
        <v>199</v>
      </c>
      <c r="K179" t="s">
        <v>203</v>
      </c>
      <c r="L179" t="s">
        <v>216</v>
      </c>
      <c r="M179" t="s">
        <v>225</v>
      </c>
    </row>
    <row r="180" spans="1:13" x14ac:dyDescent="0.25">
      <c r="A180" t="s">
        <v>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199</v>
      </c>
      <c r="K180" t="s">
        <v>204</v>
      </c>
      <c r="L180" t="s">
        <v>216</v>
      </c>
      <c r="M180" t="s">
        <v>225</v>
      </c>
    </row>
    <row r="181" spans="1:13" x14ac:dyDescent="0.25">
      <c r="A181" t="s">
        <v>364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0</v>
      </c>
      <c r="J181" t="s">
        <v>199</v>
      </c>
      <c r="K181" t="s">
        <v>239</v>
      </c>
      <c r="L181" t="s">
        <v>216</v>
      </c>
      <c r="M181" t="s">
        <v>225</v>
      </c>
    </row>
    <row r="182" spans="1:13" x14ac:dyDescent="0.25">
      <c r="A182" t="s">
        <v>365</v>
      </c>
      <c r="B182">
        <v>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 t="s">
        <v>199</v>
      </c>
      <c r="K183" t="s">
        <v>206</v>
      </c>
      <c r="L183" t="s">
        <v>216</v>
      </c>
      <c r="M183" t="s">
        <v>225</v>
      </c>
    </row>
    <row r="184" spans="1:13" x14ac:dyDescent="0.25">
      <c r="A184" t="s">
        <v>283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 t="s">
        <v>199</v>
      </c>
      <c r="K184" t="s">
        <v>207</v>
      </c>
      <c r="L184" t="s">
        <v>216</v>
      </c>
      <c r="M184" t="s">
        <v>225</v>
      </c>
    </row>
    <row r="185" spans="1:13" x14ac:dyDescent="0.25">
      <c r="A185" t="s">
        <v>366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199</v>
      </c>
      <c r="K185" t="s">
        <v>233</v>
      </c>
      <c r="L185" t="s">
        <v>216</v>
      </c>
      <c r="M185" t="s">
        <v>225</v>
      </c>
    </row>
    <row r="186" spans="1:13" x14ac:dyDescent="0.25">
      <c r="A186" t="s">
        <v>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199</v>
      </c>
      <c r="K186" t="s">
        <v>202</v>
      </c>
      <c r="L186" t="s">
        <v>217</v>
      </c>
      <c r="M186" t="s">
        <v>225</v>
      </c>
    </row>
    <row r="187" spans="1:13" x14ac:dyDescent="0.25">
      <c r="A187" t="s">
        <v>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199</v>
      </c>
      <c r="K188" t="s">
        <v>204</v>
      </c>
      <c r="L188" t="s">
        <v>217</v>
      </c>
      <c r="M188" t="s">
        <v>225</v>
      </c>
    </row>
    <row r="189" spans="1:13" x14ac:dyDescent="0.25">
      <c r="A189" t="s">
        <v>367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 t="s">
        <v>199</v>
      </c>
      <c r="K189" t="s">
        <v>239</v>
      </c>
      <c r="L189" t="s">
        <v>217</v>
      </c>
      <c r="M189" t="s">
        <v>225</v>
      </c>
    </row>
    <row r="190" spans="1:13" x14ac:dyDescent="0.25">
      <c r="A190" t="s">
        <v>368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0</v>
      </c>
      <c r="J190" t="s">
        <v>199</v>
      </c>
      <c r="K190" t="s">
        <v>241</v>
      </c>
      <c r="L190" t="s">
        <v>217</v>
      </c>
      <c r="M190" t="s">
        <v>225</v>
      </c>
    </row>
    <row r="191" spans="1:13" x14ac:dyDescent="0.25">
      <c r="A191" t="s">
        <v>96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199</v>
      </c>
      <c r="K191" t="s">
        <v>206</v>
      </c>
      <c r="L191" t="s">
        <v>217</v>
      </c>
      <c r="M191" t="s">
        <v>225</v>
      </c>
    </row>
    <row r="192" spans="1:13" x14ac:dyDescent="0.25">
      <c r="A192" t="s">
        <v>284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199</v>
      </c>
      <c r="K193" t="s">
        <v>233</v>
      </c>
      <c r="L193" t="s">
        <v>217</v>
      </c>
      <c r="M193" t="s">
        <v>225</v>
      </c>
    </row>
    <row r="194" spans="1:13" x14ac:dyDescent="0.25">
      <c r="A194" t="s">
        <v>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199</v>
      </c>
      <c r="K194" t="s">
        <v>202</v>
      </c>
      <c r="L194" t="s">
        <v>218</v>
      </c>
      <c r="M194" t="s">
        <v>225</v>
      </c>
    </row>
    <row r="195" spans="1:13" x14ac:dyDescent="0.25">
      <c r="A195" t="s">
        <v>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199</v>
      </c>
      <c r="K195" t="s">
        <v>203</v>
      </c>
      <c r="L195" t="s">
        <v>218</v>
      </c>
      <c r="M195" t="s">
        <v>225</v>
      </c>
    </row>
    <row r="196" spans="1:13" x14ac:dyDescent="0.25">
      <c r="A196" t="s">
        <v>99</v>
      </c>
      <c r="B196">
        <v>1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0</v>
      </c>
      <c r="J196" t="s">
        <v>199</v>
      </c>
      <c r="K196" t="s">
        <v>204</v>
      </c>
      <c r="L196" t="s">
        <v>218</v>
      </c>
      <c r="M196" t="s">
        <v>225</v>
      </c>
    </row>
    <row r="197" spans="1:13" x14ac:dyDescent="0.25">
      <c r="A197" t="s">
        <v>370</v>
      </c>
      <c r="B197">
        <v>1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199</v>
      </c>
      <c r="K198" t="s">
        <v>241</v>
      </c>
      <c r="L198" t="s">
        <v>218</v>
      </c>
      <c r="M198" t="s">
        <v>225</v>
      </c>
    </row>
    <row r="199" spans="1:13" x14ac:dyDescent="0.25">
      <c r="A199" t="s">
        <v>100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 t="s">
        <v>199</v>
      </c>
      <c r="K199" t="s">
        <v>206</v>
      </c>
      <c r="L199" t="s">
        <v>218</v>
      </c>
      <c r="M199" t="s">
        <v>225</v>
      </c>
    </row>
    <row r="200" spans="1:13" x14ac:dyDescent="0.25">
      <c r="A200" t="s">
        <v>285</v>
      </c>
      <c r="B200">
        <v>1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1</v>
      </c>
      <c r="J200" t="s">
        <v>199</v>
      </c>
      <c r="K200" t="s">
        <v>207</v>
      </c>
      <c r="L200" t="s">
        <v>218</v>
      </c>
      <c r="M200" t="s">
        <v>225</v>
      </c>
    </row>
    <row r="201" spans="1:13" x14ac:dyDescent="0.25">
      <c r="A201" t="s">
        <v>372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 t="s">
        <v>199</v>
      </c>
      <c r="K201" t="s">
        <v>233</v>
      </c>
      <c r="L201" t="s">
        <v>218</v>
      </c>
      <c r="M201" t="s">
        <v>225</v>
      </c>
    </row>
    <row r="202" spans="1:13" x14ac:dyDescent="0.25">
      <c r="A202" t="s">
        <v>101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 t="s">
        <v>199</v>
      </c>
      <c r="K203" t="s">
        <v>203</v>
      </c>
      <c r="L203" t="s">
        <v>219</v>
      </c>
      <c r="M203" t="s">
        <v>225</v>
      </c>
    </row>
    <row r="204" spans="1:13" x14ac:dyDescent="0.25">
      <c r="A204" t="s">
        <v>103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199</v>
      </c>
      <c r="K204" t="s">
        <v>204</v>
      </c>
      <c r="L204" t="s">
        <v>219</v>
      </c>
      <c r="M204" t="s">
        <v>225</v>
      </c>
    </row>
    <row r="205" spans="1:13" x14ac:dyDescent="0.25">
      <c r="A205" t="s">
        <v>373</v>
      </c>
      <c r="B205">
        <v>0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1</v>
      </c>
      <c r="J205" t="s">
        <v>199</v>
      </c>
      <c r="K205" t="s">
        <v>239</v>
      </c>
      <c r="L205" t="s">
        <v>219</v>
      </c>
      <c r="M205" t="s">
        <v>225</v>
      </c>
    </row>
    <row r="206" spans="1:13" x14ac:dyDescent="0.25">
      <c r="A206" t="s">
        <v>374</v>
      </c>
      <c r="B206">
        <v>1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0</v>
      </c>
      <c r="J206" t="s">
        <v>199</v>
      </c>
      <c r="K206" t="s">
        <v>241</v>
      </c>
      <c r="L206" t="s">
        <v>219</v>
      </c>
      <c r="M206" t="s">
        <v>225</v>
      </c>
    </row>
    <row r="207" spans="1:13" x14ac:dyDescent="0.25">
      <c r="A207" t="s">
        <v>104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 t="s">
        <v>199</v>
      </c>
      <c r="K208" t="s">
        <v>207</v>
      </c>
      <c r="L208" t="s">
        <v>219</v>
      </c>
      <c r="M208" t="s">
        <v>225</v>
      </c>
    </row>
    <row r="209" spans="1:13" x14ac:dyDescent="0.25">
      <c r="A209" t="s">
        <v>375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199</v>
      </c>
      <c r="K209" t="s">
        <v>233</v>
      </c>
      <c r="L209" t="s">
        <v>219</v>
      </c>
      <c r="M209" t="s">
        <v>225</v>
      </c>
    </row>
    <row r="210" spans="1:13" x14ac:dyDescent="0.25">
      <c r="A210" t="s">
        <v>105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199</v>
      </c>
      <c r="K210" t="s">
        <v>202</v>
      </c>
      <c r="L210" t="s">
        <v>220</v>
      </c>
      <c r="M210" t="s">
        <v>225</v>
      </c>
    </row>
    <row r="211" spans="1:13" x14ac:dyDescent="0.25">
      <c r="A211" t="s">
        <v>106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 t="s">
        <v>199</v>
      </c>
      <c r="K211" t="s">
        <v>203</v>
      </c>
      <c r="L211" t="s">
        <v>220</v>
      </c>
      <c r="M211" t="s">
        <v>225</v>
      </c>
    </row>
    <row r="212" spans="1:13" x14ac:dyDescent="0.25">
      <c r="A212" t="s">
        <v>107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1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0</v>
      </c>
      <c r="I213">
        <v>1</v>
      </c>
      <c r="J213" t="s">
        <v>199</v>
      </c>
      <c r="K213" t="s">
        <v>239</v>
      </c>
      <c r="L213" t="s">
        <v>220</v>
      </c>
      <c r="M213" t="s">
        <v>225</v>
      </c>
    </row>
    <row r="214" spans="1:13" x14ac:dyDescent="0.25">
      <c r="A214" t="s">
        <v>377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 t="s">
        <v>199</v>
      </c>
      <c r="K214" t="s">
        <v>241</v>
      </c>
      <c r="L214" t="s">
        <v>220</v>
      </c>
      <c r="M214" t="s">
        <v>225</v>
      </c>
    </row>
    <row r="215" spans="1:13" x14ac:dyDescent="0.25">
      <c r="A215" t="s">
        <v>108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1</v>
      </c>
      <c r="J215" t="s">
        <v>199</v>
      </c>
      <c r="K215" t="s">
        <v>206</v>
      </c>
      <c r="L215" t="s">
        <v>220</v>
      </c>
      <c r="M215" t="s">
        <v>225</v>
      </c>
    </row>
    <row r="216" spans="1:13" x14ac:dyDescent="0.25">
      <c r="A216" t="s">
        <v>287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 t="s">
        <v>199</v>
      </c>
      <c r="K216" t="s">
        <v>207</v>
      </c>
      <c r="L216" t="s">
        <v>220</v>
      </c>
      <c r="M216" t="s">
        <v>225</v>
      </c>
    </row>
    <row r="217" spans="1:13" x14ac:dyDescent="0.25">
      <c r="A217" t="s">
        <v>378</v>
      </c>
      <c r="B217">
        <v>0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0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199</v>
      </c>
      <c r="K218" t="s">
        <v>202</v>
      </c>
      <c r="L218" t="s">
        <v>221</v>
      </c>
      <c r="M218" t="s">
        <v>225</v>
      </c>
    </row>
    <row r="219" spans="1:13" x14ac:dyDescent="0.25">
      <c r="A219" t="s">
        <v>110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 t="s">
        <v>199</v>
      </c>
      <c r="K219" t="s">
        <v>203</v>
      </c>
      <c r="L219" t="s">
        <v>221</v>
      </c>
      <c r="M219" t="s">
        <v>225</v>
      </c>
    </row>
    <row r="220" spans="1:13" x14ac:dyDescent="0.25">
      <c r="A220" t="s">
        <v>111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199</v>
      </c>
      <c r="K220" t="s">
        <v>204</v>
      </c>
      <c r="L220" t="s">
        <v>221</v>
      </c>
      <c r="M220" t="s">
        <v>225</v>
      </c>
    </row>
    <row r="221" spans="1:13" x14ac:dyDescent="0.25">
      <c r="A221" t="s">
        <v>379</v>
      </c>
      <c r="B221">
        <v>0</v>
      </c>
      <c r="C221">
        <v>0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1</v>
      </c>
      <c r="J221" t="s">
        <v>199</v>
      </c>
      <c r="K221" t="s">
        <v>239</v>
      </c>
      <c r="L221" t="s">
        <v>221</v>
      </c>
      <c r="M221" t="s">
        <v>225</v>
      </c>
    </row>
    <row r="222" spans="1:13" x14ac:dyDescent="0.25">
      <c r="A222" t="s">
        <v>380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199</v>
      </c>
      <c r="K223" t="s">
        <v>206</v>
      </c>
      <c r="L223" t="s">
        <v>221</v>
      </c>
      <c r="M223" t="s">
        <v>225</v>
      </c>
    </row>
    <row r="224" spans="1:13" x14ac:dyDescent="0.25">
      <c r="A224" t="s">
        <v>288</v>
      </c>
      <c r="B224">
        <v>0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1</v>
      </c>
      <c r="J224" t="s">
        <v>199</v>
      </c>
      <c r="K224" t="s">
        <v>207</v>
      </c>
      <c r="L224" t="s">
        <v>221</v>
      </c>
      <c r="M224" t="s">
        <v>225</v>
      </c>
    </row>
    <row r="225" spans="1:13" x14ac:dyDescent="0.25">
      <c r="A225" t="s">
        <v>381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199</v>
      </c>
      <c r="K225" t="s">
        <v>233</v>
      </c>
      <c r="L225" t="s">
        <v>221</v>
      </c>
      <c r="M225" t="s">
        <v>225</v>
      </c>
    </row>
    <row r="226" spans="1:13" x14ac:dyDescent="0.25">
      <c r="A226" t="s">
        <v>113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199</v>
      </c>
      <c r="K226" t="s">
        <v>202</v>
      </c>
      <c r="L226" t="s">
        <v>222</v>
      </c>
      <c r="M226" t="s">
        <v>225</v>
      </c>
    </row>
    <row r="227" spans="1:13" x14ac:dyDescent="0.25">
      <c r="A227" t="s">
        <v>114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199</v>
      </c>
      <c r="K227" t="s">
        <v>203</v>
      </c>
      <c r="L227" t="s">
        <v>222</v>
      </c>
      <c r="M227" t="s">
        <v>225</v>
      </c>
    </row>
    <row r="228" spans="1:13" x14ac:dyDescent="0.25">
      <c r="A228" t="s">
        <v>115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 t="s">
        <v>199</v>
      </c>
      <c r="K228" t="s">
        <v>204</v>
      </c>
      <c r="L228" t="s">
        <v>222</v>
      </c>
      <c r="M228" t="s">
        <v>225</v>
      </c>
    </row>
    <row r="229" spans="1:13" x14ac:dyDescent="0.25">
      <c r="A229" t="s">
        <v>382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199</v>
      </c>
      <c r="K229" t="s">
        <v>239</v>
      </c>
      <c r="L229" t="s">
        <v>222</v>
      </c>
      <c r="M229" t="s">
        <v>225</v>
      </c>
    </row>
    <row r="230" spans="1:13" x14ac:dyDescent="0.25">
      <c r="A230" t="s">
        <v>383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1</v>
      </c>
      <c r="J230" t="s">
        <v>199</v>
      </c>
      <c r="K230" t="s">
        <v>241</v>
      </c>
      <c r="L230" t="s">
        <v>222</v>
      </c>
      <c r="M230" t="s">
        <v>225</v>
      </c>
    </row>
    <row r="231" spans="1:13" x14ac:dyDescent="0.25">
      <c r="A231" t="s">
        <v>116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199</v>
      </c>
      <c r="K231" t="s">
        <v>206</v>
      </c>
      <c r="L231" t="s">
        <v>222</v>
      </c>
      <c r="M231" t="s">
        <v>225</v>
      </c>
    </row>
    <row r="232" spans="1:13" x14ac:dyDescent="0.25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199</v>
      </c>
      <c r="K232" t="s">
        <v>207</v>
      </c>
      <c r="L232" t="s">
        <v>222</v>
      </c>
      <c r="M232" t="s">
        <v>225</v>
      </c>
    </row>
    <row r="233" spans="1:13" x14ac:dyDescent="0.25">
      <c r="A233" t="s">
        <v>384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>
        <v>0</v>
      </c>
      <c r="J233" t="s">
        <v>199</v>
      </c>
      <c r="K233" t="s">
        <v>233</v>
      </c>
      <c r="L233" t="s">
        <v>222</v>
      </c>
      <c r="M233" t="s">
        <v>225</v>
      </c>
    </row>
    <row r="234" spans="1:13" x14ac:dyDescent="0.25">
      <c r="A234" t="s">
        <v>117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199</v>
      </c>
      <c r="K234" t="s">
        <v>202</v>
      </c>
      <c r="L234" t="s">
        <v>223</v>
      </c>
      <c r="M234" t="s">
        <v>225</v>
      </c>
    </row>
    <row r="235" spans="1:13" x14ac:dyDescent="0.25">
      <c r="A235" t="s">
        <v>118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 t="s">
        <v>199</v>
      </c>
      <c r="K235" t="s">
        <v>203</v>
      </c>
      <c r="L235" t="s">
        <v>223</v>
      </c>
      <c r="M235" t="s">
        <v>225</v>
      </c>
    </row>
    <row r="236" spans="1:13" x14ac:dyDescent="0.25">
      <c r="A236" t="s">
        <v>119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1</v>
      </c>
      <c r="J236" t="s">
        <v>199</v>
      </c>
      <c r="K236" t="s">
        <v>204</v>
      </c>
      <c r="L236" t="s">
        <v>223</v>
      </c>
      <c r="M236" t="s">
        <v>225</v>
      </c>
    </row>
    <row r="237" spans="1:13" x14ac:dyDescent="0.25">
      <c r="A237" t="s">
        <v>385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1</v>
      </c>
      <c r="J237" t="s">
        <v>199</v>
      </c>
      <c r="K237" t="s">
        <v>239</v>
      </c>
      <c r="L237" t="s">
        <v>223</v>
      </c>
      <c r="M237" t="s">
        <v>225</v>
      </c>
    </row>
    <row r="238" spans="1:13" x14ac:dyDescent="0.25">
      <c r="A238" t="s">
        <v>386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199</v>
      </c>
      <c r="K238" t="s">
        <v>241</v>
      </c>
      <c r="L238" t="s">
        <v>223</v>
      </c>
      <c r="M238" t="s">
        <v>225</v>
      </c>
    </row>
    <row r="239" spans="1:13" x14ac:dyDescent="0.25">
      <c r="A239" t="s">
        <v>120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199</v>
      </c>
      <c r="K239" t="s">
        <v>206</v>
      </c>
      <c r="L239" t="s">
        <v>223</v>
      </c>
      <c r="M239" t="s">
        <v>225</v>
      </c>
    </row>
    <row r="240" spans="1:13" x14ac:dyDescent="0.25">
      <c r="A240" t="s">
        <v>290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 t="s">
        <v>199</v>
      </c>
      <c r="K240" t="s">
        <v>207</v>
      </c>
      <c r="L240" t="s">
        <v>223</v>
      </c>
      <c r="M240" t="s">
        <v>225</v>
      </c>
    </row>
    <row r="241" spans="1:13" x14ac:dyDescent="0.25">
      <c r="A241" t="s">
        <v>387</v>
      </c>
      <c r="B241">
        <v>0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1</v>
      </c>
      <c r="J241" t="s">
        <v>199</v>
      </c>
      <c r="K241" t="s">
        <v>233</v>
      </c>
      <c r="L241" t="s">
        <v>223</v>
      </c>
      <c r="M241" t="s">
        <v>225</v>
      </c>
    </row>
    <row r="242" spans="1:13" x14ac:dyDescent="0.25">
      <c r="A242" t="s">
        <v>121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200</v>
      </c>
      <c r="K242" t="s">
        <v>202</v>
      </c>
      <c r="L242" t="s">
        <v>209</v>
      </c>
      <c r="M242" t="s">
        <v>225</v>
      </c>
    </row>
    <row r="243" spans="1:13" x14ac:dyDescent="0.25">
      <c r="A243" t="s">
        <v>122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200</v>
      </c>
      <c r="K243" t="s">
        <v>203</v>
      </c>
      <c r="L243" t="s">
        <v>209</v>
      </c>
      <c r="M243" t="s">
        <v>225</v>
      </c>
    </row>
    <row r="244" spans="1:13" x14ac:dyDescent="0.25">
      <c r="A244" t="s">
        <v>123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200</v>
      </c>
      <c r="K244" t="s">
        <v>204</v>
      </c>
      <c r="L244" t="s">
        <v>209</v>
      </c>
      <c r="M244" t="s">
        <v>225</v>
      </c>
    </row>
    <row r="245" spans="1:13" x14ac:dyDescent="0.25">
      <c r="A245" t="s">
        <v>388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 t="s">
        <v>200</v>
      </c>
      <c r="K245" t="s">
        <v>239</v>
      </c>
      <c r="L245" t="s">
        <v>209</v>
      </c>
      <c r="M245" t="s">
        <v>225</v>
      </c>
    </row>
    <row r="246" spans="1:13" x14ac:dyDescent="0.25">
      <c r="A246" t="s">
        <v>389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200</v>
      </c>
      <c r="K246" t="s">
        <v>241</v>
      </c>
      <c r="L246" t="s">
        <v>209</v>
      </c>
      <c r="M246" t="s">
        <v>225</v>
      </c>
    </row>
    <row r="247" spans="1:13" x14ac:dyDescent="0.25">
      <c r="A247" t="s">
        <v>124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200</v>
      </c>
      <c r="K247" t="s">
        <v>206</v>
      </c>
      <c r="L247" t="s">
        <v>209</v>
      </c>
      <c r="M247" t="s">
        <v>225</v>
      </c>
    </row>
    <row r="248" spans="1:13" x14ac:dyDescent="0.25">
      <c r="A248" t="s">
        <v>291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 t="s">
        <v>200</v>
      </c>
      <c r="K248" t="s">
        <v>207</v>
      </c>
      <c r="L248" t="s">
        <v>209</v>
      </c>
      <c r="M248" t="s">
        <v>225</v>
      </c>
    </row>
    <row r="249" spans="1:13" x14ac:dyDescent="0.25">
      <c r="A249" t="s">
        <v>390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200</v>
      </c>
      <c r="K249" t="s">
        <v>233</v>
      </c>
      <c r="L249" t="s">
        <v>209</v>
      </c>
      <c r="M249" t="s">
        <v>225</v>
      </c>
    </row>
    <row r="250" spans="1:13" x14ac:dyDescent="0.25">
      <c r="A250" t="s">
        <v>125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200</v>
      </c>
      <c r="K250" t="s">
        <v>202</v>
      </c>
      <c r="L250" t="s">
        <v>210</v>
      </c>
      <c r="M250" t="s">
        <v>225</v>
      </c>
    </row>
    <row r="251" spans="1:13" x14ac:dyDescent="0.25">
      <c r="A251" t="s">
        <v>126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1</v>
      </c>
      <c r="J251" t="s">
        <v>200</v>
      </c>
      <c r="K251" t="s">
        <v>203</v>
      </c>
      <c r="L251" t="s">
        <v>210</v>
      </c>
      <c r="M251" t="s">
        <v>225</v>
      </c>
    </row>
    <row r="252" spans="1:13" x14ac:dyDescent="0.25">
      <c r="A252" t="s">
        <v>127</v>
      </c>
      <c r="B252">
        <v>0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 t="s">
        <v>200</v>
      </c>
      <c r="K252" t="s">
        <v>204</v>
      </c>
      <c r="L252" t="s">
        <v>210</v>
      </c>
      <c r="M252" t="s">
        <v>225</v>
      </c>
    </row>
    <row r="253" spans="1:13" x14ac:dyDescent="0.25">
      <c r="A253" t="s">
        <v>391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 t="s">
        <v>200</v>
      </c>
      <c r="K253" t="s">
        <v>239</v>
      </c>
      <c r="L253" t="s">
        <v>210</v>
      </c>
      <c r="M253" t="s">
        <v>225</v>
      </c>
    </row>
    <row r="254" spans="1:13" x14ac:dyDescent="0.25">
      <c r="A254" t="s">
        <v>392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 t="s">
        <v>200</v>
      </c>
      <c r="K254" t="s">
        <v>241</v>
      </c>
      <c r="L254" t="s">
        <v>210</v>
      </c>
      <c r="M254" t="s">
        <v>225</v>
      </c>
    </row>
    <row r="255" spans="1:13" x14ac:dyDescent="0.25">
      <c r="A255" t="s">
        <v>128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 t="s">
        <v>200</v>
      </c>
      <c r="K255" t="s">
        <v>206</v>
      </c>
      <c r="L255" t="s">
        <v>210</v>
      </c>
      <c r="M255" t="s">
        <v>225</v>
      </c>
    </row>
    <row r="256" spans="1:13" x14ac:dyDescent="0.25">
      <c r="A256" t="s">
        <v>292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 t="s">
        <v>200</v>
      </c>
      <c r="K256" t="s">
        <v>207</v>
      </c>
      <c r="L256" t="s">
        <v>210</v>
      </c>
      <c r="M256" t="s">
        <v>225</v>
      </c>
    </row>
    <row r="257" spans="1:13" x14ac:dyDescent="0.25">
      <c r="A257" t="s">
        <v>393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1</v>
      </c>
      <c r="J257" t="s">
        <v>200</v>
      </c>
      <c r="K257" t="s">
        <v>233</v>
      </c>
      <c r="L257" t="s">
        <v>210</v>
      </c>
      <c r="M257" t="s">
        <v>225</v>
      </c>
    </row>
    <row r="258" spans="1:13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200</v>
      </c>
      <c r="K258" t="s">
        <v>202</v>
      </c>
      <c r="L258" t="s">
        <v>211</v>
      </c>
      <c r="M258" t="s">
        <v>225</v>
      </c>
    </row>
    <row r="259" spans="1:13" x14ac:dyDescent="0.25">
      <c r="A259" t="s">
        <v>130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200</v>
      </c>
      <c r="K259" t="s">
        <v>203</v>
      </c>
      <c r="L259" t="s">
        <v>211</v>
      </c>
      <c r="M259" t="s">
        <v>225</v>
      </c>
    </row>
    <row r="260" spans="1:13" x14ac:dyDescent="0.25">
      <c r="A260" t="s">
        <v>131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200</v>
      </c>
      <c r="K260" t="s">
        <v>204</v>
      </c>
      <c r="L260" t="s">
        <v>211</v>
      </c>
      <c r="M260" t="s">
        <v>225</v>
      </c>
    </row>
    <row r="261" spans="1:13" x14ac:dyDescent="0.25">
      <c r="A261" t="s">
        <v>394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 t="s">
        <v>200</v>
      </c>
      <c r="K261" t="s">
        <v>239</v>
      </c>
      <c r="L261" t="s">
        <v>211</v>
      </c>
      <c r="M261" t="s">
        <v>225</v>
      </c>
    </row>
    <row r="262" spans="1:13" x14ac:dyDescent="0.25">
      <c r="A262" t="s">
        <v>395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 t="s">
        <v>200</v>
      </c>
      <c r="K262" t="s">
        <v>241</v>
      </c>
      <c r="L262" t="s">
        <v>211</v>
      </c>
      <c r="M262" t="s">
        <v>225</v>
      </c>
    </row>
    <row r="263" spans="1:13" x14ac:dyDescent="0.25">
      <c r="A263" t="s">
        <v>132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 t="s">
        <v>200</v>
      </c>
      <c r="K263" t="s">
        <v>206</v>
      </c>
      <c r="L263" t="s">
        <v>211</v>
      </c>
      <c r="M263" t="s">
        <v>225</v>
      </c>
    </row>
    <row r="264" spans="1:13" x14ac:dyDescent="0.25">
      <c r="A264" t="s">
        <v>293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 t="s">
        <v>200</v>
      </c>
      <c r="K264" t="s">
        <v>207</v>
      </c>
      <c r="L264" t="s">
        <v>211</v>
      </c>
      <c r="M264" t="s">
        <v>225</v>
      </c>
    </row>
    <row r="265" spans="1:13" x14ac:dyDescent="0.25">
      <c r="A265" t="s">
        <v>396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200</v>
      </c>
      <c r="K265" t="s">
        <v>233</v>
      </c>
      <c r="L265" t="s">
        <v>211</v>
      </c>
      <c r="M265" t="s">
        <v>225</v>
      </c>
    </row>
    <row r="266" spans="1:13" x14ac:dyDescent="0.25">
      <c r="A266" t="s">
        <v>133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200</v>
      </c>
      <c r="K266" t="s">
        <v>202</v>
      </c>
      <c r="L266" t="s">
        <v>212</v>
      </c>
      <c r="M266" t="s">
        <v>225</v>
      </c>
    </row>
    <row r="267" spans="1:13" x14ac:dyDescent="0.25">
      <c r="A267" t="s">
        <v>134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200</v>
      </c>
      <c r="K267" t="s">
        <v>203</v>
      </c>
      <c r="L267" t="s">
        <v>212</v>
      </c>
      <c r="M267" t="s">
        <v>225</v>
      </c>
    </row>
    <row r="268" spans="1:13" x14ac:dyDescent="0.25">
      <c r="A268" t="s">
        <v>135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200</v>
      </c>
      <c r="K268" t="s">
        <v>204</v>
      </c>
      <c r="L268" t="s">
        <v>212</v>
      </c>
      <c r="M268" t="s">
        <v>225</v>
      </c>
    </row>
    <row r="269" spans="1:13" x14ac:dyDescent="0.25">
      <c r="A269" t="s">
        <v>397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 t="s">
        <v>200</v>
      </c>
      <c r="K269" t="s">
        <v>239</v>
      </c>
      <c r="L269" t="s">
        <v>212</v>
      </c>
      <c r="M269" t="s">
        <v>225</v>
      </c>
    </row>
    <row r="270" spans="1:13" x14ac:dyDescent="0.25">
      <c r="A270" t="s">
        <v>398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200</v>
      </c>
      <c r="K270" t="s">
        <v>241</v>
      </c>
      <c r="L270" t="s">
        <v>212</v>
      </c>
      <c r="M270" t="s">
        <v>225</v>
      </c>
    </row>
    <row r="271" spans="1:13" x14ac:dyDescent="0.25">
      <c r="A271" t="s">
        <v>136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1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0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1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1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0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0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1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1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1</v>
      </c>
      <c r="I294">
        <v>0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0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1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1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1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1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0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1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1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1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0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1</v>
      </c>
      <c r="C359">
        <v>1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1</v>
      </c>
      <c r="I361">
        <v>1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1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0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1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1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1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0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1</v>
      </c>
      <c r="C384">
        <v>1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1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1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1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0</v>
      </c>
      <c r="C400">
        <v>0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1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200</v>
      </c>
      <c r="K406" t="s">
        <v>226</v>
      </c>
      <c r="L406" t="s">
        <v>223</v>
      </c>
      <c r="M406" t="s">
        <v>225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6B0C-D5CA-4633-A5AE-3299A45F9568}">
  <dimension ref="A1:M406"/>
  <sheetViews>
    <sheetView workbookViewId="0"/>
  </sheetViews>
  <sheetFormatPr defaultRowHeight="15" x14ac:dyDescent="0.25"/>
  <cols>
    <col min="1" max="1" width="22.140625" bestFit="1" customWidth="1"/>
    <col min="2" max="9" width="4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198</v>
      </c>
      <c r="K3" t="s">
        <v>203</v>
      </c>
      <c r="L3" t="s">
        <v>209</v>
      </c>
      <c r="M3" t="s">
        <v>225</v>
      </c>
    </row>
    <row r="4" spans="1:13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198</v>
      </c>
      <c r="K4" t="s">
        <v>204</v>
      </c>
      <c r="L4" t="s">
        <v>209</v>
      </c>
      <c r="M4" t="s">
        <v>225</v>
      </c>
    </row>
    <row r="5" spans="1:13" x14ac:dyDescent="0.25">
      <c r="A5" t="s">
        <v>298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 t="s">
        <v>198</v>
      </c>
      <c r="K5" t="s">
        <v>239</v>
      </c>
      <c r="L5" t="s">
        <v>209</v>
      </c>
      <c r="M5" t="s">
        <v>225</v>
      </c>
    </row>
    <row r="6" spans="1:13" x14ac:dyDescent="0.25">
      <c r="A6" t="s">
        <v>299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198</v>
      </c>
      <c r="K6" t="s">
        <v>241</v>
      </c>
      <c r="L6" t="s">
        <v>209</v>
      </c>
      <c r="M6" t="s">
        <v>225</v>
      </c>
    </row>
    <row r="7" spans="1:13" x14ac:dyDescent="0.25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198</v>
      </c>
      <c r="K8" t="s">
        <v>207</v>
      </c>
      <c r="L8" t="s">
        <v>209</v>
      </c>
      <c r="M8" t="s">
        <v>225</v>
      </c>
    </row>
    <row r="9" spans="1:13" x14ac:dyDescent="0.25">
      <c r="A9" t="s">
        <v>300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198</v>
      </c>
      <c r="K9" t="s">
        <v>233</v>
      </c>
      <c r="L9" t="s">
        <v>209</v>
      </c>
      <c r="M9" t="s">
        <v>225</v>
      </c>
    </row>
    <row r="10" spans="1:13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198</v>
      </c>
      <c r="K10" t="s">
        <v>202</v>
      </c>
      <c r="L10" t="s">
        <v>210</v>
      </c>
      <c r="M10" t="s">
        <v>225</v>
      </c>
    </row>
    <row r="11" spans="1:13" x14ac:dyDescent="0.25">
      <c r="A11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198</v>
      </c>
      <c r="K11" t="s">
        <v>203</v>
      </c>
      <c r="L11" t="s">
        <v>210</v>
      </c>
      <c r="M11" t="s">
        <v>225</v>
      </c>
    </row>
    <row r="12" spans="1:13" x14ac:dyDescent="0.25">
      <c r="A12" t="s">
        <v>7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t="s">
        <v>198</v>
      </c>
      <c r="K13" t="s">
        <v>239</v>
      </c>
      <c r="L13" t="s">
        <v>210</v>
      </c>
      <c r="M13" t="s">
        <v>225</v>
      </c>
    </row>
    <row r="14" spans="1:13" x14ac:dyDescent="0.25">
      <c r="A14" t="s">
        <v>302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 t="s">
        <v>198</v>
      </c>
      <c r="K14" t="s">
        <v>241</v>
      </c>
      <c r="L14" t="s">
        <v>210</v>
      </c>
      <c r="M14" t="s">
        <v>225</v>
      </c>
    </row>
    <row r="15" spans="1:13" x14ac:dyDescent="0.25">
      <c r="A15" t="s">
        <v>8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 t="s">
        <v>198</v>
      </c>
      <c r="K15" t="s">
        <v>206</v>
      </c>
      <c r="L15" t="s">
        <v>210</v>
      </c>
      <c r="M15" t="s">
        <v>225</v>
      </c>
    </row>
    <row r="16" spans="1:13" x14ac:dyDescent="0.25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198</v>
      </c>
      <c r="K16" t="s">
        <v>207</v>
      </c>
      <c r="L16" t="s">
        <v>210</v>
      </c>
      <c r="M16" t="s">
        <v>225</v>
      </c>
    </row>
    <row r="17" spans="1:13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198</v>
      </c>
      <c r="K18" t="s">
        <v>202</v>
      </c>
      <c r="L18" t="s">
        <v>211</v>
      </c>
      <c r="M18" t="s">
        <v>225</v>
      </c>
    </row>
    <row r="19" spans="1:13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198</v>
      </c>
      <c r="K19" t="s">
        <v>203</v>
      </c>
      <c r="L19" t="s">
        <v>211</v>
      </c>
      <c r="M19" t="s">
        <v>225</v>
      </c>
    </row>
    <row r="20" spans="1:13" x14ac:dyDescent="0.25">
      <c r="A20" t="s">
        <v>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198</v>
      </c>
      <c r="K20" t="s">
        <v>204</v>
      </c>
      <c r="L20" t="s">
        <v>211</v>
      </c>
      <c r="M20" t="s">
        <v>225</v>
      </c>
    </row>
    <row r="21" spans="1:13" x14ac:dyDescent="0.25">
      <c r="A21" t="s">
        <v>304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t="s">
        <v>198</v>
      </c>
      <c r="K21" t="s">
        <v>239</v>
      </c>
      <c r="L21" t="s">
        <v>211</v>
      </c>
      <c r="M21" t="s">
        <v>225</v>
      </c>
    </row>
    <row r="22" spans="1:13" x14ac:dyDescent="0.25">
      <c r="A22" t="s">
        <v>305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 t="s">
        <v>198</v>
      </c>
      <c r="K23" t="s">
        <v>206</v>
      </c>
      <c r="L23" t="s">
        <v>211</v>
      </c>
      <c r="M23" t="s">
        <v>225</v>
      </c>
    </row>
    <row r="24" spans="1:13" x14ac:dyDescent="0.25">
      <c r="A24" t="s">
        <v>263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198</v>
      </c>
      <c r="K24" t="s">
        <v>207</v>
      </c>
      <c r="L24" t="s">
        <v>211</v>
      </c>
      <c r="M24" t="s">
        <v>225</v>
      </c>
    </row>
    <row r="25" spans="1:13" x14ac:dyDescent="0.25">
      <c r="A25" t="s">
        <v>306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198</v>
      </c>
      <c r="K25" t="s">
        <v>233</v>
      </c>
      <c r="L25" t="s">
        <v>211</v>
      </c>
      <c r="M25" t="s">
        <v>225</v>
      </c>
    </row>
    <row r="26" spans="1:13" x14ac:dyDescent="0.25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198</v>
      </c>
      <c r="K26" t="s">
        <v>202</v>
      </c>
      <c r="L26" t="s">
        <v>212</v>
      </c>
      <c r="M26" t="s">
        <v>225</v>
      </c>
    </row>
    <row r="27" spans="1:13" x14ac:dyDescent="0.25">
      <c r="A27" t="s">
        <v>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198</v>
      </c>
      <c r="K28" t="s">
        <v>204</v>
      </c>
      <c r="L28" t="s">
        <v>212</v>
      </c>
      <c r="M28" t="s">
        <v>225</v>
      </c>
    </row>
    <row r="29" spans="1:13" x14ac:dyDescent="0.25">
      <c r="A29" t="s">
        <v>307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198</v>
      </c>
      <c r="K29" t="s">
        <v>239</v>
      </c>
      <c r="L29" t="s">
        <v>212</v>
      </c>
      <c r="M29" t="s">
        <v>225</v>
      </c>
    </row>
    <row r="30" spans="1:13" x14ac:dyDescent="0.25">
      <c r="A30" t="s">
        <v>308</v>
      </c>
      <c r="B30">
        <v>0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 t="s">
        <v>198</v>
      </c>
      <c r="K30" t="s">
        <v>241</v>
      </c>
      <c r="L30" t="s">
        <v>212</v>
      </c>
      <c r="M30" t="s">
        <v>225</v>
      </c>
    </row>
    <row r="31" spans="1:13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 t="s">
        <v>198</v>
      </c>
      <c r="K31" t="s">
        <v>206</v>
      </c>
      <c r="L31" t="s">
        <v>212</v>
      </c>
      <c r="M31" t="s">
        <v>225</v>
      </c>
    </row>
    <row r="32" spans="1:13" x14ac:dyDescent="0.25">
      <c r="A32" t="s">
        <v>264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198</v>
      </c>
      <c r="K33" t="s">
        <v>233</v>
      </c>
      <c r="L33" t="s">
        <v>212</v>
      </c>
      <c r="M33" t="s">
        <v>225</v>
      </c>
    </row>
    <row r="34" spans="1:13" x14ac:dyDescent="0.25">
      <c r="A34" t="s">
        <v>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198</v>
      </c>
      <c r="K34" t="s">
        <v>202</v>
      </c>
      <c r="L34" t="s">
        <v>213</v>
      </c>
      <c r="M34" t="s">
        <v>225</v>
      </c>
    </row>
    <row r="35" spans="1:13" x14ac:dyDescent="0.25">
      <c r="A35" t="s">
        <v>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198</v>
      </c>
      <c r="K35" t="s">
        <v>203</v>
      </c>
      <c r="L35" t="s">
        <v>213</v>
      </c>
      <c r="M35" t="s">
        <v>225</v>
      </c>
    </row>
    <row r="36" spans="1:13" x14ac:dyDescent="0.25">
      <c r="A36" t="s">
        <v>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198</v>
      </c>
      <c r="K36" t="s">
        <v>204</v>
      </c>
      <c r="L36" t="s">
        <v>213</v>
      </c>
      <c r="M36" t="s">
        <v>225</v>
      </c>
    </row>
    <row r="37" spans="1:13" x14ac:dyDescent="0.25">
      <c r="A37" t="s">
        <v>310</v>
      </c>
      <c r="B37">
        <v>0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198</v>
      </c>
      <c r="K38" t="s">
        <v>241</v>
      </c>
      <c r="L38" t="s">
        <v>213</v>
      </c>
      <c r="M38" t="s">
        <v>225</v>
      </c>
    </row>
    <row r="39" spans="1:13" x14ac:dyDescent="0.25">
      <c r="A39" t="s">
        <v>20</v>
      </c>
      <c r="B39">
        <v>1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 t="s">
        <v>198</v>
      </c>
      <c r="K39" t="s">
        <v>206</v>
      </c>
      <c r="L39" t="s">
        <v>213</v>
      </c>
      <c r="M39" t="s">
        <v>225</v>
      </c>
    </row>
    <row r="40" spans="1:13" x14ac:dyDescent="0.25">
      <c r="A40" t="s">
        <v>265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198</v>
      </c>
      <c r="K40" t="s">
        <v>207</v>
      </c>
      <c r="L40" t="s">
        <v>213</v>
      </c>
      <c r="M40" t="s">
        <v>225</v>
      </c>
    </row>
    <row r="41" spans="1:13" x14ac:dyDescent="0.25">
      <c r="A41" t="s">
        <v>312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198</v>
      </c>
      <c r="K41" t="s">
        <v>233</v>
      </c>
      <c r="L41" t="s">
        <v>213</v>
      </c>
      <c r="M41" t="s">
        <v>225</v>
      </c>
    </row>
    <row r="42" spans="1:13" x14ac:dyDescent="0.25">
      <c r="A42" t="s">
        <v>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198</v>
      </c>
      <c r="K43" t="s">
        <v>203</v>
      </c>
      <c r="L43" t="s">
        <v>214</v>
      </c>
      <c r="M43" t="s">
        <v>225</v>
      </c>
    </row>
    <row r="44" spans="1:13" x14ac:dyDescent="0.25">
      <c r="A44" t="s">
        <v>23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 t="s">
        <v>198</v>
      </c>
      <c r="K44" t="s">
        <v>204</v>
      </c>
      <c r="L44" t="s">
        <v>214</v>
      </c>
      <c r="M44" t="s">
        <v>225</v>
      </c>
    </row>
    <row r="45" spans="1:13" x14ac:dyDescent="0.25">
      <c r="A45" t="s">
        <v>313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  <c r="J45" t="s">
        <v>198</v>
      </c>
      <c r="K45" t="s">
        <v>239</v>
      </c>
      <c r="L45" t="s">
        <v>214</v>
      </c>
      <c r="M45" t="s">
        <v>225</v>
      </c>
    </row>
    <row r="46" spans="1:13" x14ac:dyDescent="0.25">
      <c r="A46" t="s">
        <v>314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 t="s">
        <v>198</v>
      </c>
      <c r="K46" t="s">
        <v>241</v>
      </c>
      <c r="L46" t="s">
        <v>214</v>
      </c>
      <c r="M46" t="s">
        <v>225</v>
      </c>
    </row>
    <row r="47" spans="1:13" x14ac:dyDescent="0.25">
      <c r="A47" t="s">
        <v>24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207</v>
      </c>
      <c r="L48" t="s">
        <v>214</v>
      </c>
      <c r="M48" t="s">
        <v>225</v>
      </c>
    </row>
    <row r="49" spans="1:13" x14ac:dyDescent="0.25">
      <c r="A49" t="s">
        <v>315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198</v>
      </c>
      <c r="K49" t="s">
        <v>233</v>
      </c>
      <c r="L49" t="s">
        <v>214</v>
      </c>
      <c r="M49" t="s">
        <v>225</v>
      </c>
    </row>
    <row r="50" spans="1:13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198</v>
      </c>
      <c r="K50" t="s">
        <v>202</v>
      </c>
      <c r="L50" t="s">
        <v>215</v>
      </c>
      <c r="M50" t="s">
        <v>225</v>
      </c>
    </row>
    <row r="51" spans="1:13" x14ac:dyDescent="0.25">
      <c r="A51" t="s">
        <v>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198</v>
      </c>
      <c r="K51" t="s">
        <v>203</v>
      </c>
      <c r="L51" t="s">
        <v>215</v>
      </c>
      <c r="M51" t="s">
        <v>225</v>
      </c>
    </row>
    <row r="52" spans="1:13" x14ac:dyDescent="0.25">
      <c r="A52" t="s">
        <v>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 t="s">
        <v>198</v>
      </c>
      <c r="K53" t="s">
        <v>239</v>
      </c>
      <c r="L53" t="s">
        <v>215</v>
      </c>
      <c r="M53" t="s">
        <v>225</v>
      </c>
    </row>
    <row r="54" spans="1:13" x14ac:dyDescent="0.25">
      <c r="A54" t="s">
        <v>317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 t="s">
        <v>198</v>
      </c>
      <c r="K54" t="s">
        <v>241</v>
      </c>
      <c r="L54" t="s">
        <v>215</v>
      </c>
      <c r="M54" t="s">
        <v>225</v>
      </c>
    </row>
    <row r="55" spans="1:13" x14ac:dyDescent="0.25">
      <c r="A55" t="s">
        <v>28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198</v>
      </c>
      <c r="K55" t="s">
        <v>206</v>
      </c>
      <c r="L55" t="s">
        <v>215</v>
      </c>
      <c r="M55" t="s">
        <v>225</v>
      </c>
    </row>
    <row r="56" spans="1:13" x14ac:dyDescent="0.25">
      <c r="A56" t="s">
        <v>267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 t="s">
        <v>198</v>
      </c>
      <c r="K56" t="s">
        <v>207</v>
      </c>
      <c r="L56" t="s">
        <v>215</v>
      </c>
      <c r="M56" t="s">
        <v>225</v>
      </c>
    </row>
    <row r="57" spans="1:13" x14ac:dyDescent="0.25">
      <c r="A57" t="s">
        <v>318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198</v>
      </c>
      <c r="K58" t="s">
        <v>202</v>
      </c>
      <c r="L58" t="s">
        <v>216</v>
      </c>
      <c r="M58" t="s">
        <v>225</v>
      </c>
    </row>
    <row r="59" spans="1:13" x14ac:dyDescent="0.25">
      <c r="A59" t="s">
        <v>30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198</v>
      </c>
      <c r="K59" t="s">
        <v>203</v>
      </c>
      <c r="L59" t="s">
        <v>216</v>
      </c>
      <c r="M59" t="s">
        <v>225</v>
      </c>
    </row>
    <row r="60" spans="1:13" x14ac:dyDescent="0.25">
      <c r="A60" t="s">
        <v>31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198</v>
      </c>
      <c r="K60" t="s">
        <v>204</v>
      </c>
      <c r="L60" t="s">
        <v>216</v>
      </c>
      <c r="M60" t="s">
        <v>225</v>
      </c>
    </row>
    <row r="61" spans="1:13" x14ac:dyDescent="0.25">
      <c r="A61" t="s">
        <v>319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 t="s">
        <v>198</v>
      </c>
      <c r="K61" t="s">
        <v>239</v>
      </c>
      <c r="L61" t="s">
        <v>216</v>
      </c>
      <c r="M61" t="s">
        <v>225</v>
      </c>
    </row>
    <row r="62" spans="1:13" x14ac:dyDescent="0.25">
      <c r="A62" t="s">
        <v>320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0</v>
      </c>
      <c r="I63">
        <v>1</v>
      </c>
      <c r="J63" t="s">
        <v>198</v>
      </c>
      <c r="K63" t="s">
        <v>206</v>
      </c>
      <c r="L63" t="s">
        <v>216</v>
      </c>
      <c r="M63" t="s">
        <v>225</v>
      </c>
    </row>
    <row r="64" spans="1:13" x14ac:dyDescent="0.25">
      <c r="A64" t="s">
        <v>268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t="s">
        <v>198</v>
      </c>
      <c r="K64" t="s">
        <v>207</v>
      </c>
      <c r="L64" t="s">
        <v>216</v>
      </c>
      <c r="M64" t="s">
        <v>225</v>
      </c>
    </row>
    <row r="65" spans="1:13" x14ac:dyDescent="0.25">
      <c r="A65" t="s">
        <v>321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198</v>
      </c>
      <c r="K65" t="s">
        <v>233</v>
      </c>
      <c r="L65" t="s">
        <v>216</v>
      </c>
      <c r="M65" t="s">
        <v>225</v>
      </c>
    </row>
    <row r="66" spans="1:13" x14ac:dyDescent="0.25">
      <c r="A66" t="s">
        <v>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198</v>
      </c>
      <c r="K66" t="s">
        <v>202</v>
      </c>
      <c r="L66" t="s">
        <v>217</v>
      </c>
      <c r="M66" t="s">
        <v>225</v>
      </c>
    </row>
    <row r="67" spans="1:13" x14ac:dyDescent="0.25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 t="s">
        <v>198</v>
      </c>
      <c r="K68" t="s">
        <v>204</v>
      </c>
      <c r="L68" t="s">
        <v>217</v>
      </c>
      <c r="M68" t="s">
        <v>225</v>
      </c>
    </row>
    <row r="69" spans="1:13" x14ac:dyDescent="0.25">
      <c r="A69" t="s">
        <v>322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 t="s">
        <v>198</v>
      </c>
      <c r="K69" t="s">
        <v>239</v>
      </c>
      <c r="L69" t="s">
        <v>217</v>
      </c>
      <c r="M69" t="s">
        <v>225</v>
      </c>
    </row>
    <row r="70" spans="1:13" x14ac:dyDescent="0.25">
      <c r="A70" t="s">
        <v>323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 t="s">
        <v>198</v>
      </c>
      <c r="K70" t="s">
        <v>241</v>
      </c>
      <c r="L70" t="s">
        <v>217</v>
      </c>
      <c r="M70" t="s">
        <v>225</v>
      </c>
    </row>
    <row r="71" spans="1:13" x14ac:dyDescent="0.25">
      <c r="A71" t="s">
        <v>36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0</v>
      </c>
      <c r="J71" t="s">
        <v>198</v>
      </c>
      <c r="K71" t="s">
        <v>206</v>
      </c>
      <c r="L71" t="s">
        <v>217</v>
      </c>
      <c r="M71" t="s">
        <v>225</v>
      </c>
    </row>
    <row r="72" spans="1:13" x14ac:dyDescent="0.25">
      <c r="A72" t="s">
        <v>269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 t="s">
        <v>198</v>
      </c>
      <c r="K73" t="s">
        <v>233</v>
      </c>
      <c r="L73" t="s">
        <v>217</v>
      </c>
      <c r="M73" t="s">
        <v>225</v>
      </c>
    </row>
    <row r="74" spans="1:13" x14ac:dyDescent="0.25">
      <c r="A74" t="s">
        <v>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198</v>
      </c>
      <c r="K74" t="s">
        <v>202</v>
      </c>
      <c r="L74" t="s">
        <v>218</v>
      </c>
      <c r="M74" t="s">
        <v>225</v>
      </c>
    </row>
    <row r="75" spans="1:13" x14ac:dyDescent="0.25">
      <c r="A75" t="s">
        <v>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198</v>
      </c>
      <c r="K75" t="s">
        <v>203</v>
      </c>
      <c r="L75" t="s">
        <v>218</v>
      </c>
      <c r="M75" t="s">
        <v>225</v>
      </c>
    </row>
    <row r="76" spans="1:13" x14ac:dyDescent="0.25">
      <c r="A76" t="s">
        <v>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198</v>
      </c>
      <c r="K76" t="s">
        <v>204</v>
      </c>
      <c r="L76" t="s">
        <v>218</v>
      </c>
      <c r="M76" t="s">
        <v>225</v>
      </c>
    </row>
    <row r="77" spans="1:13" x14ac:dyDescent="0.25">
      <c r="A77" t="s">
        <v>325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198</v>
      </c>
      <c r="K78" t="s">
        <v>241</v>
      </c>
      <c r="L78" t="s">
        <v>218</v>
      </c>
      <c r="M78" t="s">
        <v>225</v>
      </c>
    </row>
    <row r="79" spans="1:13" x14ac:dyDescent="0.25">
      <c r="A79" t="s">
        <v>40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0</v>
      </c>
      <c r="I79">
        <v>0</v>
      </c>
      <c r="J79" t="s">
        <v>198</v>
      </c>
      <c r="K79" t="s">
        <v>206</v>
      </c>
      <c r="L79" t="s">
        <v>218</v>
      </c>
      <c r="M79" t="s">
        <v>225</v>
      </c>
    </row>
    <row r="80" spans="1:13" x14ac:dyDescent="0.25">
      <c r="A80" t="s">
        <v>270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198</v>
      </c>
      <c r="K80" t="s">
        <v>207</v>
      </c>
      <c r="L80" t="s">
        <v>218</v>
      </c>
      <c r="M80" t="s">
        <v>225</v>
      </c>
    </row>
    <row r="81" spans="1:13" x14ac:dyDescent="0.25">
      <c r="A81" t="s">
        <v>327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198</v>
      </c>
      <c r="K81" t="s">
        <v>233</v>
      </c>
      <c r="L81" t="s">
        <v>218</v>
      </c>
      <c r="M81" t="s">
        <v>225</v>
      </c>
    </row>
    <row r="82" spans="1:13" x14ac:dyDescent="0.25">
      <c r="A82" t="s">
        <v>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198</v>
      </c>
      <c r="K83" t="s">
        <v>203</v>
      </c>
      <c r="L83" t="s">
        <v>219</v>
      </c>
      <c r="M83" t="s">
        <v>225</v>
      </c>
    </row>
    <row r="84" spans="1:13" x14ac:dyDescent="0.25">
      <c r="A84" t="s">
        <v>43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198</v>
      </c>
      <c r="K84" t="s">
        <v>204</v>
      </c>
      <c r="L84" t="s">
        <v>219</v>
      </c>
      <c r="M84" t="s">
        <v>225</v>
      </c>
    </row>
    <row r="85" spans="1:13" x14ac:dyDescent="0.25">
      <c r="A85" t="s">
        <v>328</v>
      </c>
      <c r="B85">
        <v>0</v>
      </c>
      <c r="C85">
        <v>0</v>
      </c>
      <c r="D85">
        <v>0</v>
      </c>
      <c r="E85">
        <v>1</v>
      </c>
      <c r="F85">
        <v>1</v>
      </c>
      <c r="G85">
        <v>0</v>
      </c>
      <c r="H85">
        <v>1</v>
      </c>
      <c r="I85">
        <v>1</v>
      </c>
      <c r="J85" t="s">
        <v>198</v>
      </c>
      <c r="K85" t="s">
        <v>239</v>
      </c>
      <c r="L85" t="s">
        <v>219</v>
      </c>
      <c r="M85" t="s">
        <v>225</v>
      </c>
    </row>
    <row r="86" spans="1:13" x14ac:dyDescent="0.25">
      <c r="A86" t="s">
        <v>329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198</v>
      </c>
      <c r="K86" t="s">
        <v>241</v>
      </c>
      <c r="L86" t="s">
        <v>219</v>
      </c>
      <c r="M86" t="s">
        <v>225</v>
      </c>
    </row>
    <row r="87" spans="1:13" x14ac:dyDescent="0.25">
      <c r="A87" t="s">
        <v>44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198</v>
      </c>
      <c r="K88" t="s">
        <v>207</v>
      </c>
      <c r="L88" t="s">
        <v>219</v>
      </c>
      <c r="M88" t="s">
        <v>225</v>
      </c>
    </row>
    <row r="89" spans="1:13" x14ac:dyDescent="0.25">
      <c r="A89" t="s">
        <v>330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198</v>
      </c>
      <c r="K89" t="s">
        <v>233</v>
      </c>
      <c r="L89" t="s">
        <v>219</v>
      </c>
      <c r="M89" t="s">
        <v>225</v>
      </c>
    </row>
    <row r="90" spans="1:13" x14ac:dyDescent="0.25">
      <c r="A90" t="s">
        <v>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198</v>
      </c>
      <c r="K90" t="s">
        <v>202</v>
      </c>
      <c r="L90" t="s">
        <v>220</v>
      </c>
      <c r="M90" t="s">
        <v>225</v>
      </c>
    </row>
    <row r="91" spans="1:13" x14ac:dyDescent="0.25">
      <c r="A91" t="s">
        <v>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198</v>
      </c>
      <c r="K91" t="s">
        <v>203</v>
      </c>
      <c r="L91" t="s">
        <v>220</v>
      </c>
      <c r="M91" t="s">
        <v>225</v>
      </c>
    </row>
    <row r="92" spans="1:13" x14ac:dyDescent="0.25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0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 t="s">
        <v>198</v>
      </c>
      <c r="K93" t="s">
        <v>239</v>
      </c>
      <c r="L93" t="s">
        <v>220</v>
      </c>
      <c r="M93" t="s">
        <v>225</v>
      </c>
    </row>
    <row r="94" spans="1:13" x14ac:dyDescent="0.25">
      <c r="A94" t="s">
        <v>332</v>
      </c>
      <c r="B94">
        <v>1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 t="s">
        <v>198</v>
      </c>
      <c r="K94" t="s">
        <v>241</v>
      </c>
      <c r="L94" t="s">
        <v>220</v>
      </c>
      <c r="M94" t="s">
        <v>225</v>
      </c>
    </row>
    <row r="95" spans="1:13" x14ac:dyDescent="0.25">
      <c r="A95" t="s">
        <v>48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 t="s">
        <v>198</v>
      </c>
      <c r="K95" t="s">
        <v>206</v>
      </c>
      <c r="L95" t="s">
        <v>220</v>
      </c>
      <c r="M95" t="s">
        <v>225</v>
      </c>
    </row>
    <row r="96" spans="1:13" x14ac:dyDescent="0.25">
      <c r="A96" t="s">
        <v>272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198</v>
      </c>
      <c r="K96" t="s">
        <v>207</v>
      </c>
      <c r="L96" t="s">
        <v>220</v>
      </c>
      <c r="M96" t="s">
        <v>225</v>
      </c>
    </row>
    <row r="97" spans="1:13" x14ac:dyDescent="0.25">
      <c r="A97" t="s">
        <v>333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198</v>
      </c>
      <c r="K98" t="s">
        <v>202</v>
      </c>
      <c r="L98" t="s">
        <v>221</v>
      </c>
      <c r="M98" t="s">
        <v>225</v>
      </c>
    </row>
    <row r="99" spans="1:13" x14ac:dyDescent="0.25">
      <c r="A99" t="s">
        <v>50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 t="s">
        <v>198</v>
      </c>
      <c r="K99" t="s">
        <v>203</v>
      </c>
      <c r="L99" t="s">
        <v>221</v>
      </c>
      <c r="M99" t="s">
        <v>225</v>
      </c>
    </row>
    <row r="100" spans="1:13" x14ac:dyDescent="0.25">
      <c r="A100" t="s">
        <v>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198</v>
      </c>
      <c r="K100" t="s">
        <v>204</v>
      </c>
      <c r="L100" t="s">
        <v>221</v>
      </c>
      <c r="M100" t="s">
        <v>225</v>
      </c>
    </row>
    <row r="101" spans="1:13" x14ac:dyDescent="0.25">
      <c r="A101" t="s">
        <v>334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 t="s">
        <v>198</v>
      </c>
      <c r="K101" t="s">
        <v>239</v>
      </c>
      <c r="L101" t="s">
        <v>221</v>
      </c>
      <c r="M101" t="s">
        <v>225</v>
      </c>
    </row>
    <row r="102" spans="1:13" x14ac:dyDescent="0.25">
      <c r="A102" t="s">
        <v>335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 t="s">
        <v>198</v>
      </c>
      <c r="K103" t="s">
        <v>206</v>
      </c>
      <c r="L103" t="s">
        <v>221</v>
      </c>
      <c r="M103" t="s">
        <v>225</v>
      </c>
    </row>
    <row r="104" spans="1:13" x14ac:dyDescent="0.25">
      <c r="A104" t="s">
        <v>273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198</v>
      </c>
      <c r="K104" t="s">
        <v>207</v>
      </c>
      <c r="L104" t="s">
        <v>221</v>
      </c>
      <c r="M104" t="s">
        <v>225</v>
      </c>
    </row>
    <row r="105" spans="1:13" x14ac:dyDescent="0.25">
      <c r="A105" t="s">
        <v>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198</v>
      </c>
      <c r="K105" t="s">
        <v>233</v>
      </c>
      <c r="L105" t="s">
        <v>221</v>
      </c>
      <c r="M105" t="s">
        <v>225</v>
      </c>
    </row>
    <row r="106" spans="1:13" x14ac:dyDescent="0.25">
      <c r="A106" t="s">
        <v>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198</v>
      </c>
      <c r="K106" t="s">
        <v>202</v>
      </c>
      <c r="L106" t="s">
        <v>222</v>
      </c>
      <c r="M106" t="s">
        <v>225</v>
      </c>
    </row>
    <row r="107" spans="1:13" x14ac:dyDescent="0.25">
      <c r="A107" t="s">
        <v>54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198</v>
      </c>
      <c r="K108" t="s">
        <v>204</v>
      </c>
      <c r="L108" t="s">
        <v>222</v>
      </c>
      <c r="M108" t="s">
        <v>225</v>
      </c>
    </row>
    <row r="109" spans="1:13" x14ac:dyDescent="0.25">
      <c r="A109" t="s">
        <v>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198</v>
      </c>
      <c r="K109" t="s">
        <v>239</v>
      </c>
      <c r="L109" t="s">
        <v>222</v>
      </c>
      <c r="M109" t="s">
        <v>225</v>
      </c>
    </row>
    <row r="110" spans="1:13" x14ac:dyDescent="0.25">
      <c r="A110" t="s">
        <v>338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 t="s">
        <v>198</v>
      </c>
      <c r="K110" t="s">
        <v>241</v>
      </c>
      <c r="L110" t="s">
        <v>222</v>
      </c>
      <c r="M110" t="s">
        <v>225</v>
      </c>
    </row>
    <row r="111" spans="1:13" x14ac:dyDescent="0.25">
      <c r="A111" t="s">
        <v>56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198</v>
      </c>
      <c r="K111" t="s">
        <v>206</v>
      </c>
      <c r="L111" t="s">
        <v>222</v>
      </c>
      <c r="M111" t="s">
        <v>225</v>
      </c>
    </row>
    <row r="112" spans="1:13" x14ac:dyDescent="0.25">
      <c r="A112" t="s">
        <v>274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198</v>
      </c>
      <c r="K113" t="s">
        <v>233</v>
      </c>
      <c r="L113" t="s">
        <v>222</v>
      </c>
      <c r="M113" t="s">
        <v>225</v>
      </c>
    </row>
    <row r="114" spans="1:13" x14ac:dyDescent="0.25">
      <c r="A114" t="s">
        <v>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198</v>
      </c>
      <c r="K114" t="s">
        <v>202</v>
      </c>
      <c r="L114" t="s">
        <v>223</v>
      </c>
      <c r="M114" t="s">
        <v>225</v>
      </c>
    </row>
    <row r="115" spans="1:13" x14ac:dyDescent="0.25">
      <c r="A115" t="s">
        <v>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198</v>
      </c>
      <c r="K115" t="s">
        <v>203</v>
      </c>
      <c r="L115" t="s">
        <v>223</v>
      </c>
      <c r="M115" t="s">
        <v>225</v>
      </c>
    </row>
    <row r="116" spans="1:13" x14ac:dyDescent="0.25">
      <c r="A116" t="s">
        <v>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198</v>
      </c>
      <c r="K116" t="s">
        <v>204</v>
      </c>
      <c r="L116" t="s">
        <v>223</v>
      </c>
      <c r="M116" t="s">
        <v>225</v>
      </c>
    </row>
    <row r="117" spans="1:13" x14ac:dyDescent="0.25">
      <c r="A117" t="s">
        <v>340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1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 t="s">
        <v>198</v>
      </c>
      <c r="K118" t="s">
        <v>241</v>
      </c>
      <c r="L118" t="s">
        <v>223</v>
      </c>
      <c r="M118" t="s">
        <v>225</v>
      </c>
    </row>
    <row r="119" spans="1:13" x14ac:dyDescent="0.25">
      <c r="A119" t="s">
        <v>60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 t="s">
        <v>198</v>
      </c>
      <c r="K119" t="s">
        <v>206</v>
      </c>
      <c r="L119" t="s">
        <v>223</v>
      </c>
      <c r="M119" t="s">
        <v>225</v>
      </c>
    </row>
    <row r="120" spans="1:13" x14ac:dyDescent="0.25">
      <c r="A120" t="s">
        <v>275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198</v>
      </c>
      <c r="K120" t="s">
        <v>207</v>
      </c>
      <c r="L120" t="s">
        <v>223</v>
      </c>
      <c r="M120" t="s">
        <v>225</v>
      </c>
    </row>
    <row r="121" spans="1:13" x14ac:dyDescent="0.25">
      <c r="A121" t="s">
        <v>342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198</v>
      </c>
      <c r="K121" t="s">
        <v>233</v>
      </c>
      <c r="L121" t="s">
        <v>223</v>
      </c>
      <c r="M121" t="s">
        <v>225</v>
      </c>
    </row>
    <row r="122" spans="1:13" x14ac:dyDescent="0.25">
      <c r="A122" t="s">
        <v>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199</v>
      </c>
      <c r="K123" t="s">
        <v>203</v>
      </c>
      <c r="L123" t="s">
        <v>209</v>
      </c>
      <c r="M123" t="s">
        <v>225</v>
      </c>
    </row>
    <row r="124" spans="1:13" x14ac:dyDescent="0.25">
      <c r="A124" t="s">
        <v>63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199</v>
      </c>
      <c r="K124" t="s">
        <v>204</v>
      </c>
      <c r="L124" t="s">
        <v>209</v>
      </c>
      <c r="M124" t="s">
        <v>225</v>
      </c>
    </row>
    <row r="125" spans="1:13" x14ac:dyDescent="0.25">
      <c r="A125" t="s">
        <v>343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 t="s">
        <v>199</v>
      </c>
      <c r="K125" t="s">
        <v>239</v>
      </c>
      <c r="L125" t="s">
        <v>209</v>
      </c>
      <c r="M125" t="s">
        <v>225</v>
      </c>
    </row>
    <row r="126" spans="1:13" x14ac:dyDescent="0.25">
      <c r="A126" t="s">
        <v>344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 t="s">
        <v>199</v>
      </c>
      <c r="K126" t="s">
        <v>241</v>
      </c>
      <c r="L126" t="s">
        <v>209</v>
      </c>
      <c r="M126" t="s">
        <v>225</v>
      </c>
    </row>
    <row r="127" spans="1:13" x14ac:dyDescent="0.25">
      <c r="A127" t="s">
        <v>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199</v>
      </c>
      <c r="K128" t="s">
        <v>207</v>
      </c>
      <c r="L128" t="s">
        <v>209</v>
      </c>
      <c r="M128" t="s">
        <v>225</v>
      </c>
    </row>
    <row r="129" spans="1:13" x14ac:dyDescent="0.25">
      <c r="A129" t="s">
        <v>345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199</v>
      </c>
      <c r="K129" t="s">
        <v>233</v>
      </c>
      <c r="L129" t="s">
        <v>209</v>
      </c>
      <c r="M129" t="s">
        <v>225</v>
      </c>
    </row>
    <row r="130" spans="1:13" x14ac:dyDescent="0.25">
      <c r="A130" t="s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199</v>
      </c>
      <c r="K130" t="s">
        <v>202</v>
      </c>
      <c r="L130" t="s">
        <v>210</v>
      </c>
      <c r="M130" t="s">
        <v>225</v>
      </c>
    </row>
    <row r="131" spans="1:13" x14ac:dyDescent="0.25">
      <c r="A131" t="s">
        <v>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199</v>
      </c>
      <c r="K131" t="s">
        <v>203</v>
      </c>
      <c r="L131" t="s">
        <v>210</v>
      </c>
      <c r="M131" t="s">
        <v>225</v>
      </c>
    </row>
    <row r="132" spans="1:13" x14ac:dyDescent="0.25">
      <c r="A132" t="s">
        <v>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199</v>
      </c>
      <c r="K133" t="s">
        <v>239</v>
      </c>
      <c r="L133" t="s">
        <v>210</v>
      </c>
      <c r="M133" t="s">
        <v>225</v>
      </c>
    </row>
    <row r="134" spans="1:13" x14ac:dyDescent="0.25">
      <c r="A134" t="s">
        <v>347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 t="s">
        <v>199</v>
      </c>
      <c r="K134" t="s">
        <v>241</v>
      </c>
      <c r="L134" t="s">
        <v>210</v>
      </c>
      <c r="M134" t="s">
        <v>225</v>
      </c>
    </row>
    <row r="135" spans="1:13" x14ac:dyDescent="0.25">
      <c r="A135" t="s">
        <v>68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199</v>
      </c>
      <c r="K135" t="s">
        <v>206</v>
      </c>
      <c r="L135" t="s">
        <v>210</v>
      </c>
      <c r="M135" t="s">
        <v>225</v>
      </c>
    </row>
    <row r="136" spans="1:13" x14ac:dyDescent="0.25">
      <c r="A136" t="s">
        <v>277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199</v>
      </c>
      <c r="K136" t="s">
        <v>207</v>
      </c>
      <c r="L136" t="s">
        <v>210</v>
      </c>
      <c r="M136" t="s">
        <v>225</v>
      </c>
    </row>
    <row r="137" spans="1:13" x14ac:dyDescent="0.25">
      <c r="A137" t="s">
        <v>348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199</v>
      </c>
      <c r="K138" t="s">
        <v>202</v>
      </c>
      <c r="L138" t="s">
        <v>211</v>
      </c>
      <c r="M138" t="s">
        <v>225</v>
      </c>
    </row>
    <row r="139" spans="1:13" x14ac:dyDescent="0.25">
      <c r="A139" t="s">
        <v>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199</v>
      </c>
      <c r="K139" t="s">
        <v>203</v>
      </c>
      <c r="L139" t="s">
        <v>211</v>
      </c>
      <c r="M139" t="s">
        <v>225</v>
      </c>
    </row>
    <row r="140" spans="1:13" x14ac:dyDescent="0.25">
      <c r="A140" t="s">
        <v>71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 t="s">
        <v>199</v>
      </c>
      <c r="K140" t="s">
        <v>204</v>
      </c>
      <c r="L140" t="s">
        <v>211</v>
      </c>
      <c r="M140" t="s">
        <v>225</v>
      </c>
    </row>
    <row r="141" spans="1:13" x14ac:dyDescent="0.25">
      <c r="A141" t="s">
        <v>349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0</v>
      </c>
      <c r="J141" t="s">
        <v>199</v>
      </c>
      <c r="K141" t="s">
        <v>239</v>
      </c>
      <c r="L141" t="s">
        <v>211</v>
      </c>
      <c r="M141" t="s">
        <v>225</v>
      </c>
    </row>
    <row r="142" spans="1:13" x14ac:dyDescent="0.25">
      <c r="A142" t="s">
        <v>350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1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199</v>
      </c>
      <c r="K143" t="s">
        <v>206</v>
      </c>
      <c r="L143" t="s">
        <v>211</v>
      </c>
      <c r="M143" t="s">
        <v>225</v>
      </c>
    </row>
    <row r="144" spans="1:13" x14ac:dyDescent="0.25">
      <c r="A144" t="s">
        <v>278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199</v>
      </c>
      <c r="K144" t="s">
        <v>207</v>
      </c>
      <c r="L144" t="s">
        <v>211</v>
      </c>
      <c r="M144" t="s">
        <v>225</v>
      </c>
    </row>
    <row r="145" spans="1:13" x14ac:dyDescent="0.25">
      <c r="A145" t="s">
        <v>351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 t="s">
        <v>199</v>
      </c>
      <c r="K145" t="s">
        <v>233</v>
      </c>
      <c r="L145" t="s">
        <v>211</v>
      </c>
      <c r="M145" t="s">
        <v>225</v>
      </c>
    </row>
    <row r="146" spans="1:13" x14ac:dyDescent="0.25">
      <c r="A146" t="s">
        <v>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199</v>
      </c>
      <c r="K146" t="s">
        <v>202</v>
      </c>
      <c r="L146" t="s">
        <v>212</v>
      </c>
      <c r="M146" t="s">
        <v>225</v>
      </c>
    </row>
    <row r="147" spans="1:13" x14ac:dyDescent="0.25">
      <c r="A147" t="s">
        <v>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199</v>
      </c>
      <c r="K148" t="s">
        <v>204</v>
      </c>
      <c r="L148" t="s">
        <v>212</v>
      </c>
      <c r="M148" t="s">
        <v>225</v>
      </c>
    </row>
    <row r="149" spans="1:13" x14ac:dyDescent="0.25">
      <c r="A149" t="s">
        <v>352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199</v>
      </c>
      <c r="K149" t="s">
        <v>239</v>
      </c>
      <c r="L149" t="s">
        <v>212</v>
      </c>
      <c r="M149" t="s">
        <v>225</v>
      </c>
    </row>
    <row r="150" spans="1:13" x14ac:dyDescent="0.25">
      <c r="A150" t="s">
        <v>353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 t="s">
        <v>199</v>
      </c>
      <c r="K150" t="s">
        <v>241</v>
      </c>
      <c r="L150" t="s">
        <v>212</v>
      </c>
      <c r="M150" t="s">
        <v>225</v>
      </c>
    </row>
    <row r="151" spans="1:13" x14ac:dyDescent="0.25">
      <c r="A151" t="s">
        <v>76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199</v>
      </c>
      <c r="K151" t="s">
        <v>206</v>
      </c>
      <c r="L151" t="s">
        <v>212</v>
      </c>
      <c r="M151" t="s">
        <v>225</v>
      </c>
    </row>
    <row r="152" spans="1:13" x14ac:dyDescent="0.25">
      <c r="A152" t="s">
        <v>279</v>
      </c>
      <c r="B152">
        <v>1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199</v>
      </c>
      <c r="K153" t="s">
        <v>233</v>
      </c>
      <c r="L153" t="s">
        <v>212</v>
      </c>
      <c r="M153" t="s">
        <v>225</v>
      </c>
    </row>
    <row r="154" spans="1:13" x14ac:dyDescent="0.25">
      <c r="A154" t="s">
        <v>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199</v>
      </c>
      <c r="K154" t="s">
        <v>202</v>
      </c>
      <c r="L154" t="s">
        <v>213</v>
      </c>
      <c r="M154" t="s">
        <v>225</v>
      </c>
    </row>
    <row r="155" spans="1:13" x14ac:dyDescent="0.25">
      <c r="A155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199</v>
      </c>
      <c r="K155" t="s">
        <v>203</v>
      </c>
      <c r="L155" t="s">
        <v>213</v>
      </c>
      <c r="M155" t="s">
        <v>225</v>
      </c>
    </row>
    <row r="156" spans="1:13" x14ac:dyDescent="0.25">
      <c r="A156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199</v>
      </c>
      <c r="K156" t="s">
        <v>204</v>
      </c>
      <c r="L156" t="s">
        <v>213</v>
      </c>
      <c r="M156" t="s">
        <v>225</v>
      </c>
    </row>
    <row r="157" spans="1:13" x14ac:dyDescent="0.25">
      <c r="A157" t="s">
        <v>355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199</v>
      </c>
      <c r="K158" t="s">
        <v>241</v>
      </c>
      <c r="L158" t="s">
        <v>213</v>
      </c>
      <c r="M158" t="s">
        <v>225</v>
      </c>
    </row>
    <row r="159" spans="1:13" x14ac:dyDescent="0.25">
      <c r="A159" t="s">
        <v>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199</v>
      </c>
      <c r="K159" t="s">
        <v>206</v>
      </c>
      <c r="L159" t="s">
        <v>213</v>
      </c>
      <c r="M159" t="s">
        <v>225</v>
      </c>
    </row>
    <row r="160" spans="1:13" x14ac:dyDescent="0.25">
      <c r="A160" t="s">
        <v>280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199</v>
      </c>
      <c r="K160" t="s">
        <v>207</v>
      </c>
      <c r="L160" t="s">
        <v>213</v>
      </c>
      <c r="M160" t="s">
        <v>225</v>
      </c>
    </row>
    <row r="161" spans="1:13" x14ac:dyDescent="0.25">
      <c r="A161" t="s">
        <v>357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199</v>
      </c>
      <c r="K161" t="s">
        <v>233</v>
      </c>
      <c r="L161" t="s">
        <v>213</v>
      </c>
      <c r="M161" t="s">
        <v>225</v>
      </c>
    </row>
    <row r="162" spans="1:13" x14ac:dyDescent="0.25">
      <c r="A162" t="s">
        <v>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 t="s">
        <v>199</v>
      </c>
      <c r="K163" t="s">
        <v>203</v>
      </c>
      <c r="L163" t="s">
        <v>214</v>
      </c>
      <c r="M163" t="s">
        <v>225</v>
      </c>
    </row>
    <row r="164" spans="1:13" x14ac:dyDescent="0.25">
      <c r="A164" t="s">
        <v>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199</v>
      </c>
      <c r="K164" t="s">
        <v>204</v>
      </c>
      <c r="L164" t="s">
        <v>214</v>
      </c>
      <c r="M164" t="s">
        <v>225</v>
      </c>
    </row>
    <row r="165" spans="1:13" x14ac:dyDescent="0.25">
      <c r="A165" t="s">
        <v>358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 t="s">
        <v>199</v>
      </c>
      <c r="K165" t="s">
        <v>239</v>
      </c>
      <c r="L165" t="s">
        <v>214</v>
      </c>
      <c r="M165" t="s">
        <v>225</v>
      </c>
    </row>
    <row r="166" spans="1:13" x14ac:dyDescent="0.25">
      <c r="A166" t="s">
        <v>359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199</v>
      </c>
      <c r="K166" t="s">
        <v>241</v>
      </c>
      <c r="L166" t="s">
        <v>214</v>
      </c>
      <c r="M166" t="s">
        <v>225</v>
      </c>
    </row>
    <row r="167" spans="1:13" x14ac:dyDescent="0.25">
      <c r="A167" t="s">
        <v>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199</v>
      </c>
      <c r="K168" t="s">
        <v>207</v>
      </c>
      <c r="L168" t="s">
        <v>214</v>
      </c>
      <c r="M168" t="s">
        <v>225</v>
      </c>
    </row>
    <row r="169" spans="1:13" x14ac:dyDescent="0.25">
      <c r="A169" t="s">
        <v>360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199</v>
      </c>
      <c r="K169" t="s">
        <v>233</v>
      </c>
      <c r="L169" t="s">
        <v>214</v>
      </c>
      <c r="M169" t="s">
        <v>225</v>
      </c>
    </row>
    <row r="170" spans="1:13" x14ac:dyDescent="0.25">
      <c r="A170" t="s">
        <v>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199</v>
      </c>
      <c r="K170" t="s">
        <v>202</v>
      </c>
      <c r="L170" t="s">
        <v>215</v>
      </c>
      <c r="M170" t="s">
        <v>225</v>
      </c>
    </row>
    <row r="171" spans="1:13" x14ac:dyDescent="0.25">
      <c r="A171" t="s">
        <v>86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 t="s">
        <v>199</v>
      </c>
      <c r="K171" t="s">
        <v>203</v>
      </c>
      <c r="L171" t="s">
        <v>215</v>
      </c>
      <c r="M171" t="s">
        <v>225</v>
      </c>
    </row>
    <row r="172" spans="1:13" x14ac:dyDescent="0.25">
      <c r="A172" t="s">
        <v>87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0</v>
      </c>
      <c r="J173" t="s">
        <v>199</v>
      </c>
      <c r="K173" t="s">
        <v>239</v>
      </c>
      <c r="L173" t="s">
        <v>215</v>
      </c>
      <c r="M173" t="s">
        <v>225</v>
      </c>
    </row>
    <row r="174" spans="1:13" x14ac:dyDescent="0.25">
      <c r="A174" t="s">
        <v>362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 t="s">
        <v>199</v>
      </c>
      <c r="K174" t="s">
        <v>241</v>
      </c>
      <c r="L174" t="s">
        <v>215</v>
      </c>
      <c r="M174" t="s">
        <v>225</v>
      </c>
    </row>
    <row r="175" spans="1:13" x14ac:dyDescent="0.25">
      <c r="A175" t="s">
        <v>88</v>
      </c>
      <c r="B175">
        <v>1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199</v>
      </c>
      <c r="K175" t="s">
        <v>206</v>
      </c>
      <c r="L175" t="s">
        <v>215</v>
      </c>
      <c r="M175" t="s">
        <v>225</v>
      </c>
    </row>
    <row r="176" spans="1:13" x14ac:dyDescent="0.25">
      <c r="A176" t="s">
        <v>282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 t="s">
        <v>199</v>
      </c>
      <c r="K176" t="s">
        <v>207</v>
      </c>
      <c r="L176" t="s">
        <v>215</v>
      </c>
      <c r="M176" t="s">
        <v>225</v>
      </c>
    </row>
    <row r="177" spans="1:13" x14ac:dyDescent="0.25">
      <c r="A177" t="s">
        <v>363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199</v>
      </c>
      <c r="K178" t="s">
        <v>202</v>
      </c>
      <c r="L178" t="s">
        <v>216</v>
      </c>
      <c r="M178" t="s">
        <v>225</v>
      </c>
    </row>
    <row r="179" spans="1:13" x14ac:dyDescent="0.25">
      <c r="A179" t="s">
        <v>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199</v>
      </c>
      <c r="K179" t="s">
        <v>203</v>
      </c>
      <c r="L179" t="s">
        <v>216</v>
      </c>
      <c r="M179" t="s">
        <v>225</v>
      </c>
    </row>
    <row r="180" spans="1:13" x14ac:dyDescent="0.25">
      <c r="A180" t="s">
        <v>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199</v>
      </c>
      <c r="K180" t="s">
        <v>204</v>
      </c>
      <c r="L180" t="s">
        <v>216</v>
      </c>
      <c r="M180" t="s">
        <v>225</v>
      </c>
    </row>
    <row r="181" spans="1:13" x14ac:dyDescent="0.25">
      <c r="A181" t="s">
        <v>364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0</v>
      </c>
      <c r="J181" t="s">
        <v>199</v>
      </c>
      <c r="K181" t="s">
        <v>239</v>
      </c>
      <c r="L181" t="s">
        <v>216</v>
      </c>
      <c r="M181" t="s">
        <v>225</v>
      </c>
    </row>
    <row r="182" spans="1:13" x14ac:dyDescent="0.25">
      <c r="A182" t="s">
        <v>365</v>
      </c>
      <c r="B182">
        <v>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 t="s">
        <v>199</v>
      </c>
      <c r="K183" t="s">
        <v>206</v>
      </c>
      <c r="L183" t="s">
        <v>216</v>
      </c>
      <c r="M183" t="s">
        <v>225</v>
      </c>
    </row>
    <row r="184" spans="1:13" x14ac:dyDescent="0.25">
      <c r="A184" t="s">
        <v>283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 t="s">
        <v>199</v>
      </c>
      <c r="K184" t="s">
        <v>207</v>
      </c>
      <c r="L184" t="s">
        <v>216</v>
      </c>
      <c r="M184" t="s">
        <v>225</v>
      </c>
    </row>
    <row r="185" spans="1:13" x14ac:dyDescent="0.25">
      <c r="A185" t="s">
        <v>366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199</v>
      </c>
      <c r="K185" t="s">
        <v>233</v>
      </c>
      <c r="L185" t="s">
        <v>216</v>
      </c>
      <c r="M185" t="s">
        <v>225</v>
      </c>
    </row>
    <row r="186" spans="1:13" x14ac:dyDescent="0.25">
      <c r="A186" t="s">
        <v>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199</v>
      </c>
      <c r="K186" t="s">
        <v>202</v>
      </c>
      <c r="L186" t="s">
        <v>217</v>
      </c>
      <c r="M186" t="s">
        <v>225</v>
      </c>
    </row>
    <row r="187" spans="1:13" x14ac:dyDescent="0.25">
      <c r="A187" t="s">
        <v>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199</v>
      </c>
      <c r="K188" t="s">
        <v>204</v>
      </c>
      <c r="L188" t="s">
        <v>217</v>
      </c>
      <c r="M188" t="s">
        <v>225</v>
      </c>
    </row>
    <row r="189" spans="1:13" x14ac:dyDescent="0.25">
      <c r="A189" t="s">
        <v>367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 t="s">
        <v>199</v>
      </c>
      <c r="K189" t="s">
        <v>239</v>
      </c>
      <c r="L189" t="s">
        <v>217</v>
      </c>
      <c r="M189" t="s">
        <v>225</v>
      </c>
    </row>
    <row r="190" spans="1:13" x14ac:dyDescent="0.25">
      <c r="A190" t="s">
        <v>368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0</v>
      </c>
      <c r="J190" t="s">
        <v>199</v>
      </c>
      <c r="K190" t="s">
        <v>241</v>
      </c>
      <c r="L190" t="s">
        <v>217</v>
      </c>
      <c r="M190" t="s">
        <v>225</v>
      </c>
    </row>
    <row r="191" spans="1:13" x14ac:dyDescent="0.25">
      <c r="A191" t="s">
        <v>96</v>
      </c>
      <c r="B191">
        <v>1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199</v>
      </c>
      <c r="K191" t="s">
        <v>206</v>
      </c>
      <c r="L191" t="s">
        <v>217</v>
      </c>
      <c r="M191" t="s">
        <v>225</v>
      </c>
    </row>
    <row r="192" spans="1:13" x14ac:dyDescent="0.25">
      <c r="A192" t="s">
        <v>284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199</v>
      </c>
      <c r="K193" t="s">
        <v>233</v>
      </c>
      <c r="L193" t="s">
        <v>217</v>
      </c>
      <c r="M193" t="s">
        <v>225</v>
      </c>
    </row>
    <row r="194" spans="1:13" x14ac:dyDescent="0.25">
      <c r="A194" t="s">
        <v>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199</v>
      </c>
      <c r="K194" t="s">
        <v>202</v>
      </c>
      <c r="L194" t="s">
        <v>218</v>
      </c>
      <c r="M194" t="s">
        <v>225</v>
      </c>
    </row>
    <row r="195" spans="1:13" x14ac:dyDescent="0.25">
      <c r="A195" t="s">
        <v>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199</v>
      </c>
      <c r="K195" t="s">
        <v>203</v>
      </c>
      <c r="L195" t="s">
        <v>218</v>
      </c>
      <c r="M195" t="s">
        <v>225</v>
      </c>
    </row>
    <row r="196" spans="1:13" x14ac:dyDescent="0.25">
      <c r="A196" t="s">
        <v>99</v>
      </c>
      <c r="B196">
        <v>1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 t="s">
        <v>199</v>
      </c>
      <c r="K196" t="s">
        <v>204</v>
      </c>
      <c r="L196" t="s">
        <v>218</v>
      </c>
      <c r="M196" t="s">
        <v>225</v>
      </c>
    </row>
    <row r="197" spans="1:13" x14ac:dyDescent="0.25">
      <c r="A197" t="s">
        <v>370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199</v>
      </c>
      <c r="K198" t="s">
        <v>241</v>
      </c>
      <c r="L198" t="s">
        <v>218</v>
      </c>
      <c r="M198" t="s">
        <v>225</v>
      </c>
    </row>
    <row r="199" spans="1:13" x14ac:dyDescent="0.25">
      <c r="A199" t="s">
        <v>100</v>
      </c>
      <c r="B199">
        <v>1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</v>
      </c>
      <c r="J199" t="s">
        <v>199</v>
      </c>
      <c r="K199" t="s">
        <v>206</v>
      </c>
      <c r="L199" t="s">
        <v>218</v>
      </c>
      <c r="M199" t="s">
        <v>225</v>
      </c>
    </row>
    <row r="200" spans="1:13" x14ac:dyDescent="0.25">
      <c r="A200" t="s">
        <v>285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199</v>
      </c>
      <c r="K200" t="s">
        <v>207</v>
      </c>
      <c r="L200" t="s">
        <v>218</v>
      </c>
      <c r="M200" t="s">
        <v>225</v>
      </c>
    </row>
    <row r="201" spans="1:13" x14ac:dyDescent="0.25">
      <c r="A201" t="s">
        <v>372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199</v>
      </c>
      <c r="K201" t="s">
        <v>233</v>
      </c>
      <c r="L201" t="s">
        <v>218</v>
      </c>
      <c r="M201" t="s">
        <v>225</v>
      </c>
    </row>
    <row r="202" spans="1:13" x14ac:dyDescent="0.25">
      <c r="A202" t="s">
        <v>101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 t="s">
        <v>199</v>
      </c>
      <c r="K203" t="s">
        <v>203</v>
      </c>
      <c r="L203" t="s">
        <v>219</v>
      </c>
      <c r="M203" t="s">
        <v>225</v>
      </c>
    </row>
    <row r="204" spans="1:13" x14ac:dyDescent="0.25">
      <c r="A204" t="s">
        <v>103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199</v>
      </c>
      <c r="K204" t="s">
        <v>204</v>
      </c>
      <c r="L204" t="s">
        <v>219</v>
      </c>
      <c r="M204" t="s">
        <v>225</v>
      </c>
    </row>
    <row r="205" spans="1:13" x14ac:dyDescent="0.25">
      <c r="A205" t="s">
        <v>373</v>
      </c>
      <c r="B205">
        <v>0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1</v>
      </c>
      <c r="J205" t="s">
        <v>199</v>
      </c>
      <c r="K205" t="s">
        <v>239</v>
      </c>
      <c r="L205" t="s">
        <v>219</v>
      </c>
      <c r="M205" t="s">
        <v>225</v>
      </c>
    </row>
    <row r="206" spans="1:13" x14ac:dyDescent="0.25">
      <c r="A206" t="s">
        <v>374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199</v>
      </c>
      <c r="K206" t="s">
        <v>241</v>
      </c>
      <c r="L206" t="s">
        <v>219</v>
      </c>
      <c r="M206" t="s">
        <v>225</v>
      </c>
    </row>
    <row r="207" spans="1:13" x14ac:dyDescent="0.25">
      <c r="A207" t="s">
        <v>104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1</v>
      </c>
      <c r="J208" t="s">
        <v>199</v>
      </c>
      <c r="K208" t="s">
        <v>207</v>
      </c>
      <c r="L208" t="s">
        <v>219</v>
      </c>
      <c r="M208" t="s">
        <v>225</v>
      </c>
    </row>
    <row r="209" spans="1:13" x14ac:dyDescent="0.25">
      <c r="A209" t="s">
        <v>375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199</v>
      </c>
      <c r="K209" t="s">
        <v>233</v>
      </c>
      <c r="L209" t="s">
        <v>219</v>
      </c>
      <c r="M209" t="s">
        <v>225</v>
      </c>
    </row>
    <row r="210" spans="1:13" x14ac:dyDescent="0.25">
      <c r="A210" t="s">
        <v>105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199</v>
      </c>
      <c r="K210" t="s">
        <v>202</v>
      </c>
      <c r="L210" t="s">
        <v>220</v>
      </c>
      <c r="M210" t="s">
        <v>225</v>
      </c>
    </row>
    <row r="211" spans="1:13" x14ac:dyDescent="0.25">
      <c r="A211" t="s">
        <v>106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 t="s">
        <v>199</v>
      </c>
      <c r="K211" t="s">
        <v>203</v>
      </c>
      <c r="L211" t="s">
        <v>220</v>
      </c>
      <c r="M211" t="s">
        <v>225</v>
      </c>
    </row>
    <row r="212" spans="1:13" x14ac:dyDescent="0.25">
      <c r="A212" t="s">
        <v>107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</v>
      </c>
      <c r="J213" t="s">
        <v>199</v>
      </c>
      <c r="K213" t="s">
        <v>239</v>
      </c>
      <c r="L213" t="s">
        <v>220</v>
      </c>
      <c r="M213" t="s">
        <v>225</v>
      </c>
    </row>
    <row r="214" spans="1:13" x14ac:dyDescent="0.25">
      <c r="A214" t="s">
        <v>377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 t="s">
        <v>199</v>
      </c>
      <c r="K214" t="s">
        <v>241</v>
      </c>
      <c r="L214" t="s">
        <v>220</v>
      </c>
      <c r="M214" t="s">
        <v>225</v>
      </c>
    </row>
    <row r="215" spans="1:13" x14ac:dyDescent="0.25">
      <c r="A215" t="s">
        <v>108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0</v>
      </c>
      <c r="J215" t="s">
        <v>199</v>
      </c>
      <c r="K215" t="s">
        <v>206</v>
      </c>
      <c r="L215" t="s">
        <v>220</v>
      </c>
      <c r="M215" t="s">
        <v>225</v>
      </c>
    </row>
    <row r="216" spans="1:13" x14ac:dyDescent="0.25">
      <c r="A216" t="s">
        <v>287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199</v>
      </c>
      <c r="K216" t="s">
        <v>207</v>
      </c>
      <c r="L216" t="s">
        <v>220</v>
      </c>
      <c r="M216" t="s">
        <v>225</v>
      </c>
    </row>
    <row r="217" spans="1:13" x14ac:dyDescent="0.25">
      <c r="A217" t="s">
        <v>378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199</v>
      </c>
      <c r="K218" t="s">
        <v>202</v>
      </c>
      <c r="L218" t="s">
        <v>221</v>
      </c>
      <c r="M218" t="s">
        <v>225</v>
      </c>
    </row>
    <row r="219" spans="1:13" x14ac:dyDescent="0.25">
      <c r="A219" t="s">
        <v>110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 t="s">
        <v>199</v>
      </c>
      <c r="K219" t="s">
        <v>203</v>
      </c>
      <c r="L219" t="s">
        <v>221</v>
      </c>
      <c r="M219" t="s">
        <v>225</v>
      </c>
    </row>
    <row r="220" spans="1:13" x14ac:dyDescent="0.25">
      <c r="A220" t="s">
        <v>111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199</v>
      </c>
      <c r="K220" t="s">
        <v>204</v>
      </c>
      <c r="L220" t="s">
        <v>221</v>
      </c>
      <c r="M220" t="s">
        <v>225</v>
      </c>
    </row>
    <row r="221" spans="1:13" x14ac:dyDescent="0.25">
      <c r="A221" t="s">
        <v>379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 t="s">
        <v>199</v>
      </c>
      <c r="K221" t="s">
        <v>239</v>
      </c>
      <c r="L221" t="s">
        <v>221</v>
      </c>
      <c r="M221" t="s">
        <v>225</v>
      </c>
    </row>
    <row r="222" spans="1:13" x14ac:dyDescent="0.25">
      <c r="A222" t="s">
        <v>380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199</v>
      </c>
      <c r="K223" t="s">
        <v>206</v>
      </c>
      <c r="L223" t="s">
        <v>221</v>
      </c>
      <c r="M223" t="s">
        <v>225</v>
      </c>
    </row>
    <row r="224" spans="1:13" x14ac:dyDescent="0.25">
      <c r="A224" t="s">
        <v>288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 t="s">
        <v>199</v>
      </c>
      <c r="K224" t="s">
        <v>207</v>
      </c>
      <c r="L224" t="s">
        <v>221</v>
      </c>
      <c r="M224" t="s">
        <v>225</v>
      </c>
    </row>
    <row r="225" spans="1:13" x14ac:dyDescent="0.25">
      <c r="A225" t="s">
        <v>381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199</v>
      </c>
      <c r="K225" t="s">
        <v>233</v>
      </c>
      <c r="L225" t="s">
        <v>221</v>
      </c>
      <c r="M225" t="s">
        <v>225</v>
      </c>
    </row>
    <row r="226" spans="1:13" x14ac:dyDescent="0.25">
      <c r="A226" t="s">
        <v>113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199</v>
      </c>
      <c r="K226" t="s">
        <v>202</v>
      </c>
      <c r="L226" t="s">
        <v>222</v>
      </c>
      <c r="M226" t="s">
        <v>225</v>
      </c>
    </row>
    <row r="227" spans="1:13" x14ac:dyDescent="0.25">
      <c r="A227" t="s">
        <v>114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199</v>
      </c>
      <c r="K227" t="s">
        <v>203</v>
      </c>
      <c r="L227" t="s">
        <v>222</v>
      </c>
      <c r="M227" t="s">
        <v>225</v>
      </c>
    </row>
    <row r="228" spans="1:13" x14ac:dyDescent="0.25">
      <c r="A228" t="s">
        <v>115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199</v>
      </c>
      <c r="K228" t="s">
        <v>204</v>
      </c>
      <c r="L228" t="s">
        <v>222</v>
      </c>
      <c r="M228" t="s">
        <v>225</v>
      </c>
    </row>
    <row r="229" spans="1:13" x14ac:dyDescent="0.25">
      <c r="A229" t="s">
        <v>382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199</v>
      </c>
      <c r="K229" t="s">
        <v>239</v>
      </c>
      <c r="L229" t="s">
        <v>222</v>
      </c>
      <c r="M229" t="s">
        <v>225</v>
      </c>
    </row>
    <row r="230" spans="1:13" x14ac:dyDescent="0.25">
      <c r="A230" t="s">
        <v>383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1</v>
      </c>
      <c r="J230" t="s">
        <v>199</v>
      </c>
      <c r="K230" t="s">
        <v>241</v>
      </c>
      <c r="L230" t="s">
        <v>222</v>
      </c>
      <c r="M230" t="s">
        <v>225</v>
      </c>
    </row>
    <row r="231" spans="1:13" x14ac:dyDescent="0.25">
      <c r="A231" t="s">
        <v>116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199</v>
      </c>
      <c r="K231" t="s">
        <v>206</v>
      </c>
      <c r="L231" t="s">
        <v>222</v>
      </c>
      <c r="M231" t="s">
        <v>225</v>
      </c>
    </row>
    <row r="232" spans="1:13" x14ac:dyDescent="0.25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199</v>
      </c>
      <c r="K232" t="s">
        <v>207</v>
      </c>
      <c r="L232" t="s">
        <v>222</v>
      </c>
      <c r="M232" t="s">
        <v>225</v>
      </c>
    </row>
    <row r="233" spans="1:13" x14ac:dyDescent="0.25">
      <c r="A233" t="s">
        <v>384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>
        <v>0</v>
      </c>
      <c r="J233" t="s">
        <v>199</v>
      </c>
      <c r="K233" t="s">
        <v>233</v>
      </c>
      <c r="L233" t="s">
        <v>222</v>
      </c>
      <c r="M233" t="s">
        <v>225</v>
      </c>
    </row>
    <row r="234" spans="1:13" x14ac:dyDescent="0.25">
      <c r="A234" t="s">
        <v>117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199</v>
      </c>
      <c r="K234" t="s">
        <v>202</v>
      </c>
      <c r="L234" t="s">
        <v>223</v>
      </c>
      <c r="M234" t="s">
        <v>225</v>
      </c>
    </row>
    <row r="235" spans="1:13" x14ac:dyDescent="0.25">
      <c r="A235" t="s">
        <v>118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 t="s">
        <v>199</v>
      </c>
      <c r="K235" t="s">
        <v>203</v>
      </c>
      <c r="L235" t="s">
        <v>223</v>
      </c>
      <c r="M235" t="s">
        <v>225</v>
      </c>
    </row>
    <row r="236" spans="1:13" x14ac:dyDescent="0.25">
      <c r="A236" t="s">
        <v>119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0</v>
      </c>
      <c r="J236" t="s">
        <v>199</v>
      </c>
      <c r="K236" t="s">
        <v>204</v>
      </c>
      <c r="L236" t="s">
        <v>223</v>
      </c>
      <c r="M236" t="s">
        <v>225</v>
      </c>
    </row>
    <row r="237" spans="1:13" x14ac:dyDescent="0.25">
      <c r="A237" t="s">
        <v>385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 t="s">
        <v>199</v>
      </c>
      <c r="K237" t="s">
        <v>239</v>
      </c>
      <c r="L237" t="s">
        <v>223</v>
      </c>
      <c r="M237" t="s">
        <v>225</v>
      </c>
    </row>
    <row r="238" spans="1:13" x14ac:dyDescent="0.25">
      <c r="A238" t="s">
        <v>386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199</v>
      </c>
      <c r="K238" t="s">
        <v>241</v>
      </c>
      <c r="L238" t="s">
        <v>223</v>
      </c>
      <c r="M238" t="s">
        <v>225</v>
      </c>
    </row>
    <row r="239" spans="1:13" x14ac:dyDescent="0.25">
      <c r="A239" t="s">
        <v>120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199</v>
      </c>
      <c r="K239" t="s">
        <v>206</v>
      </c>
      <c r="L239" t="s">
        <v>223</v>
      </c>
      <c r="M239" t="s">
        <v>225</v>
      </c>
    </row>
    <row r="240" spans="1:13" x14ac:dyDescent="0.25">
      <c r="A240" t="s">
        <v>290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1</v>
      </c>
      <c r="J240" t="s">
        <v>199</v>
      </c>
      <c r="K240" t="s">
        <v>207</v>
      </c>
      <c r="L240" t="s">
        <v>223</v>
      </c>
      <c r="M240" t="s">
        <v>225</v>
      </c>
    </row>
    <row r="241" spans="1:13" x14ac:dyDescent="0.25">
      <c r="A241" t="s">
        <v>387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 t="s">
        <v>199</v>
      </c>
      <c r="K241" t="s">
        <v>233</v>
      </c>
      <c r="L241" t="s">
        <v>223</v>
      </c>
      <c r="M241" t="s">
        <v>225</v>
      </c>
    </row>
    <row r="242" spans="1:13" x14ac:dyDescent="0.25">
      <c r="A242" t="s">
        <v>121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200</v>
      </c>
      <c r="K242" t="s">
        <v>202</v>
      </c>
      <c r="L242" t="s">
        <v>209</v>
      </c>
      <c r="M242" t="s">
        <v>225</v>
      </c>
    </row>
    <row r="243" spans="1:13" x14ac:dyDescent="0.25">
      <c r="A243" t="s">
        <v>122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200</v>
      </c>
      <c r="K243" t="s">
        <v>203</v>
      </c>
      <c r="L243" t="s">
        <v>209</v>
      </c>
      <c r="M243" t="s">
        <v>225</v>
      </c>
    </row>
    <row r="244" spans="1:13" x14ac:dyDescent="0.25">
      <c r="A244" t="s">
        <v>123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200</v>
      </c>
      <c r="K244" t="s">
        <v>204</v>
      </c>
      <c r="L244" t="s">
        <v>209</v>
      </c>
      <c r="M244" t="s">
        <v>225</v>
      </c>
    </row>
    <row r="245" spans="1:13" x14ac:dyDescent="0.25">
      <c r="A245" t="s">
        <v>388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 t="s">
        <v>200</v>
      </c>
      <c r="K245" t="s">
        <v>239</v>
      </c>
      <c r="L245" t="s">
        <v>209</v>
      </c>
      <c r="M245" t="s">
        <v>225</v>
      </c>
    </row>
    <row r="246" spans="1:13" x14ac:dyDescent="0.25">
      <c r="A246" t="s">
        <v>389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200</v>
      </c>
      <c r="K246" t="s">
        <v>241</v>
      </c>
      <c r="L246" t="s">
        <v>209</v>
      </c>
      <c r="M246" t="s">
        <v>225</v>
      </c>
    </row>
    <row r="247" spans="1:13" x14ac:dyDescent="0.25">
      <c r="A247" t="s">
        <v>124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200</v>
      </c>
      <c r="K247" t="s">
        <v>206</v>
      </c>
      <c r="L247" t="s">
        <v>209</v>
      </c>
      <c r="M247" t="s">
        <v>225</v>
      </c>
    </row>
    <row r="248" spans="1:13" x14ac:dyDescent="0.25">
      <c r="A248" t="s">
        <v>291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 t="s">
        <v>200</v>
      </c>
      <c r="K248" t="s">
        <v>207</v>
      </c>
      <c r="L248" t="s">
        <v>209</v>
      </c>
      <c r="M248" t="s">
        <v>225</v>
      </c>
    </row>
    <row r="249" spans="1:13" x14ac:dyDescent="0.25">
      <c r="A249" t="s">
        <v>390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200</v>
      </c>
      <c r="K249" t="s">
        <v>233</v>
      </c>
      <c r="L249" t="s">
        <v>209</v>
      </c>
      <c r="M249" t="s">
        <v>225</v>
      </c>
    </row>
    <row r="250" spans="1:13" x14ac:dyDescent="0.25">
      <c r="A250" t="s">
        <v>125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200</v>
      </c>
      <c r="K250" t="s">
        <v>202</v>
      </c>
      <c r="L250" t="s">
        <v>210</v>
      </c>
      <c r="M250" t="s">
        <v>225</v>
      </c>
    </row>
    <row r="251" spans="1:13" x14ac:dyDescent="0.25">
      <c r="A251" t="s">
        <v>126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1</v>
      </c>
      <c r="J251" t="s">
        <v>200</v>
      </c>
      <c r="K251" t="s">
        <v>203</v>
      </c>
      <c r="L251" t="s">
        <v>210</v>
      </c>
      <c r="M251" t="s">
        <v>225</v>
      </c>
    </row>
    <row r="252" spans="1:13" x14ac:dyDescent="0.25">
      <c r="A252" t="s">
        <v>127</v>
      </c>
      <c r="B252">
        <v>0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 t="s">
        <v>200</v>
      </c>
      <c r="K252" t="s">
        <v>204</v>
      </c>
      <c r="L252" t="s">
        <v>210</v>
      </c>
      <c r="M252" t="s">
        <v>225</v>
      </c>
    </row>
    <row r="253" spans="1:13" x14ac:dyDescent="0.25">
      <c r="A253" t="s">
        <v>391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 t="s">
        <v>200</v>
      </c>
      <c r="K253" t="s">
        <v>239</v>
      </c>
      <c r="L253" t="s">
        <v>210</v>
      </c>
      <c r="M253" t="s">
        <v>225</v>
      </c>
    </row>
    <row r="254" spans="1:13" x14ac:dyDescent="0.25">
      <c r="A254" t="s">
        <v>392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  <c r="J254" t="s">
        <v>200</v>
      </c>
      <c r="K254" t="s">
        <v>241</v>
      </c>
      <c r="L254" t="s">
        <v>210</v>
      </c>
      <c r="M254" t="s">
        <v>225</v>
      </c>
    </row>
    <row r="255" spans="1:13" x14ac:dyDescent="0.25">
      <c r="A255" t="s">
        <v>128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0</v>
      </c>
      <c r="J255" t="s">
        <v>200</v>
      </c>
      <c r="K255" t="s">
        <v>206</v>
      </c>
      <c r="L255" t="s">
        <v>210</v>
      </c>
      <c r="M255" t="s">
        <v>225</v>
      </c>
    </row>
    <row r="256" spans="1:13" x14ac:dyDescent="0.25">
      <c r="A256" t="s">
        <v>292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 t="s">
        <v>200</v>
      </c>
      <c r="K256" t="s">
        <v>207</v>
      </c>
      <c r="L256" t="s">
        <v>210</v>
      </c>
      <c r="M256" t="s">
        <v>225</v>
      </c>
    </row>
    <row r="257" spans="1:13" x14ac:dyDescent="0.25">
      <c r="A257" t="s">
        <v>393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1</v>
      </c>
      <c r="J257" t="s">
        <v>200</v>
      </c>
      <c r="K257" t="s">
        <v>233</v>
      </c>
      <c r="L257" t="s">
        <v>210</v>
      </c>
      <c r="M257" t="s">
        <v>225</v>
      </c>
    </row>
    <row r="258" spans="1:13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200</v>
      </c>
      <c r="K258" t="s">
        <v>202</v>
      </c>
      <c r="L258" t="s">
        <v>211</v>
      </c>
      <c r="M258" t="s">
        <v>225</v>
      </c>
    </row>
    <row r="259" spans="1:13" x14ac:dyDescent="0.25">
      <c r="A259" t="s">
        <v>130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200</v>
      </c>
      <c r="K259" t="s">
        <v>203</v>
      </c>
      <c r="L259" t="s">
        <v>211</v>
      </c>
      <c r="M259" t="s">
        <v>225</v>
      </c>
    </row>
    <row r="260" spans="1:13" x14ac:dyDescent="0.25">
      <c r="A260" t="s">
        <v>131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200</v>
      </c>
      <c r="K260" t="s">
        <v>204</v>
      </c>
      <c r="L260" t="s">
        <v>211</v>
      </c>
      <c r="M260" t="s">
        <v>225</v>
      </c>
    </row>
    <row r="261" spans="1:13" x14ac:dyDescent="0.25">
      <c r="A261" t="s">
        <v>394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0</v>
      </c>
      <c r="J261" t="s">
        <v>200</v>
      </c>
      <c r="K261" t="s">
        <v>239</v>
      </c>
      <c r="L261" t="s">
        <v>211</v>
      </c>
      <c r="M261" t="s">
        <v>225</v>
      </c>
    </row>
    <row r="262" spans="1:13" x14ac:dyDescent="0.25">
      <c r="A262" t="s">
        <v>395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 t="s">
        <v>200</v>
      </c>
      <c r="K262" t="s">
        <v>241</v>
      </c>
      <c r="L262" t="s">
        <v>211</v>
      </c>
      <c r="M262" t="s">
        <v>225</v>
      </c>
    </row>
    <row r="263" spans="1:13" x14ac:dyDescent="0.25">
      <c r="A263" t="s">
        <v>132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0</v>
      </c>
      <c r="I263">
        <v>0</v>
      </c>
      <c r="J263" t="s">
        <v>200</v>
      </c>
      <c r="K263" t="s">
        <v>206</v>
      </c>
      <c r="L263" t="s">
        <v>211</v>
      </c>
      <c r="M263" t="s">
        <v>225</v>
      </c>
    </row>
    <row r="264" spans="1:13" x14ac:dyDescent="0.25">
      <c r="A264" t="s">
        <v>293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 t="s">
        <v>200</v>
      </c>
      <c r="K264" t="s">
        <v>207</v>
      </c>
      <c r="L264" t="s">
        <v>211</v>
      </c>
      <c r="M264" t="s">
        <v>225</v>
      </c>
    </row>
    <row r="265" spans="1:13" x14ac:dyDescent="0.25">
      <c r="A265" t="s">
        <v>396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200</v>
      </c>
      <c r="K265" t="s">
        <v>233</v>
      </c>
      <c r="L265" t="s">
        <v>211</v>
      </c>
      <c r="M265" t="s">
        <v>225</v>
      </c>
    </row>
    <row r="266" spans="1:13" x14ac:dyDescent="0.25">
      <c r="A266" t="s">
        <v>133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200</v>
      </c>
      <c r="K266" t="s">
        <v>202</v>
      </c>
      <c r="L266" t="s">
        <v>212</v>
      </c>
      <c r="M266" t="s">
        <v>225</v>
      </c>
    </row>
    <row r="267" spans="1:13" x14ac:dyDescent="0.25">
      <c r="A267" t="s">
        <v>134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200</v>
      </c>
      <c r="K267" t="s">
        <v>203</v>
      </c>
      <c r="L267" t="s">
        <v>212</v>
      </c>
      <c r="M267" t="s">
        <v>225</v>
      </c>
    </row>
    <row r="268" spans="1:13" x14ac:dyDescent="0.25">
      <c r="A268" t="s">
        <v>135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200</v>
      </c>
      <c r="K268" t="s">
        <v>204</v>
      </c>
      <c r="L268" t="s">
        <v>212</v>
      </c>
      <c r="M268" t="s">
        <v>225</v>
      </c>
    </row>
    <row r="269" spans="1:13" x14ac:dyDescent="0.25">
      <c r="A269" t="s">
        <v>397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 t="s">
        <v>200</v>
      </c>
      <c r="K269" t="s">
        <v>239</v>
      </c>
      <c r="L269" t="s">
        <v>212</v>
      </c>
      <c r="M269" t="s">
        <v>225</v>
      </c>
    </row>
    <row r="270" spans="1:13" x14ac:dyDescent="0.25">
      <c r="A270" t="s">
        <v>398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200</v>
      </c>
      <c r="K270" t="s">
        <v>241</v>
      </c>
      <c r="L270" t="s">
        <v>212</v>
      </c>
      <c r="M270" t="s">
        <v>225</v>
      </c>
    </row>
    <row r="271" spans="1:13" x14ac:dyDescent="0.25">
      <c r="A271" t="s">
        <v>136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0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0</v>
      </c>
      <c r="I277">
        <v>0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1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1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0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1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1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1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1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1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1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0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1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0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1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1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1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1</v>
      </c>
      <c r="C359">
        <v>1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1</v>
      </c>
      <c r="I361">
        <v>1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1</v>
      </c>
      <c r="C365">
        <v>1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0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1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0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1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1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1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1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1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1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200</v>
      </c>
      <c r="K406" t="s">
        <v>226</v>
      </c>
      <c r="L406" t="s">
        <v>223</v>
      </c>
      <c r="M406" t="s">
        <v>225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1CA0-B6BE-4235-92EE-EE8BACD09237}">
  <dimension ref="A1:M406"/>
  <sheetViews>
    <sheetView workbookViewId="0"/>
  </sheetViews>
  <sheetFormatPr defaultRowHeight="15" x14ac:dyDescent="0.25"/>
  <cols>
    <col min="1" max="1" width="22.140625" bestFit="1" customWidth="1"/>
    <col min="2" max="9" width="4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198</v>
      </c>
      <c r="K3" t="s">
        <v>203</v>
      </c>
      <c r="L3" t="s">
        <v>209</v>
      </c>
      <c r="M3" t="s">
        <v>225</v>
      </c>
    </row>
    <row r="4" spans="1:13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198</v>
      </c>
      <c r="K4" t="s">
        <v>204</v>
      </c>
      <c r="L4" t="s">
        <v>209</v>
      </c>
      <c r="M4" t="s">
        <v>225</v>
      </c>
    </row>
    <row r="5" spans="1:13" x14ac:dyDescent="0.25">
      <c r="A5" t="s">
        <v>298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198</v>
      </c>
      <c r="K5" t="s">
        <v>239</v>
      </c>
      <c r="L5" t="s">
        <v>209</v>
      </c>
      <c r="M5" t="s">
        <v>225</v>
      </c>
    </row>
    <row r="6" spans="1:13" x14ac:dyDescent="0.25">
      <c r="A6" t="s">
        <v>299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198</v>
      </c>
      <c r="K6" t="s">
        <v>241</v>
      </c>
      <c r="L6" t="s">
        <v>209</v>
      </c>
      <c r="M6" t="s">
        <v>225</v>
      </c>
    </row>
    <row r="7" spans="1:13" x14ac:dyDescent="0.25">
      <c r="A7" t="s">
        <v>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198</v>
      </c>
      <c r="K8" t="s">
        <v>207</v>
      </c>
      <c r="L8" t="s">
        <v>209</v>
      </c>
      <c r="M8" t="s">
        <v>225</v>
      </c>
    </row>
    <row r="9" spans="1:13" x14ac:dyDescent="0.25">
      <c r="A9" t="s">
        <v>300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198</v>
      </c>
      <c r="K9" t="s">
        <v>233</v>
      </c>
      <c r="L9" t="s">
        <v>209</v>
      </c>
      <c r="M9" t="s">
        <v>225</v>
      </c>
    </row>
    <row r="10" spans="1:13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198</v>
      </c>
      <c r="K10" t="s">
        <v>202</v>
      </c>
      <c r="L10" t="s">
        <v>210</v>
      </c>
      <c r="M10" t="s">
        <v>225</v>
      </c>
    </row>
    <row r="11" spans="1:13" x14ac:dyDescent="0.25">
      <c r="A11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 t="s">
        <v>198</v>
      </c>
      <c r="K11" t="s">
        <v>203</v>
      </c>
      <c r="L11" t="s">
        <v>210</v>
      </c>
      <c r="M11" t="s">
        <v>225</v>
      </c>
    </row>
    <row r="12" spans="1:13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198</v>
      </c>
      <c r="K13" t="s">
        <v>239</v>
      </c>
      <c r="L13" t="s">
        <v>210</v>
      </c>
      <c r="M13" t="s">
        <v>225</v>
      </c>
    </row>
    <row r="14" spans="1:13" x14ac:dyDescent="0.25">
      <c r="A14" t="s">
        <v>302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198</v>
      </c>
      <c r="K14" t="s">
        <v>241</v>
      </c>
      <c r="L14" t="s">
        <v>210</v>
      </c>
      <c r="M14" t="s">
        <v>225</v>
      </c>
    </row>
    <row r="15" spans="1:13" x14ac:dyDescent="0.25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198</v>
      </c>
      <c r="K15" t="s">
        <v>206</v>
      </c>
      <c r="L15" t="s">
        <v>210</v>
      </c>
      <c r="M15" t="s">
        <v>225</v>
      </c>
    </row>
    <row r="16" spans="1:13" x14ac:dyDescent="0.25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198</v>
      </c>
      <c r="K16" t="s">
        <v>207</v>
      </c>
      <c r="L16" t="s">
        <v>210</v>
      </c>
      <c r="M16" t="s">
        <v>225</v>
      </c>
    </row>
    <row r="17" spans="1:13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198</v>
      </c>
      <c r="K18" t="s">
        <v>202</v>
      </c>
      <c r="L18" t="s">
        <v>211</v>
      </c>
      <c r="M18" t="s">
        <v>225</v>
      </c>
    </row>
    <row r="19" spans="1:13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198</v>
      </c>
      <c r="K19" t="s">
        <v>203</v>
      </c>
      <c r="L19" t="s">
        <v>211</v>
      </c>
      <c r="M19" t="s">
        <v>225</v>
      </c>
    </row>
    <row r="20" spans="1:13" x14ac:dyDescent="0.25">
      <c r="A20" t="s">
        <v>11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 t="s">
        <v>198</v>
      </c>
      <c r="K20" t="s">
        <v>204</v>
      </c>
      <c r="L20" t="s">
        <v>211</v>
      </c>
      <c r="M20" t="s">
        <v>225</v>
      </c>
    </row>
    <row r="21" spans="1:13" x14ac:dyDescent="0.25">
      <c r="A21" t="s">
        <v>304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198</v>
      </c>
      <c r="K21" t="s">
        <v>239</v>
      </c>
      <c r="L21" t="s">
        <v>211</v>
      </c>
      <c r="M21" t="s">
        <v>225</v>
      </c>
    </row>
    <row r="22" spans="1:13" x14ac:dyDescent="0.25">
      <c r="A22" t="s">
        <v>305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198</v>
      </c>
      <c r="K23" t="s">
        <v>206</v>
      </c>
      <c r="L23" t="s">
        <v>211</v>
      </c>
      <c r="M23" t="s">
        <v>225</v>
      </c>
    </row>
    <row r="24" spans="1:13" x14ac:dyDescent="0.25">
      <c r="A24" t="s">
        <v>263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198</v>
      </c>
      <c r="K24" t="s">
        <v>207</v>
      </c>
      <c r="L24" t="s">
        <v>211</v>
      </c>
      <c r="M24" t="s">
        <v>225</v>
      </c>
    </row>
    <row r="25" spans="1:13" x14ac:dyDescent="0.25">
      <c r="A25" t="s">
        <v>306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 t="s">
        <v>198</v>
      </c>
      <c r="K25" t="s">
        <v>233</v>
      </c>
      <c r="L25" t="s">
        <v>211</v>
      </c>
      <c r="M25" t="s">
        <v>225</v>
      </c>
    </row>
    <row r="26" spans="1:13" x14ac:dyDescent="0.25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198</v>
      </c>
      <c r="K26" t="s">
        <v>202</v>
      </c>
      <c r="L26" t="s">
        <v>212</v>
      </c>
      <c r="M26" t="s">
        <v>225</v>
      </c>
    </row>
    <row r="27" spans="1:13" x14ac:dyDescent="0.25">
      <c r="A27" t="s">
        <v>14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198</v>
      </c>
      <c r="K28" t="s">
        <v>204</v>
      </c>
      <c r="L28" t="s">
        <v>212</v>
      </c>
      <c r="M28" t="s">
        <v>225</v>
      </c>
    </row>
    <row r="29" spans="1:13" x14ac:dyDescent="0.25">
      <c r="A29" t="s">
        <v>307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198</v>
      </c>
      <c r="K29" t="s">
        <v>239</v>
      </c>
      <c r="L29" t="s">
        <v>212</v>
      </c>
      <c r="M29" t="s">
        <v>225</v>
      </c>
    </row>
    <row r="30" spans="1:13" x14ac:dyDescent="0.25">
      <c r="A30" t="s">
        <v>308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198</v>
      </c>
      <c r="K30" t="s">
        <v>241</v>
      </c>
      <c r="L30" t="s">
        <v>212</v>
      </c>
      <c r="M30" t="s">
        <v>225</v>
      </c>
    </row>
    <row r="31" spans="1:13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198</v>
      </c>
      <c r="K31" t="s">
        <v>206</v>
      </c>
      <c r="L31" t="s">
        <v>212</v>
      </c>
      <c r="M31" t="s">
        <v>225</v>
      </c>
    </row>
    <row r="32" spans="1:13" x14ac:dyDescent="0.25">
      <c r="A32" t="s">
        <v>264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198</v>
      </c>
      <c r="K33" t="s">
        <v>233</v>
      </c>
      <c r="L33" t="s">
        <v>212</v>
      </c>
      <c r="M33" t="s">
        <v>225</v>
      </c>
    </row>
    <row r="34" spans="1:13" x14ac:dyDescent="0.25">
      <c r="A34" t="s">
        <v>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198</v>
      </c>
      <c r="K34" t="s">
        <v>202</v>
      </c>
      <c r="L34" t="s">
        <v>213</v>
      </c>
      <c r="M34" t="s">
        <v>225</v>
      </c>
    </row>
    <row r="35" spans="1:13" x14ac:dyDescent="0.25">
      <c r="A35" t="s">
        <v>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198</v>
      </c>
      <c r="K35" t="s">
        <v>203</v>
      </c>
      <c r="L35" t="s">
        <v>213</v>
      </c>
      <c r="M35" t="s">
        <v>225</v>
      </c>
    </row>
    <row r="36" spans="1:13" x14ac:dyDescent="0.25">
      <c r="A36" t="s">
        <v>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198</v>
      </c>
      <c r="K36" t="s">
        <v>204</v>
      </c>
      <c r="L36" t="s">
        <v>213</v>
      </c>
      <c r="M36" t="s">
        <v>225</v>
      </c>
    </row>
    <row r="37" spans="1:13" x14ac:dyDescent="0.25">
      <c r="A37" t="s">
        <v>310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198</v>
      </c>
      <c r="K38" t="s">
        <v>241</v>
      </c>
      <c r="L38" t="s">
        <v>213</v>
      </c>
      <c r="M38" t="s">
        <v>225</v>
      </c>
    </row>
    <row r="39" spans="1:13" x14ac:dyDescent="0.25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198</v>
      </c>
      <c r="K39" t="s">
        <v>206</v>
      </c>
      <c r="L39" t="s">
        <v>213</v>
      </c>
      <c r="M39" t="s">
        <v>225</v>
      </c>
    </row>
    <row r="40" spans="1:13" x14ac:dyDescent="0.25">
      <c r="A40" t="s">
        <v>265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198</v>
      </c>
      <c r="K40" t="s">
        <v>207</v>
      </c>
      <c r="L40" t="s">
        <v>213</v>
      </c>
      <c r="M40" t="s">
        <v>225</v>
      </c>
    </row>
    <row r="41" spans="1:13" x14ac:dyDescent="0.25">
      <c r="A41" t="s">
        <v>312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198</v>
      </c>
      <c r="K41" t="s">
        <v>233</v>
      </c>
      <c r="L41" t="s">
        <v>213</v>
      </c>
      <c r="M41" t="s">
        <v>225</v>
      </c>
    </row>
    <row r="42" spans="1:13" x14ac:dyDescent="0.25">
      <c r="A42" t="s">
        <v>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0</v>
      </c>
      <c r="C43">
        <v>0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 t="s">
        <v>198</v>
      </c>
      <c r="K43" t="s">
        <v>203</v>
      </c>
      <c r="L43" t="s">
        <v>214</v>
      </c>
      <c r="M43" t="s">
        <v>225</v>
      </c>
    </row>
    <row r="44" spans="1:13" x14ac:dyDescent="0.25">
      <c r="A44" t="s">
        <v>23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198</v>
      </c>
      <c r="K44" t="s">
        <v>204</v>
      </c>
      <c r="L44" t="s">
        <v>214</v>
      </c>
      <c r="M44" t="s">
        <v>225</v>
      </c>
    </row>
    <row r="45" spans="1:13" x14ac:dyDescent="0.25">
      <c r="A45" t="s">
        <v>313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198</v>
      </c>
      <c r="K45" t="s">
        <v>239</v>
      </c>
      <c r="L45" t="s">
        <v>214</v>
      </c>
      <c r="M45" t="s">
        <v>225</v>
      </c>
    </row>
    <row r="46" spans="1:13" x14ac:dyDescent="0.25">
      <c r="A46" t="s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198</v>
      </c>
      <c r="K46" t="s">
        <v>241</v>
      </c>
      <c r="L46" t="s">
        <v>214</v>
      </c>
      <c r="M46" t="s">
        <v>225</v>
      </c>
    </row>
    <row r="47" spans="1:13" x14ac:dyDescent="0.25">
      <c r="A47" t="s">
        <v>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207</v>
      </c>
      <c r="L48" t="s">
        <v>214</v>
      </c>
      <c r="M48" t="s">
        <v>225</v>
      </c>
    </row>
    <row r="49" spans="1:13" x14ac:dyDescent="0.25">
      <c r="A49" t="s">
        <v>315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198</v>
      </c>
      <c r="K49" t="s">
        <v>233</v>
      </c>
      <c r="L49" t="s">
        <v>214</v>
      </c>
      <c r="M49" t="s">
        <v>225</v>
      </c>
    </row>
    <row r="50" spans="1:13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198</v>
      </c>
      <c r="K50" t="s">
        <v>202</v>
      </c>
      <c r="L50" t="s">
        <v>215</v>
      </c>
      <c r="M50" t="s">
        <v>225</v>
      </c>
    </row>
    <row r="51" spans="1:13" x14ac:dyDescent="0.25">
      <c r="A51" t="s">
        <v>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198</v>
      </c>
      <c r="K51" t="s">
        <v>203</v>
      </c>
      <c r="L51" t="s">
        <v>215</v>
      </c>
      <c r="M51" t="s">
        <v>225</v>
      </c>
    </row>
    <row r="52" spans="1:13" x14ac:dyDescent="0.25">
      <c r="A52" t="s">
        <v>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198</v>
      </c>
      <c r="K53" t="s">
        <v>239</v>
      </c>
      <c r="L53" t="s">
        <v>215</v>
      </c>
      <c r="M53" t="s">
        <v>225</v>
      </c>
    </row>
    <row r="54" spans="1:13" x14ac:dyDescent="0.25">
      <c r="A54" t="s">
        <v>317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198</v>
      </c>
      <c r="K54" t="s">
        <v>241</v>
      </c>
      <c r="L54" t="s">
        <v>215</v>
      </c>
      <c r="M54" t="s">
        <v>225</v>
      </c>
    </row>
    <row r="55" spans="1:13" x14ac:dyDescent="0.25">
      <c r="A55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198</v>
      </c>
      <c r="K55" t="s">
        <v>206</v>
      </c>
      <c r="L55" t="s">
        <v>215</v>
      </c>
      <c r="M55" t="s">
        <v>225</v>
      </c>
    </row>
    <row r="56" spans="1:13" x14ac:dyDescent="0.25">
      <c r="A56" t="s">
        <v>267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198</v>
      </c>
      <c r="K56" t="s">
        <v>207</v>
      </c>
      <c r="L56" t="s">
        <v>215</v>
      </c>
      <c r="M56" t="s">
        <v>225</v>
      </c>
    </row>
    <row r="57" spans="1:13" x14ac:dyDescent="0.25">
      <c r="A57" t="s">
        <v>318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198</v>
      </c>
      <c r="K58" t="s">
        <v>202</v>
      </c>
      <c r="L58" t="s">
        <v>216</v>
      </c>
      <c r="M58" t="s">
        <v>225</v>
      </c>
    </row>
    <row r="59" spans="1:13" x14ac:dyDescent="0.25">
      <c r="A59" t="s">
        <v>30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198</v>
      </c>
      <c r="K59" t="s">
        <v>203</v>
      </c>
      <c r="L59" t="s">
        <v>216</v>
      </c>
      <c r="M59" t="s">
        <v>225</v>
      </c>
    </row>
    <row r="60" spans="1:13" x14ac:dyDescent="0.25">
      <c r="A60" t="s">
        <v>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198</v>
      </c>
      <c r="K60" t="s">
        <v>204</v>
      </c>
      <c r="L60" t="s">
        <v>216</v>
      </c>
      <c r="M60" t="s">
        <v>225</v>
      </c>
    </row>
    <row r="61" spans="1:13" x14ac:dyDescent="0.25">
      <c r="A61" t="s">
        <v>319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198</v>
      </c>
      <c r="K61" t="s">
        <v>239</v>
      </c>
      <c r="L61" t="s">
        <v>216</v>
      </c>
      <c r="M61" t="s">
        <v>225</v>
      </c>
    </row>
    <row r="62" spans="1:13" x14ac:dyDescent="0.25">
      <c r="A62" t="s">
        <v>320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198</v>
      </c>
      <c r="K63" t="s">
        <v>206</v>
      </c>
      <c r="L63" t="s">
        <v>216</v>
      </c>
      <c r="M63" t="s">
        <v>225</v>
      </c>
    </row>
    <row r="64" spans="1:13" x14ac:dyDescent="0.25">
      <c r="A64" t="s">
        <v>268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198</v>
      </c>
      <c r="K64" t="s">
        <v>207</v>
      </c>
      <c r="L64" t="s">
        <v>216</v>
      </c>
      <c r="M64" t="s">
        <v>225</v>
      </c>
    </row>
    <row r="65" spans="1:13" x14ac:dyDescent="0.25">
      <c r="A65" t="s">
        <v>321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198</v>
      </c>
      <c r="K65" t="s">
        <v>233</v>
      </c>
      <c r="L65" t="s">
        <v>216</v>
      </c>
      <c r="M65" t="s">
        <v>225</v>
      </c>
    </row>
    <row r="66" spans="1:13" x14ac:dyDescent="0.25">
      <c r="A66" t="s">
        <v>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198</v>
      </c>
      <c r="K66" t="s">
        <v>202</v>
      </c>
      <c r="L66" t="s">
        <v>217</v>
      </c>
      <c r="M66" t="s">
        <v>225</v>
      </c>
    </row>
    <row r="67" spans="1:13" x14ac:dyDescent="0.25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198</v>
      </c>
      <c r="K68" t="s">
        <v>204</v>
      </c>
      <c r="L68" t="s">
        <v>217</v>
      </c>
      <c r="M68" t="s">
        <v>225</v>
      </c>
    </row>
    <row r="69" spans="1:13" x14ac:dyDescent="0.25">
      <c r="A69" t="s">
        <v>322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198</v>
      </c>
      <c r="K69" t="s">
        <v>239</v>
      </c>
      <c r="L69" t="s">
        <v>217</v>
      </c>
      <c r="M69" t="s">
        <v>225</v>
      </c>
    </row>
    <row r="70" spans="1:13" x14ac:dyDescent="0.25">
      <c r="A70" t="s">
        <v>323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198</v>
      </c>
      <c r="K70" t="s">
        <v>241</v>
      </c>
      <c r="L70" t="s">
        <v>217</v>
      </c>
      <c r="M70" t="s">
        <v>225</v>
      </c>
    </row>
    <row r="71" spans="1:13" x14ac:dyDescent="0.25">
      <c r="A71" t="s">
        <v>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198</v>
      </c>
      <c r="K71" t="s">
        <v>206</v>
      </c>
      <c r="L71" t="s">
        <v>217</v>
      </c>
      <c r="M71" t="s">
        <v>225</v>
      </c>
    </row>
    <row r="72" spans="1:13" x14ac:dyDescent="0.25">
      <c r="A72" t="s">
        <v>269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198</v>
      </c>
      <c r="K73" t="s">
        <v>233</v>
      </c>
      <c r="L73" t="s">
        <v>217</v>
      </c>
      <c r="M73" t="s">
        <v>225</v>
      </c>
    </row>
    <row r="74" spans="1:13" x14ac:dyDescent="0.25">
      <c r="A74" t="s">
        <v>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198</v>
      </c>
      <c r="K74" t="s">
        <v>202</v>
      </c>
      <c r="L74" t="s">
        <v>218</v>
      </c>
      <c r="M74" t="s">
        <v>225</v>
      </c>
    </row>
    <row r="75" spans="1:13" x14ac:dyDescent="0.25">
      <c r="A75" t="s">
        <v>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198</v>
      </c>
      <c r="K75" t="s">
        <v>203</v>
      </c>
      <c r="L75" t="s">
        <v>218</v>
      </c>
      <c r="M75" t="s">
        <v>225</v>
      </c>
    </row>
    <row r="76" spans="1:13" x14ac:dyDescent="0.25">
      <c r="A76" t="s">
        <v>39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198</v>
      </c>
      <c r="K76" t="s">
        <v>204</v>
      </c>
      <c r="L76" t="s">
        <v>218</v>
      </c>
      <c r="M76" t="s">
        <v>225</v>
      </c>
    </row>
    <row r="77" spans="1:13" x14ac:dyDescent="0.25">
      <c r="A77" t="s">
        <v>325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198</v>
      </c>
      <c r="K78" t="s">
        <v>241</v>
      </c>
      <c r="L78" t="s">
        <v>218</v>
      </c>
      <c r="M78" t="s">
        <v>225</v>
      </c>
    </row>
    <row r="79" spans="1:13" x14ac:dyDescent="0.25">
      <c r="A79" t="s">
        <v>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198</v>
      </c>
      <c r="K79" t="s">
        <v>206</v>
      </c>
      <c r="L79" t="s">
        <v>218</v>
      </c>
      <c r="M79" t="s">
        <v>225</v>
      </c>
    </row>
    <row r="80" spans="1:13" x14ac:dyDescent="0.25">
      <c r="A80" t="s">
        <v>270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198</v>
      </c>
      <c r="K80" t="s">
        <v>207</v>
      </c>
      <c r="L80" t="s">
        <v>218</v>
      </c>
      <c r="M80" t="s">
        <v>225</v>
      </c>
    </row>
    <row r="81" spans="1:13" x14ac:dyDescent="0.25">
      <c r="A81" t="s">
        <v>327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198</v>
      </c>
      <c r="K81" t="s">
        <v>233</v>
      </c>
      <c r="L81" t="s">
        <v>218</v>
      </c>
      <c r="M81" t="s">
        <v>225</v>
      </c>
    </row>
    <row r="82" spans="1:13" x14ac:dyDescent="0.25">
      <c r="A82" t="s">
        <v>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198</v>
      </c>
      <c r="K83" t="s">
        <v>203</v>
      </c>
      <c r="L83" t="s">
        <v>219</v>
      </c>
      <c r="M83" t="s">
        <v>225</v>
      </c>
    </row>
    <row r="84" spans="1:13" x14ac:dyDescent="0.25">
      <c r="A84" t="s">
        <v>43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198</v>
      </c>
      <c r="K84" t="s">
        <v>204</v>
      </c>
      <c r="L84" t="s">
        <v>219</v>
      </c>
      <c r="M84" t="s">
        <v>225</v>
      </c>
    </row>
    <row r="85" spans="1:13" x14ac:dyDescent="0.25">
      <c r="A85" t="s">
        <v>328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198</v>
      </c>
      <c r="K85" t="s">
        <v>239</v>
      </c>
      <c r="L85" t="s">
        <v>219</v>
      </c>
      <c r="M85" t="s">
        <v>225</v>
      </c>
    </row>
    <row r="86" spans="1:13" x14ac:dyDescent="0.25">
      <c r="A86" t="s">
        <v>329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198</v>
      </c>
      <c r="K86" t="s">
        <v>241</v>
      </c>
      <c r="L86" t="s">
        <v>219</v>
      </c>
      <c r="M86" t="s">
        <v>225</v>
      </c>
    </row>
    <row r="87" spans="1:13" x14ac:dyDescent="0.25">
      <c r="A87" t="s">
        <v>44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198</v>
      </c>
      <c r="K88" t="s">
        <v>207</v>
      </c>
      <c r="L88" t="s">
        <v>219</v>
      </c>
      <c r="M88" t="s">
        <v>225</v>
      </c>
    </row>
    <row r="89" spans="1:13" x14ac:dyDescent="0.25">
      <c r="A89" t="s">
        <v>330</v>
      </c>
      <c r="B89">
        <v>0</v>
      </c>
      <c r="C89">
        <v>0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 t="s">
        <v>198</v>
      </c>
      <c r="K89" t="s">
        <v>233</v>
      </c>
      <c r="L89" t="s">
        <v>219</v>
      </c>
      <c r="M89" t="s">
        <v>225</v>
      </c>
    </row>
    <row r="90" spans="1:13" x14ac:dyDescent="0.25">
      <c r="A90" t="s">
        <v>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198</v>
      </c>
      <c r="K90" t="s">
        <v>202</v>
      </c>
      <c r="L90" t="s">
        <v>220</v>
      </c>
      <c r="M90" t="s">
        <v>225</v>
      </c>
    </row>
    <row r="91" spans="1:13" x14ac:dyDescent="0.25">
      <c r="A91" t="s">
        <v>46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198</v>
      </c>
      <c r="K91" t="s">
        <v>203</v>
      </c>
      <c r="L91" t="s">
        <v>220</v>
      </c>
      <c r="M91" t="s">
        <v>225</v>
      </c>
    </row>
    <row r="92" spans="1:13" x14ac:dyDescent="0.25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198</v>
      </c>
      <c r="K93" t="s">
        <v>239</v>
      </c>
      <c r="L93" t="s">
        <v>220</v>
      </c>
      <c r="M93" t="s">
        <v>225</v>
      </c>
    </row>
    <row r="94" spans="1:13" x14ac:dyDescent="0.25">
      <c r="A94" t="s">
        <v>332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198</v>
      </c>
      <c r="K94" t="s">
        <v>241</v>
      </c>
      <c r="L94" t="s">
        <v>220</v>
      </c>
      <c r="M94" t="s">
        <v>225</v>
      </c>
    </row>
    <row r="95" spans="1:13" x14ac:dyDescent="0.25">
      <c r="A95" t="s">
        <v>48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198</v>
      </c>
      <c r="K95" t="s">
        <v>206</v>
      </c>
      <c r="L95" t="s">
        <v>220</v>
      </c>
      <c r="M95" t="s">
        <v>225</v>
      </c>
    </row>
    <row r="96" spans="1:13" x14ac:dyDescent="0.25">
      <c r="A96" t="s">
        <v>272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198</v>
      </c>
      <c r="K96" t="s">
        <v>207</v>
      </c>
      <c r="L96" t="s">
        <v>220</v>
      </c>
      <c r="M96" t="s">
        <v>225</v>
      </c>
    </row>
    <row r="97" spans="1:13" x14ac:dyDescent="0.25">
      <c r="A97" t="s">
        <v>333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198</v>
      </c>
      <c r="K98" t="s">
        <v>202</v>
      </c>
      <c r="L98" t="s">
        <v>221</v>
      </c>
      <c r="M98" t="s">
        <v>225</v>
      </c>
    </row>
    <row r="99" spans="1:13" x14ac:dyDescent="0.25">
      <c r="A99" t="s">
        <v>50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198</v>
      </c>
      <c r="K99" t="s">
        <v>203</v>
      </c>
      <c r="L99" t="s">
        <v>221</v>
      </c>
      <c r="M99" t="s">
        <v>225</v>
      </c>
    </row>
    <row r="100" spans="1:13" x14ac:dyDescent="0.25">
      <c r="A100" t="s">
        <v>51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198</v>
      </c>
      <c r="K100" t="s">
        <v>204</v>
      </c>
      <c r="L100" t="s">
        <v>221</v>
      </c>
      <c r="M100" t="s">
        <v>225</v>
      </c>
    </row>
    <row r="101" spans="1:13" x14ac:dyDescent="0.25">
      <c r="A101" t="s">
        <v>334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198</v>
      </c>
      <c r="K101" t="s">
        <v>239</v>
      </c>
      <c r="L101" t="s">
        <v>221</v>
      </c>
      <c r="M101" t="s">
        <v>225</v>
      </c>
    </row>
    <row r="102" spans="1:13" x14ac:dyDescent="0.25">
      <c r="A102" t="s">
        <v>335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198</v>
      </c>
      <c r="K103" t="s">
        <v>206</v>
      </c>
      <c r="L103" t="s">
        <v>221</v>
      </c>
      <c r="M103" t="s">
        <v>225</v>
      </c>
    </row>
    <row r="104" spans="1:13" x14ac:dyDescent="0.25">
      <c r="A104" t="s">
        <v>273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198</v>
      </c>
      <c r="K104" t="s">
        <v>207</v>
      </c>
      <c r="L104" t="s">
        <v>221</v>
      </c>
      <c r="M104" t="s">
        <v>225</v>
      </c>
    </row>
    <row r="105" spans="1:13" x14ac:dyDescent="0.25">
      <c r="A105" t="s">
        <v>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198</v>
      </c>
      <c r="K105" t="s">
        <v>233</v>
      </c>
      <c r="L105" t="s">
        <v>221</v>
      </c>
      <c r="M105" t="s">
        <v>225</v>
      </c>
    </row>
    <row r="106" spans="1:13" x14ac:dyDescent="0.25">
      <c r="A106" t="s">
        <v>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198</v>
      </c>
      <c r="K106" t="s">
        <v>202</v>
      </c>
      <c r="L106" t="s">
        <v>222</v>
      </c>
      <c r="M106" t="s">
        <v>225</v>
      </c>
    </row>
    <row r="107" spans="1:13" x14ac:dyDescent="0.25">
      <c r="A107" t="s">
        <v>54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 t="s">
        <v>198</v>
      </c>
      <c r="K108" t="s">
        <v>204</v>
      </c>
      <c r="L108" t="s">
        <v>222</v>
      </c>
      <c r="M108" t="s">
        <v>225</v>
      </c>
    </row>
    <row r="109" spans="1:13" x14ac:dyDescent="0.25">
      <c r="A109" t="s">
        <v>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198</v>
      </c>
      <c r="K109" t="s">
        <v>239</v>
      </c>
      <c r="L109" t="s">
        <v>222</v>
      </c>
      <c r="M109" t="s">
        <v>225</v>
      </c>
    </row>
    <row r="110" spans="1:13" x14ac:dyDescent="0.25">
      <c r="A110" t="s">
        <v>338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198</v>
      </c>
      <c r="K110" t="s">
        <v>241</v>
      </c>
      <c r="L110" t="s">
        <v>222</v>
      </c>
      <c r="M110" t="s">
        <v>225</v>
      </c>
    </row>
    <row r="111" spans="1:13" x14ac:dyDescent="0.25">
      <c r="A111" t="s">
        <v>56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198</v>
      </c>
      <c r="K111" t="s">
        <v>206</v>
      </c>
      <c r="L111" t="s">
        <v>222</v>
      </c>
      <c r="M111" t="s">
        <v>225</v>
      </c>
    </row>
    <row r="112" spans="1:13" x14ac:dyDescent="0.25">
      <c r="A112" t="s">
        <v>274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 t="s">
        <v>198</v>
      </c>
      <c r="K113" t="s">
        <v>233</v>
      </c>
      <c r="L113" t="s">
        <v>222</v>
      </c>
      <c r="M113" t="s">
        <v>225</v>
      </c>
    </row>
    <row r="114" spans="1:13" x14ac:dyDescent="0.25">
      <c r="A114" t="s">
        <v>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198</v>
      </c>
      <c r="K114" t="s">
        <v>202</v>
      </c>
      <c r="L114" t="s">
        <v>223</v>
      </c>
      <c r="M114" t="s">
        <v>225</v>
      </c>
    </row>
    <row r="115" spans="1:13" x14ac:dyDescent="0.25">
      <c r="A115" t="s">
        <v>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198</v>
      </c>
      <c r="K115" t="s">
        <v>203</v>
      </c>
      <c r="L115" t="s">
        <v>223</v>
      </c>
      <c r="M115" t="s">
        <v>225</v>
      </c>
    </row>
    <row r="116" spans="1:13" x14ac:dyDescent="0.25">
      <c r="A116" t="s">
        <v>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198</v>
      </c>
      <c r="K116" t="s">
        <v>204</v>
      </c>
      <c r="L116" t="s">
        <v>223</v>
      </c>
      <c r="M116" t="s">
        <v>225</v>
      </c>
    </row>
    <row r="117" spans="1:13" x14ac:dyDescent="0.25">
      <c r="A117" t="s">
        <v>340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198</v>
      </c>
      <c r="K118" t="s">
        <v>241</v>
      </c>
      <c r="L118" t="s">
        <v>223</v>
      </c>
      <c r="M118" t="s">
        <v>225</v>
      </c>
    </row>
    <row r="119" spans="1:13" x14ac:dyDescent="0.25">
      <c r="A119" t="s">
        <v>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198</v>
      </c>
      <c r="K119" t="s">
        <v>206</v>
      </c>
      <c r="L119" t="s">
        <v>223</v>
      </c>
      <c r="M119" t="s">
        <v>225</v>
      </c>
    </row>
    <row r="120" spans="1:13" x14ac:dyDescent="0.25">
      <c r="A120" t="s">
        <v>275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198</v>
      </c>
      <c r="K120" t="s">
        <v>207</v>
      </c>
      <c r="L120" t="s">
        <v>223</v>
      </c>
      <c r="M120" t="s">
        <v>225</v>
      </c>
    </row>
    <row r="121" spans="1:13" x14ac:dyDescent="0.25">
      <c r="A121" t="s">
        <v>342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198</v>
      </c>
      <c r="K121" t="s">
        <v>233</v>
      </c>
      <c r="L121" t="s">
        <v>223</v>
      </c>
      <c r="M121" t="s">
        <v>225</v>
      </c>
    </row>
    <row r="122" spans="1:13" x14ac:dyDescent="0.25">
      <c r="A122" t="s">
        <v>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 t="s">
        <v>199</v>
      </c>
      <c r="K123" t="s">
        <v>203</v>
      </c>
      <c r="L123" t="s">
        <v>209</v>
      </c>
      <c r="M123" t="s">
        <v>225</v>
      </c>
    </row>
    <row r="124" spans="1:13" x14ac:dyDescent="0.25">
      <c r="A124" t="s">
        <v>63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199</v>
      </c>
      <c r="K124" t="s">
        <v>204</v>
      </c>
      <c r="L124" t="s">
        <v>209</v>
      </c>
      <c r="M124" t="s">
        <v>225</v>
      </c>
    </row>
    <row r="125" spans="1:13" x14ac:dyDescent="0.25">
      <c r="A125" t="s">
        <v>343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199</v>
      </c>
      <c r="K125" t="s">
        <v>239</v>
      </c>
      <c r="L125" t="s">
        <v>209</v>
      </c>
      <c r="M125" t="s">
        <v>225</v>
      </c>
    </row>
    <row r="126" spans="1:13" x14ac:dyDescent="0.25">
      <c r="A126" t="s">
        <v>344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199</v>
      </c>
      <c r="K126" t="s">
        <v>241</v>
      </c>
      <c r="L126" t="s">
        <v>209</v>
      </c>
      <c r="M126" t="s">
        <v>225</v>
      </c>
    </row>
    <row r="127" spans="1:13" x14ac:dyDescent="0.25">
      <c r="A127" t="s">
        <v>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199</v>
      </c>
      <c r="K128" t="s">
        <v>207</v>
      </c>
      <c r="L128" t="s">
        <v>209</v>
      </c>
      <c r="M128" t="s">
        <v>225</v>
      </c>
    </row>
    <row r="129" spans="1:13" x14ac:dyDescent="0.25">
      <c r="A129" t="s">
        <v>345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199</v>
      </c>
      <c r="K129" t="s">
        <v>233</v>
      </c>
      <c r="L129" t="s">
        <v>209</v>
      </c>
      <c r="M129" t="s">
        <v>225</v>
      </c>
    </row>
    <row r="130" spans="1:13" x14ac:dyDescent="0.25">
      <c r="A130" t="s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199</v>
      </c>
      <c r="K130" t="s">
        <v>202</v>
      </c>
      <c r="L130" t="s">
        <v>210</v>
      </c>
      <c r="M130" t="s">
        <v>225</v>
      </c>
    </row>
    <row r="131" spans="1:13" x14ac:dyDescent="0.25">
      <c r="A131" t="s">
        <v>66</v>
      </c>
      <c r="B131">
        <v>1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0</v>
      </c>
      <c r="J131" t="s">
        <v>199</v>
      </c>
      <c r="K131" t="s">
        <v>203</v>
      </c>
      <c r="L131" t="s">
        <v>210</v>
      </c>
      <c r="M131" t="s">
        <v>225</v>
      </c>
    </row>
    <row r="132" spans="1:13" x14ac:dyDescent="0.25">
      <c r="A132" t="s">
        <v>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199</v>
      </c>
      <c r="K133" t="s">
        <v>239</v>
      </c>
      <c r="L133" t="s">
        <v>210</v>
      </c>
      <c r="M133" t="s">
        <v>225</v>
      </c>
    </row>
    <row r="134" spans="1:13" x14ac:dyDescent="0.25">
      <c r="A134" t="s">
        <v>347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199</v>
      </c>
      <c r="K134" t="s">
        <v>241</v>
      </c>
      <c r="L134" t="s">
        <v>210</v>
      </c>
      <c r="M134" t="s">
        <v>225</v>
      </c>
    </row>
    <row r="135" spans="1:13" x14ac:dyDescent="0.25">
      <c r="A135" t="s">
        <v>68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 t="s">
        <v>199</v>
      </c>
      <c r="K135" t="s">
        <v>206</v>
      </c>
      <c r="L135" t="s">
        <v>210</v>
      </c>
      <c r="M135" t="s">
        <v>225</v>
      </c>
    </row>
    <row r="136" spans="1:13" x14ac:dyDescent="0.25">
      <c r="A136" t="s">
        <v>277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199</v>
      </c>
      <c r="K136" t="s">
        <v>207</v>
      </c>
      <c r="L136" t="s">
        <v>210</v>
      </c>
      <c r="M136" t="s">
        <v>225</v>
      </c>
    </row>
    <row r="137" spans="1:13" x14ac:dyDescent="0.25">
      <c r="A137" t="s">
        <v>348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199</v>
      </c>
      <c r="K138" t="s">
        <v>202</v>
      </c>
      <c r="L138" t="s">
        <v>211</v>
      </c>
      <c r="M138" t="s">
        <v>225</v>
      </c>
    </row>
    <row r="139" spans="1:13" x14ac:dyDescent="0.25">
      <c r="A139" t="s">
        <v>70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</v>
      </c>
      <c r="I139">
        <v>1</v>
      </c>
      <c r="J139" t="s">
        <v>199</v>
      </c>
      <c r="K139" t="s">
        <v>203</v>
      </c>
      <c r="L139" t="s">
        <v>211</v>
      </c>
      <c r="M139" t="s">
        <v>225</v>
      </c>
    </row>
    <row r="140" spans="1:13" x14ac:dyDescent="0.25">
      <c r="A140" t="s">
        <v>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199</v>
      </c>
      <c r="K140" t="s">
        <v>204</v>
      </c>
      <c r="L140" t="s">
        <v>211</v>
      </c>
      <c r="M140" t="s">
        <v>225</v>
      </c>
    </row>
    <row r="141" spans="1:13" x14ac:dyDescent="0.25">
      <c r="A141" t="s">
        <v>349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199</v>
      </c>
      <c r="K141" t="s">
        <v>239</v>
      </c>
      <c r="L141" t="s">
        <v>211</v>
      </c>
      <c r="M141" t="s">
        <v>225</v>
      </c>
    </row>
    <row r="142" spans="1:13" x14ac:dyDescent="0.25">
      <c r="A142" t="s">
        <v>350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199</v>
      </c>
      <c r="K143" t="s">
        <v>206</v>
      </c>
      <c r="L143" t="s">
        <v>211</v>
      </c>
      <c r="M143" t="s">
        <v>225</v>
      </c>
    </row>
    <row r="144" spans="1:13" x14ac:dyDescent="0.25">
      <c r="A144" t="s">
        <v>278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199</v>
      </c>
      <c r="K144" t="s">
        <v>207</v>
      </c>
      <c r="L144" t="s">
        <v>211</v>
      </c>
      <c r="M144" t="s">
        <v>225</v>
      </c>
    </row>
    <row r="145" spans="1:13" x14ac:dyDescent="0.25">
      <c r="A145" t="s">
        <v>351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199</v>
      </c>
      <c r="K145" t="s">
        <v>233</v>
      </c>
      <c r="L145" t="s">
        <v>211</v>
      </c>
      <c r="M145" t="s">
        <v>225</v>
      </c>
    </row>
    <row r="146" spans="1:13" x14ac:dyDescent="0.25">
      <c r="A146" t="s">
        <v>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199</v>
      </c>
      <c r="K146" t="s">
        <v>202</v>
      </c>
      <c r="L146" t="s">
        <v>212</v>
      </c>
      <c r="M146" t="s">
        <v>225</v>
      </c>
    </row>
    <row r="147" spans="1:13" x14ac:dyDescent="0.25">
      <c r="A147" t="s">
        <v>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 t="s">
        <v>199</v>
      </c>
      <c r="K148" t="s">
        <v>204</v>
      </c>
      <c r="L148" t="s">
        <v>212</v>
      </c>
      <c r="M148" t="s">
        <v>225</v>
      </c>
    </row>
    <row r="149" spans="1:13" x14ac:dyDescent="0.25">
      <c r="A149" t="s">
        <v>352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199</v>
      </c>
      <c r="K149" t="s">
        <v>239</v>
      </c>
      <c r="L149" t="s">
        <v>212</v>
      </c>
      <c r="M149" t="s">
        <v>225</v>
      </c>
    </row>
    <row r="150" spans="1:13" x14ac:dyDescent="0.25">
      <c r="A150" t="s">
        <v>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199</v>
      </c>
      <c r="K150" t="s">
        <v>241</v>
      </c>
      <c r="L150" t="s">
        <v>212</v>
      </c>
      <c r="M150" t="s">
        <v>225</v>
      </c>
    </row>
    <row r="151" spans="1:13" x14ac:dyDescent="0.25">
      <c r="A151" t="s">
        <v>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199</v>
      </c>
      <c r="K151" t="s">
        <v>206</v>
      </c>
      <c r="L151" t="s">
        <v>212</v>
      </c>
      <c r="M151" t="s">
        <v>225</v>
      </c>
    </row>
    <row r="152" spans="1:13" x14ac:dyDescent="0.25">
      <c r="A152" t="s">
        <v>279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 t="s">
        <v>199</v>
      </c>
      <c r="K153" t="s">
        <v>233</v>
      </c>
      <c r="L153" t="s">
        <v>212</v>
      </c>
      <c r="M153" t="s">
        <v>225</v>
      </c>
    </row>
    <row r="154" spans="1:13" x14ac:dyDescent="0.25">
      <c r="A154" t="s">
        <v>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199</v>
      </c>
      <c r="K154" t="s">
        <v>202</v>
      </c>
      <c r="L154" t="s">
        <v>213</v>
      </c>
      <c r="M154" t="s">
        <v>225</v>
      </c>
    </row>
    <row r="155" spans="1:13" x14ac:dyDescent="0.25">
      <c r="A155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199</v>
      </c>
      <c r="K155" t="s">
        <v>203</v>
      </c>
      <c r="L155" t="s">
        <v>213</v>
      </c>
      <c r="M155" t="s">
        <v>225</v>
      </c>
    </row>
    <row r="156" spans="1:13" x14ac:dyDescent="0.25">
      <c r="A156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199</v>
      </c>
      <c r="K156" t="s">
        <v>204</v>
      </c>
      <c r="L156" t="s">
        <v>213</v>
      </c>
      <c r="M156" t="s">
        <v>225</v>
      </c>
    </row>
    <row r="157" spans="1:13" x14ac:dyDescent="0.25">
      <c r="A157" t="s">
        <v>355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199</v>
      </c>
      <c r="K158" t="s">
        <v>241</v>
      </c>
      <c r="L158" t="s">
        <v>213</v>
      </c>
      <c r="M158" t="s">
        <v>225</v>
      </c>
    </row>
    <row r="159" spans="1:13" x14ac:dyDescent="0.25">
      <c r="A159" t="s">
        <v>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199</v>
      </c>
      <c r="K159" t="s">
        <v>206</v>
      </c>
      <c r="L159" t="s">
        <v>213</v>
      </c>
      <c r="M159" t="s">
        <v>225</v>
      </c>
    </row>
    <row r="160" spans="1:13" x14ac:dyDescent="0.25">
      <c r="A160" t="s">
        <v>280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199</v>
      </c>
      <c r="K160" t="s">
        <v>207</v>
      </c>
      <c r="L160" t="s">
        <v>213</v>
      </c>
      <c r="M160" t="s">
        <v>225</v>
      </c>
    </row>
    <row r="161" spans="1:13" x14ac:dyDescent="0.25">
      <c r="A161" t="s">
        <v>357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 t="s">
        <v>199</v>
      </c>
      <c r="K161" t="s">
        <v>233</v>
      </c>
      <c r="L161" t="s">
        <v>213</v>
      </c>
      <c r="M161" t="s">
        <v>225</v>
      </c>
    </row>
    <row r="162" spans="1:13" x14ac:dyDescent="0.25">
      <c r="A162" t="s">
        <v>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 t="s">
        <v>199</v>
      </c>
      <c r="K163" t="s">
        <v>203</v>
      </c>
      <c r="L163" t="s">
        <v>214</v>
      </c>
      <c r="M163" t="s">
        <v>225</v>
      </c>
    </row>
    <row r="164" spans="1:13" x14ac:dyDescent="0.25">
      <c r="A164" t="s">
        <v>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199</v>
      </c>
      <c r="K164" t="s">
        <v>204</v>
      </c>
      <c r="L164" t="s">
        <v>214</v>
      </c>
      <c r="M164" t="s">
        <v>225</v>
      </c>
    </row>
    <row r="165" spans="1:13" x14ac:dyDescent="0.25">
      <c r="A165" t="s">
        <v>358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199</v>
      </c>
      <c r="K165" t="s">
        <v>239</v>
      </c>
      <c r="L165" t="s">
        <v>214</v>
      </c>
      <c r="M165" t="s">
        <v>225</v>
      </c>
    </row>
    <row r="166" spans="1:13" x14ac:dyDescent="0.25">
      <c r="A166" t="s">
        <v>359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199</v>
      </c>
      <c r="K166" t="s">
        <v>241</v>
      </c>
      <c r="L166" t="s">
        <v>214</v>
      </c>
      <c r="M166" t="s">
        <v>225</v>
      </c>
    </row>
    <row r="167" spans="1:13" x14ac:dyDescent="0.25">
      <c r="A167" t="s">
        <v>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199</v>
      </c>
      <c r="K168" t="s">
        <v>207</v>
      </c>
      <c r="L168" t="s">
        <v>214</v>
      </c>
      <c r="M168" t="s">
        <v>225</v>
      </c>
    </row>
    <row r="169" spans="1:13" x14ac:dyDescent="0.25">
      <c r="A169" t="s">
        <v>360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199</v>
      </c>
      <c r="K169" t="s">
        <v>233</v>
      </c>
      <c r="L169" t="s">
        <v>214</v>
      </c>
      <c r="M169" t="s">
        <v>225</v>
      </c>
    </row>
    <row r="170" spans="1:13" x14ac:dyDescent="0.25">
      <c r="A170" t="s">
        <v>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199</v>
      </c>
      <c r="K170" t="s">
        <v>202</v>
      </c>
      <c r="L170" t="s">
        <v>215</v>
      </c>
      <c r="M170" t="s">
        <v>225</v>
      </c>
    </row>
    <row r="171" spans="1:13" x14ac:dyDescent="0.25">
      <c r="A171" t="s">
        <v>86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199</v>
      </c>
      <c r="K171" t="s">
        <v>203</v>
      </c>
      <c r="L171" t="s">
        <v>215</v>
      </c>
      <c r="M171" t="s">
        <v>225</v>
      </c>
    </row>
    <row r="172" spans="1:13" x14ac:dyDescent="0.25">
      <c r="A172" t="s">
        <v>87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199</v>
      </c>
      <c r="K173" t="s">
        <v>239</v>
      </c>
      <c r="L173" t="s">
        <v>215</v>
      </c>
      <c r="M173" t="s">
        <v>225</v>
      </c>
    </row>
    <row r="174" spans="1:13" x14ac:dyDescent="0.25">
      <c r="A174" t="s">
        <v>362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199</v>
      </c>
      <c r="K174" t="s">
        <v>241</v>
      </c>
      <c r="L174" t="s">
        <v>215</v>
      </c>
      <c r="M174" t="s">
        <v>225</v>
      </c>
    </row>
    <row r="175" spans="1:13" x14ac:dyDescent="0.25">
      <c r="A175" t="s">
        <v>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199</v>
      </c>
      <c r="K175" t="s">
        <v>206</v>
      </c>
      <c r="L175" t="s">
        <v>215</v>
      </c>
      <c r="M175" t="s">
        <v>225</v>
      </c>
    </row>
    <row r="176" spans="1:13" x14ac:dyDescent="0.25">
      <c r="A176" t="s">
        <v>282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199</v>
      </c>
      <c r="K176" t="s">
        <v>207</v>
      </c>
      <c r="L176" t="s">
        <v>215</v>
      </c>
      <c r="M176" t="s">
        <v>225</v>
      </c>
    </row>
    <row r="177" spans="1:13" x14ac:dyDescent="0.25">
      <c r="A177" t="s">
        <v>363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199</v>
      </c>
      <c r="K178" t="s">
        <v>202</v>
      </c>
      <c r="L178" t="s">
        <v>216</v>
      </c>
      <c r="M178" t="s">
        <v>225</v>
      </c>
    </row>
    <row r="179" spans="1:13" x14ac:dyDescent="0.25">
      <c r="A179" t="s">
        <v>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199</v>
      </c>
      <c r="K179" t="s">
        <v>203</v>
      </c>
      <c r="L179" t="s">
        <v>216</v>
      </c>
      <c r="M179" t="s">
        <v>225</v>
      </c>
    </row>
    <row r="180" spans="1:13" x14ac:dyDescent="0.25">
      <c r="A180" t="s">
        <v>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199</v>
      </c>
      <c r="K180" t="s">
        <v>204</v>
      </c>
      <c r="L180" t="s">
        <v>216</v>
      </c>
      <c r="M180" t="s">
        <v>225</v>
      </c>
    </row>
    <row r="181" spans="1:13" x14ac:dyDescent="0.25">
      <c r="A181" t="s">
        <v>364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199</v>
      </c>
      <c r="K181" t="s">
        <v>239</v>
      </c>
      <c r="L181" t="s">
        <v>216</v>
      </c>
      <c r="M181" t="s">
        <v>225</v>
      </c>
    </row>
    <row r="182" spans="1:13" x14ac:dyDescent="0.25">
      <c r="A182" t="s">
        <v>365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199</v>
      </c>
      <c r="K183" t="s">
        <v>206</v>
      </c>
      <c r="L183" t="s">
        <v>216</v>
      </c>
      <c r="M183" t="s">
        <v>225</v>
      </c>
    </row>
    <row r="184" spans="1:13" x14ac:dyDescent="0.25">
      <c r="A184" t="s">
        <v>283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199</v>
      </c>
      <c r="K184" t="s">
        <v>207</v>
      </c>
      <c r="L184" t="s">
        <v>216</v>
      </c>
      <c r="M184" t="s">
        <v>225</v>
      </c>
    </row>
    <row r="185" spans="1:13" x14ac:dyDescent="0.25">
      <c r="A185" t="s">
        <v>366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 t="s">
        <v>199</v>
      </c>
      <c r="K185" t="s">
        <v>233</v>
      </c>
      <c r="L185" t="s">
        <v>216</v>
      </c>
      <c r="M185" t="s">
        <v>225</v>
      </c>
    </row>
    <row r="186" spans="1:13" x14ac:dyDescent="0.25">
      <c r="A186" t="s">
        <v>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199</v>
      </c>
      <c r="K186" t="s">
        <v>202</v>
      </c>
      <c r="L186" t="s">
        <v>217</v>
      </c>
      <c r="M186" t="s">
        <v>225</v>
      </c>
    </row>
    <row r="187" spans="1:13" x14ac:dyDescent="0.25">
      <c r="A187" t="s">
        <v>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 t="s">
        <v>199</v>
      </c>
      <c r="K188" t="s">
        <v>204</v>
      </c>
      <c r="L188" t="s">
        <v>217</v>
      </c>
      <c r="M188" t="s">
        <v>225</v>
      </c>
    </row>
    <row r="189" spans="1:13" x14ac:dyDescent="0.25">
      <c r="A189" t="s">
        <v>367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199</v>
      </c>
      <c r="K189" t="s">
        <v>239</v>
      </c>
      <c r="L189" t="s">
        <v>217</v>
      </c>
      <c r="M189" t="s">
        <v>225</v>
      </c>
    </row>
    <row r="190" spans="1:13" x14ac:dyDescent="0.25">
      <c r="A190" t="s">
        <v>368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199</v>
      </c>
      <c r="K190" t="s">
        <v>241</v>
      </c>
      <c r="L190" t="s">
        <v>217</v>
      </c>
      <c r="M190" t="s">
        <v>225</v>
      </c>
    </row>
    <row r="191" spans="1:13" x14ac:dyDescent="0.25">
      <c r="A191" t="s">
        <v>96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 t="s">
        <v>199</v>
      </c>
      <c r="K191" t="s">
        <v>206</v>
      </c>
      <c r="L191" t="s">
        <v>217</v>
      </c>
      <c r="M191" t="s">
        <v>225</v>
      </c>
    </row>
    <row r="192" spans="1:13" x14ac:dyDescent="0.25">
      <c r="A192" t="s">
        <v>284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1</v>
      </c>
      <c r="C193">
        <v>1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 t="s">
        <v>199</v>
      </c>
      <c r="K193" t="s">
        <v>233</v>
      </c>
      <c r="L193" t="s">
        <v>217</v>
      </c>
      <c r="M193" t="s">
        <v>225</v>
      </c>
    </row>
    <row r="194" spans="1:13" x14ac:dyDescent="0.25">
      <c r="A194" t="s">
        <v>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199</v>
      </c>
      <c r="K194" t="s">
        <v>202</v>
      </c>
      <c r="L194" t="s">
        <v>218</v>
      </c>
      <c r="M194" t="s">
        <v>225</v>
      </c>
    </row>
    <row r="195" spans="1:13" x14ac:dyDescent="0.25">
      <c r="A195" t="s">
        <v>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199</v>
      </c>
      <c r="K195" t="s">
        <v>203</v>
      </c>
      <c r="L195" t="s">
        <v>218</v>
      </c>
      <c r="M195" t="s">
        <v>225</v>
      </c>
    </row>
    <row r="196" spans="1:13" x14ac:dyDescent="0.25">
      <c r="A196" t="s">
        <v>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199</v>
      </c>
      <c r="K196" t="s">
        <v>204</v>
      </c>
      <c r="L196" t="s">
        <v>218</v>
      </c>
      <c r="M196" t="s">
        <v>225</v>
      </c>
    </row>
    <row r="197" spans="1:13" x14ac:dyDescent="0.25">
      <c r="A197" t="s">
        <v>370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199</v>
      </c>
      <c r="K198" t="s">
        <v>241</v>
      </c>
      <c r="L198" t="s">
        <v>218</v>
      </c>
      <c r="M198" t="s">
        <v>225</v>
      </c>
    </row>
    <row r="199" spans="1:13" x14ac:dyDescent="0.25">
      <c r="A199" t="s">
        <v>100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199</v>
      </c>
      <c r="K199" t="s">
        <v>206</v>
      </c>
      <c r="L199" t="s">
        <v>218</v>
      </c>
      <c r="M199" t="s">
        <v>225</v>
      </c>
    </row>
    <row r="200" spans="1:13" x14ac:dyDescent="0.25">
      <c r="A200" t="s">
        <v>285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199</v>
      </c>
      <c r="K200" t="s">
        <v>207</v>
      </c>
      <c r="L200" t="s">
        <v>218</v>
      </c>
      <c r="M200" t="s">
        <v>225</v>
      </c>
    </row>
    <row r="201" spans="1:13" x14ac:dyDescent="0.25">
      <c r="A201" t="s">
        <v>372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199</v>
      </c>
      <c r="K201" t="s">
        <v>233</v>
      </c>
      <c r="L201" t="s">
        <v>218</v>
      </c>
      <c r="M201" t="s">
        <v>225</v>
      </c>
    </row>
    <row r="202" spans="1:13" x14ac:dyDescent="0.25">
      <c r="A202" t="s">
        <v>101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199</v>
      </c>
      <c r="K203" t="s">
        <v>203</v>
      </c>
      <c r="L203" t="s">
        <v>219</v>
      </c>
      <c r="M203" t="s">
        <v>225</v>
      </c>
    </row>
    <row r="204" spans="1:13" x14ac:dyDescent="0.25">
      <c r="A204" t="s">
        <v>103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199</v>
      </c>
      <c r="K204" t="s">
        <v>204</v>
      </c>
      <c r="L204" t="s">
        <v>219</v>
      </c>
      <c r="M204" t="s">
        <v>225</v>
      </c>
    </row>
    <row r="205" spans="1:13" x14ac:dyDescent="0.25">
      <c r="A205" t="s">
        <v>373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199</v>
      </c>
      <c r="K205" t="s">
        <v>239</v>
      </c>
      <c r="L205" t="s">
        <v>219</v>
      </c>
      <c r="M205" t="s">
        <v>225</v>
      </c>
    </row>
    <row r="206" spans="1:13" x14ac:dyDescent="0.25">
      <c r="A206" t="s">
        <v>374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199</v>
      </c>
      <c r="K206" t="s">
        <v>241</v>
      </c>
      <c r="L206" t="s">
        <v>219</v>
      </c>
      <c r="M206" t="s">
        <v>225</v>
      </c>
    </row>
    <row r="207" spans="1:13" x14ac:dyDescent="0.25">
      <c r="A207" t="s">
        <v>104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199</v>
      </c>
      <c r="K208" t="s">
        <v>207</v>
      </c>
      <c r="L208" t="s">
        <v>219</v>
      </c>
      <c r="M208" t="s">
        <v>225</v>
      </c>
    </row>
    <row r="209" spans="1:13" x14ac:dyDescent="0.25">
      <c r="A209" t="s">
        <v>375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 t="s">
        <v>199</v>
      </c>
      <c r="K209" t="s">
        <v>233</v>
      </c>
      <c r="L209" t="s">
        <v>219</v>
      </c>
      <c r="M209" t="s">
        <v>225</v>
      </c>
    </row>
    <row r="210" spans="1:13" x14ac:dyDescent="0.25">
      <c r="A210" t="s">
        <v>105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199</v>
      </c>
      <c r="K210" t="s">
        <v>202</v>
      </c>
      <c r="L210" t="s">
        <v>220</v>
      </c>
      <c r="M210" t="s">
        <v>225</v>
      </c>
    </row>
    <row r="211" spans="1:13" x14ac:dyDescent="0.25">
      <c r="A211" t="s">
        <v>106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199</v>
      </c>
      <c r="K211" t="s">
        <v>203</v>
      </c>
      <c r="L211" t="s">
        <v>220</v>
      </c>
      <c r="M211" t="s">
        <v>225</v>
      </c>
    </row>
    <row r="212" spans="1:13" x14ac:dyDescent="0.25">
      <c r="A212" t="s">
        <v>107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199</v>
      </c>
      <c r="K213" t="s">
        <v>239</v>
      </c>
      <c r="L213" t="s">
        <v>220</v>
      </c>
      <c r="M213" t="s">
        <v>225</v>
      </c>
    </row>
    <row r="214" spans="1:13" x14ac:dyDescent="0.25">
      <c r="A214" t="s">
        <v>377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199</v>
      </c>
      <c r="K214" t="s">
        <v>241</v>
      </c>
      <c r="L214" t="s">
        <v>220</v>
      </c>
      <c r="M214" t="s">
        <v>225</v>
      </c>
    </row>
    <row r="215" spans="1:13" x14ac:dyDescent="0.25">
      <c r="A215" t="s">
        <v>108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199</v>
      </c>
      <c r="K215" t="s">
        <v>206</v>
      </c>
      <c r="L215" t="s">
        <v>220</v>
      </c>
      <c r="M215" t="s">
        <v>225</v>
      </c>
    </row>
    <row r="216" spans="1:13" x14ac:dyDescent="0.25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199</v>
      </c>
      <c r="K216" t="s">
        <v>207</v>
      </c>
      <c r="L216" t="s">
        <v>220</v>
      </c>
      <c r="M216" t="s">
        <v>225</v>
      </c>
    </row>
    <row r="217" spans="1:13" x14ac:dyDescent="0.25">
      <c r="A217" t="s">
        <v>378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199</v>
      </c>
      <c r="K218" t="s">
        <v>202</v>
      </c>
      <c r="L218" t="s">
        <v>221</v>
      </c>
      <c r="M218" t="s">
        <v>225</v>
      </c>
    </row>
    <row r="219" spans="1:13" x14ac:dyDescent="0.25">
      <c r="A219" t="s">
        <v>110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199</v>
      </c>
      <c r="K219" t="s">
        <v>203</v>
      </c>
      <c r="L219" t="s">
        <v>221</v>
      </c>
      <c r="M219" t="s">
        <v>225</v>
      </c>
    </row>
    <row r="220" spans="1:13" x14ac:dyDescent="0.25">
      <c r="A220" t="s">
        <v>111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199</v>
      </c>
      <c r="K220" t="s">
        <v>204</v>
      </c>
      <c r="L220" t="s">
        <v>221</v>
      </c>
      <c r="M220" t="s">
        <v>225</v>
      </c>
    </row>
    <row r="221" spans="1:13" x14ac:dyDescent="0.25">
      <c r="A221" t="s">
        <v>379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199</v>
      </c>
      <c r="K221" t="s">
        <v>239</v>
      </c>
      <c r="L221" t="s">
        <v>221</v>
      </c>
      <c r="M221" t="s">
        <v>225</v>
      </c>
    </row>
    <row r="222" spans="1:13" x14ac:dyDescent="0.25">
      <c r="A222" t="s">
        <v>380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199</v>
      </c>
      <c r="K223" t="s">
        <v>206</v>
      </c>
      <c r="L223" t="s">
        <v>221</v>
      </c>
      <c r="M223" t="s">
        <v>225</v>
      </c>
    </row>
    <row r="224" spans="1:13" x14ac:dyDescent="0.25">
      <c r="A224" t="s">
        <v>288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199</v>
      </c>
      <c r="K224" t="s">
        <v>207</v>
      </c>
      <c r="L224" t="s">
        <v>221</v>
      </c>
      <c r="M224" t="s">
        <v>225</v>
      </c>
    </row>
    <row r="225" spans="1:13" x14ac:dyDescent="0.25">
      <c r="A225" t="s">
        <v>381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199</v>
      </c>
      <c r="K225" t="s">
        <v>233</v>
      </c>
      <c r="L225" t="s">
        <v>221</v>
      </c>
      <c r="M225" t="s">
        <v>225</v>
      </c>
    </row>
    <row r="226" spans="1:13" x14ac:dyDescent="0.25">
      <c r="A226" t="s">
        <v>113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199</v>
      </c>
      <c r="K226" t="s">
        <v>202</v>
      </c>
      <c r="L226" t="s">
        <v>222</v>
      </c>
      <c r="M226" t="s">
        <v>225</v>
      </c>
    </row>
    <row r="227" spans="1:13" x14ac:dyDescent="0.25">
      <c r="A227" t="s">
        <v>114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199</v>
      </c>
      <c r="K227" t="s">
        <v>203</v>
      </c>
      <c r="L227" t="s">
        <v>222</v>
      </c>
      <c r="M227" t="s">
        <v>225</v>
      </c>
    </row>
    <row r="228" spans="1:13" x14ac:dyDescent="0.25">
      <c r="A228" t="s">
        <v>115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199</v>
      </c>
      <c r="K228" t="s">
        <v>204</v>
      </c>
      <c r="L228" t="s">
        <v>222</v>
      </c>
      <c r="M228" t="s">
        <v>225</v>
      </c>
    </row>
    <row r="229" spans="1:13" x14ac:dyDescent="0.25">
      <c r="A229" t="s">
        <v>382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199</v>
      </c>
      <c r="K229" t="s">
        <v>239</v>
      </c>
      <c r="L229" t="s">
        <v>222</v>
      </c>
      <c r="M229" t="s">
        <v>225</v>
      </c>
    </row>
    <row r="230" spans="1:13" x14ac:dyDescent="0.25">
      <c r="A230" t="s">
        <v>383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199</v>
      </c>
      <c r="K230" t="s">
        <v>241</v>
      </c>
      <c r="L230" t="s">
        <v>222</v>
      </c>
      <c r="M230" t="s">
        <v>225</v>
      </c>
    </row>
    <row r="231" spans="1:13" x14ac:dyDescent="0.25">
      <c r="A231" t="s">
        <v>116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199</v>
      </c>
      <c r="K231" t="s">
        <v>206</v>
      </c>
      <c r="L231" t="s">
        <v>222</v>
      </c>
      <c r="M231" t="s">
        <v>225</v>
      </c>
    </row>
    <row r="232" spans="1:13" x14ac:dyDescent="0.25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199</v>
      </c>
      <c r="K232" t="s">
        <v>207</v>
      </c>
      <c r="L232" t="s">
        <v>222</v>
      </c>
      <c r="M232" t="s">
        <v>225</v>
      </c>
    </row>
    <row r="233" spans="1:13" x14ac:dyDescent="0.25">
      <c r="A233" t="s">
        <v>384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199</v>
      </c>
      <c r="K233" t="s">
        <v>233</v>
      </c>
      <c r="L233" t="s">
        <v>222</v>
      </c>
      <c r="M233" t="s">
        <v>225</v>
      </c>
    </row>
    <row r="234" spans="1:13" x14ac:dyDescent="0.25">
      <c r="A234" t="s">
        <v>117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199</v>
      </c>
      <c r="K234" t="s">
        <v>202</v>
      </c>
      <c r="L234" t="s">
        <v>223</v>
      </c>
      <c r="M234" t="s">
        <v>225</v>
      </c>
    </row>
    <row r="235" spans="1:13" x14ac:dyDescent="0.25">
      <c r="A235" t="s">
        <v>118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199</v>
      </c>
      <c r="K235" t="s">
        <v>203</v>
      </c>
      <c r="L235" t="s">
        <v>223</v>
      </c>
      <c r="M235" t="s">
        <v>225</v>
      </c>
    </row>
    <row r="236" spans="1:13" x14ac:dyDescent="0.25">
      <c r="A236" t="s">
        <v>119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199</v>
      </c>
      <c r="K236" t="s">
        <v>204</v>
      </c>
      <c r="L236" t="s">
        <v>223</v>
      </c>
      <c r="M236" t="s">
        <v>225</v>
      </c>
    </row>
    <row r="237" spans="1:13" x14ac:dyDescent="0.25">
      <c r="A237" t="s">
        <v>385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199</v>
      </c>
      <c r="K237" t="s">
        <v>239</v>
      </c>
      <c r="L237" t="s">
        <v>223</v>
      </c>
      <c r="M237" t="s">
        <v>225</v>
      </c>
    </row>
    <row r="238" spans="1:13" x14ac:dyDescent="0.25">
      <c r="A238" t="s">
        <v>386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1</v>
      </c>
      <c r="J238" t="s">
        <v>199</v>
      </c>
      <c r="K238" t="s">
        <v>241</v>
      </c>
      <c r="L238" t="s">
        <v>223</v>
      </c>
      <c r="M238" t="s">
        <v>225</v>
      </c>
    </row>
    <row r="239" spans="1:13" x14ac:dyDescent="0.25">
      <c r="A239" t="s">
        <v>120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1</v>
      </c>
      <c r="J239" t="s">
        <v>199</v>
      </c>
      <c r="K239" t="s">
        <v>206</v>
      </c>
      <c r="L239" t="s">
        <v>223</v>
      </c>
      <c r="M239" t="s">
        <v>225</v>
      </c>
    </row>
    <row r="240" spans="1:13" x14ac:dyDescent="0.25">
      <c r="A240" t="s">
        <v>290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199</v>
      </c>
      <c r="K240" t="s">
        <v>207</v>
      </c>
      <c r="L240" t="s">
        <v>223</v>
      </c>
      <c r="M240" t="s">
        <v>225</v>
      </c>
    </row>
    <row r="241" spans="1:13" x14ac:dyDescent="0.25">
      <c r="A241" t="s">
        <v>387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199</v>
      </c>
      <c r="K241" t="s">
        <v>233</v>
      </c>
      <c r="L241" t="s">
        <v>223</v>
      </c>
      <c r="M241" t="s">
        <v>225</v>
      </c>
    </row>
    <row r="242" spans="1:13" x14ac:dyDescent="0.25">
      <c r="A242" t="s">
        <v>121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200</v>
      </c>
      <c r="K242" t="s">
        <v>202</v>
      </c>
      <c r="L242" t="s">
        <v>209</v>
      </c>
      <c r="M242" t="s">
        <v>225</v>
      </c>
    </row>
    <row r="243" spans="1:13" x14ac:dyDescent="0.25">
      <c r="A243" t="s">
        <v>122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200</v>
      </c>
      <c r="K243" t="s">
        <v>203</v>
      </c>
      <c r="L243" t="s">
        <v>209</v>
      </c>
      <c r="M243" t="s">
        <v>225</v>
      </c>
    </row>
    <row r="244" spans="1:13" x14ac:dyDescent="0.25">
      <c r="A244" t="s">
        <v>123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200</v>
      </c>
      <c r="K244" t="s">
        <v>204</v>
      </c>
      <c r="L244" t="s">
        <v>209</v>
      </c>
      <c r="M244" t="s">
        <v>225</v>
      </c>
    </row>
    <row r="245" spans="1:13" x14ac:dyDescent="0.2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200</v>
      </c>
      <c r="K245" t="s">
        <v>239</v>
      </c>
      <c r="L245" t="s">
        <v>209</v>
      </c>
      <c r="M245" t="s">
        <v>225</v>
      </c>
    </row>
    <row r="246" spans="1:13" x14ac:dyDescent="0.2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 t="s">
        <v>200</v>
      </c>
      <c r="K246" t="s">
        <v>241</v>
      </c>
      <c r="L246" t="s">
        <v>209</v>
      </c>
      <c r="M246" t="s">
        <v>225</v>
      </c>
    </row>
    <row r="247" spans="1:13" x14ac:dyDescent="0.25">
      <c r="A247" t="s">
        <v>124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 t="s">
        <v>200</v>
      </c>
      <c r="K247" t="s">
        <v>206</v>
      </c>
      <c r="L247" t="s">
        <v>209</v>
      </c>
      <c r="M247" t="s">
        <v>225</v>
      </c>
    </row>
    <row r="248" spans="1:13" x14ac:dyDescent="0.25">
      <c r="A248" t="s">
        <v>291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200</v>
      </c>
      <c r="K248" t="s">
        <v>207</v>
      </c>
      <c r="L248" t="s">
        <v>209</v>
      </c>
      <c r="M248" t="s">
        <v>225</v>
      </c>
    </row>
    <row r="249" spans="1:13" x14ac:dyDescent="0.25">
      <c r="A249" t="s">
        <v>390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 t="s">
        <v>200</v>
      </c>
      <c r="K249" t="s">
        <v>233</v>
      </c>
      <c r="L249" t="s">
        <v>209</v>
      </c>
      <c r="M249" t="s">
        <v>225</v>
      </c>
    </row>
    <row r="250" spans="1:13" x14ac:dyDescent="0.25">
      <c r="A250" t="s">
        <v>125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200</v>
      </c>
      <c r="K250" t="s">
        <v>202</v>
      </c>
      <c r="L250" t="s">
        <v>210</v>
      </c>
      <c r="M250" t="s">
        <v>225</v>
      </c>
    </row>
    <row r="251" spans="1:13" x14ac:dyDescent="0.25">
      <c r="A251" t="s">
        <v>126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200</v>
      </c>
      <c r="K251" t="s">
        <v>203</v>
      </c>
      <c r="L251" t="s">
        <v>210</v>
      </c>
      <c r="M251" t="s">
        <v>225</v>
      </c>
    </row>
    <row r="252" spans="1:13" x14ac:dyDescent="0.25">
      <c r="A252" t="s">
        <v>127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200</v>
      </c>
      <c r="K252" t="s">
        <v>204</v>
      </c>
      <c r="L252" t="s">
        <v>210</v>
      </c>
      <c r="M252" t="s">
        <v>225</v>
      </c>
    </row>
    <row r="253" spans="1:13" x14ac:dyDescent="0.25">
      <c r="A253" t="s">
        <v>391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200</v>
      </c>
      <c r="K253" t="s">
        <v>239</v>
      </c>
      <c r="L253" t="s">
        <v>210</v>
      </c>
      <c r="M253" t="s">
        <v>225</v>
      </c>
    </row>
    <row r="254" spans="1:13" x14ac:dyDescent="0.25">
      <c r="A254" t="s">
        <v>392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200</v>
      </c>
      <c r="K254" t="s">
        <v>241</v>
      </c>
      <c r="L254" t="s">
        <v>210</v>
      </c>
      <c r="M254" t="s">
        <v>225</v>
      </c>
    </row>
    <row r="255" spans="1:13" x14ac:dyDescent="0.25">
      <c r="A255" t="s">
        <v>128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200</v>
      </c>
      <c r="K255" t="s">
        <v>206</v>
      </c>
      <c r="L255" t="s">
        <v>210</v>
      </c>
      <c r="M255" t="s">
        <v>225</v>
      </c>
    </row>
    <row r="256" spans="1:13" x14ac:dyDescent="0.25">
      <c r="A256" t="s">
        <v>292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200</v>
      </c>
      <c r="K256" t="s">
        <v>207</v>
      </c>
      <c r="L256" t="s">
        <v>210</v>
      </c>
      <c r="M256" t="s">
        <v>225</v>
      </c>
    </row>
    <row r="257" spans="1:13" x14ac:dyDescent="0.25">
      <c r="A257" t="s">
        <v>393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200</v>
      </c>
      <c r="K257" t="s">
        <v>233</v>
      </c>
      <c r="L257" t="s">
        <v>210</v>
      </c>
      <c r="M257" t="s">
        <v>225</v>
      </c>
    </row>
    <row r="258" spans="1:13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200</v>
      </c>
      <c r="K258" t="s">
        <v>202</v>
      </c>
      <c r="L258" t="s">
        <v>211</v>
      </c>
      <c r="M258" t="s">
        <v>225</v>
      </c>
    </row>
    <row r="259" spans="1:13" x14ac:dyDescent="0.25">
      <c r="A259" t="s">
        <v>130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200</v>
      </c>
      <c r="K259" t="s">
        <v>203</v>
      </c>
      <c r="L259" t="s">
        <v>211</v>
      </c>
      <c r="M259" t="s">
        <v>225</v>
      </c>
    </row>
    <row r="260" spans="1:13" x14ac:dyDescent="0.25">
      <c r="A260" t="s">
        <v>131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200</v>
      </c>
      <c r="K260" t="s">
        <v>204</v>
      </c>
      <c r="L260" t="s">
        <v>211</v>
      </c>
      <c r="M260" t="s">
        <v>225</v>
      </c>
    </row>
    <row r="261" spans="1:13" x14ac:dyDescent="0.25">
      <c r="A261" t="s">
        <v>394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200</v>
      </c>
      <c r="K261" t="s">
        <v>239</v>
      </c>
      <c r="L261" t="s">
        <v>211</v>
      </c>
      <c r="M261" t="s">
        <v>225</v>
      </c>
    </row>
    <row r="262" spans="1:13" x14ac:dyDescent="0.25">
      <c r="A262" t="s">
        <v>395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200</v>
      </c>
      <c r="K262" t="s">
        <v>241</v>
      </c>
      <c r="L262" t="s">
        <v>211</v>
      </c>
      <c r="M262" t="s">
        <v>225</v>
      </c>
    </row>
    <row r="263" spans="1:13" x14ac:dyDescent="0.25">
      <c r="A263" t="s">
        <v>132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200</v>
      </c>
      <c r="K263" t="s">
        <v>206</v>
      </c>
      <c r="L263" t="s">
        <v>211</v>
      </c>
      <c r="M263" t="s">
        <v>225</v>
      </c>
    </row>
    <row r="264" spans="1:13" x14ac:dyDescent="0.25">
      <c r="A264" t="s">
        <v>293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200</v>
      </c>
      <c r="K264" t="s">
        <v>207</v>
      </c>
      <c r="L264" t="s">
        <v>211</v>
      </c>
      <c r="M264" t="s">
        <v>225</v>
      </c>
    </row>
    <row r="265" spans="1:13" x14ac:dyDescent="0.25">
      <c r="A265" t="s">
        <v>396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200</v>
      </c>
      <c r="K265" t="s">
        <v>233</v>
      </c>
      <c r="L265" t="s">
        <v>211</v>
      </c>
      <c r="M265" t="s">
        <v>225</v>
      </c>
    </row>
    <row r="266" spans="1:13" x14ac:dyDescent="0.25">
      <c r="A266" t="s">
        <v>133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200</v>
      </c>
      <c r="K266" t="s">
        <v>202</v>
      </c>
      <c r="L266" t="s">
        <v>212</v>
      </c>
      <c r="M266" t="s">
        <v>225</v>
      </c>
    </row>
    <row r="267" spans="1:13" x14ac:dyDescent="0.25">
      <c r="A267" t="s">
        <v>134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200</v>
      </c>
      <c r="K267" t="s">
        <v>203</v>
      </c>
      <c r="L267" t="s">
        <v>212</v>
      </c>
      <c r="M267" t="s">
        <v>225</v>
      </c>
    </row>
    <row r="268" spans="1:13" x14ac:dyDescent="0.25">
      <c r="A268" t="s">
        <v>135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200</v>
      </c>
      <c r="K268" t="s">
        <v>204</v>
      </c>
      <c r="L268" t="s">
        <v>212</v>
      </c>
      <c r="M268" t="s">
        <v>225</v>
      </c>
    </row>
    <row r="269" spans="1:13" x14ac:dyDescent="0.25">
      <c r="A269" t="s">
        <v>397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200</v>
      </c>
      <c r="K269" t="s">
        <v>239</v>
      </c>
      <c r="L269" t="s">
        <v>212</v>
      </c>
      <c r="M269" t="s">
        <v>225</v>
      </c>
    </row>
    <row r="270" spans="1:13" x14ac:dyDescent="0.25">
      <c r="A270" t="s">
        <v>398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 t="s">
        <v>200</v>
      </c>
      <c r="K270" t="s">
        <v>241</v>
      </c>
      <c r="L270" t="s">
        <v>212</v>
      </c>
      <c r="M270" t="s">
        <v>225</v>
      </c>
    </row>
    <row r="271" spans="1:13" x14ac:dyDescent="0.25">
      <c r="A271" t="s">
        <v>136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1</v>
      </c>
      <c r="H273">
        <v>0</v>
      </c>
      <c r="I273">
        <v>0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0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1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1</v>
      </c>
      <c r="I313">
        <v>1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1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1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1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1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200</v>
      </c>
      <c r="K406" t="s">
        <v>226</v>
      </c>
      <c r="L406" t="s">
        <v>223</v>
      </c>
      <c r="M406" t="s">
        <v>225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6EDD-7B88-45C5-99C0-C3B67703ED8F}">
  <dimension ref="A1:M406"/>
  <sheetViews>
    <sheetView workbookViewId="0"/>
  </sheetViews>
  <sheetFormatPr defaultRowHeight="15" x14ac:dyDescent="0.25"/>
  <cols>
    <col min="1" max="1" width="22.140625" bestFit="1" customWidth="1"/>
    <col min="2" max="9" width="4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198</v>
      </c>
      <c r="K3" t="s">
        <v>203</v>
      </c>
      <c r="L3" t="s">
        <v>209</v>
      </c>
      <c r="M3" t="s">
        <v>225</v>
      </c>
    </row>
    <row r="4" spans="1:13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198</v>
      </c>
      <c r="K4" t="s">
        <v>204</v>
      </c>
      <c r="L4" t="s">
        <v>209</v>
      </c>
      <c r="M4" t="s">
        <v>225</v>
      </c>
    </row>
    <row r="5" spans="1:13" x14ac:dyDescent="0.25">
      <c r="A5" t="s">
        <v>298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198</v>
      </c>
      <c r="K5" t="s">
        <v>239</v>
      </c>
      <c r="L5" t="s">
        <v>209</v>
      </c>
      <c r="M5" t="s">
        <v>225</v>
      </c>
    </row>
    <row r="6" spans="1:13" x14ac:dyDescent="0.25">
      <c r="A6" t="s">
        <v>299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198</v>
      </c>
      <c r="K6" t="s">
        <v>241</v>
      </c>
      <c r="L6" t="s">
        <v>209</v>
      </c>
      <c r="M6" t="s">
        <v>225</v>
      </c>
    </row>
    <row r="7" spans="1:13" x14ac:dyDescent="0.25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198</v>
      </c>
      <c r="K8" t="s">
        <v>207</v>
      </c>
      <c r="L8" t="s">
        <v>209</v>
      </c>
      <c r="M8" t="s">
        <v>225</v>
      </c>
    </row>
    <row r="9" spans="1:13" x14ac:dyDescent="0.25">
      <c r="A9" t="s">
        <v>300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198</v>
      </c>
      <c r="K9" t="s">
        <v>233</v>
      </c>
      <c r="L9" t="s">
        <v>209</v>
      </c>
      <c r="M9" t="s">
        <v>225</v>
      </c>
    </row>
    <row r="10" spans="1:13" x14ac:dyDescent="0.25">
      <c r="A10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198</v>
      </c>
      <c r="K10" t="s">
        <v>202</v>
      </c>
      <c r="L10" t="s">
        <v>210</v>
      </c>
      <c r="M10" t="s">
        <v>225</v>
      </c>
    </row>
    <row r="11" spans="1:13" x14ac:dyDescent="0.25">
      <c r="A11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198</v>
      </c>
      <c r="K11" t="s">
        <v>203</v>
      </c>
      <c r="L11" t="s">
        <v>210</v>
      </c>
      <c r="M11" t="s">
        <v>225</v>
      </c>
    </row>
    <row r="12" spans="1:13" x14ac:dyDescent="0.25">
      <c r="A12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198</v>
      </c>
      <c r="K13" t="s">
        <v>239</v>
      </c>
      <c r="L13" t="s">
        <v>210</v>
      </c>
      <c r="M13" t="s">
        <v>225</v>
      </c>
    </row>
    <row r="14" spans="1:13" x14ac:dyDescent="0.25">
      <c r="A14" t="s">
        <v>302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198</v>
      </c>
      <c r="K14" t="s">
        <v>241</v>
      </c>
      <c r="L14" t="s">
        <v>210</v>
      </c>
      <c r="M14" t="s">
        <v>225</v>
      </c>
    </row>
    <row r="15" spans="1:13" x14ac:dyDescent="0.25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198</v>
      </c>
      <c r="K15" t="s">
        <v>206</v>
      </c>
      <c r="L15" t="s">
        <v>210</v>
      </c>
      <c r="M15" t="s">
        <v>225</v>
      </c>
    </row>
    <row r="16" spans="1:13" x14ac:dyDescent="0.25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198</v>
      </c>
      <c r="K16" t="s">
        <v>207</v>
      </c>
      <c r="L16" t="s">
        <v>210</v>
      </c>
      <c r="M16" t="s">
        <v>225</v>
      </c>
    </row>
    <row r="17" spans="1:13" x14ac:dyDescent="0.25">
      <c r="A17" t="s">
        <v>303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198</v>
      </c>
      <c r="K18" t="s">
        <v>202</v>
      </c>
      <c r="L18" t="s">
        <v>211</v>
      </c>
      <c r="M18" t="s">
        <v>225</v>
      </c>
    </row>
    <row r="19" spans="1:13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198</v>
      </c>
      <c r="K19" t="s">
        <v>203</v>
      </c>
      <c r="L19" t="s">
        <v>211</v>
      </c>
      <c r="M19" t="s">
        <v>225</v>
      </c>
    </row>
    <row r="20" spans="1:13" x14ac:dyDescent="0.25">
      <c r="A20" t="s">
        <v>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198</v>
      </c>
      <c r="K20" t="s">
        <v>204</v>
      </c>
      <c r="L20" t="s">
        <v>211</v>
      </c>
      <c r="M20" t="s">
        <v>225</v>
      </c>
    </row>
    <row r="21" spans="1:13" x14ac:dyDescent="0.25">
      <c r="A21" t="s">
        <v>304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198</v>
      </c>
      <c r="K21" t="s">
        <v>239</v>
      </c>
      <c r="L21" t="s">
        <v>211</v>
      </c>
      <c r="M21" t="s">
        <v>225</v>
      </c>
    </row>
    <row r="22" spans="1:13" x14ac:dyDescent="0.25">
      <c r="A22" t="s">
        <v>305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198</v>
      </c>
      <c r="K23" t="s">
        <v>206</v>
      </c>
      <c r="L23" t="s">
        <v>211</v>
      </c>
      <c r="M23" t="s">
        <v>225</v>
      </c>
    </row>
    <row r="24" spans="1:13" x14ac:dyDescent="0.25">
      <c r="A24" t="s">
        <v>263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198</v>
      </c>
      <c r="K24" t="s">
        <v>207</v>
      </c>
      <c r="L24" t="s">
        <v>211</v>
      </c>
      <c r="M24" t="s">
        <v>225</v>
      </c>
    </row>
    <row r="25" spans="1:13" x14ac:dyDescent="0.25">
      <c r="A25" t="s">
        <v>306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 t="s">
        <v>198</v>
      </c>
      <c r="K25" t="s">
        <v>233</v>
      </c>
      <c r="L25" t="s">
        <v>211</v>
      </c>
      <c r="M25" t="s">
        <v>225</v>
      </c>
    </row>
    <row r="26" spans="1:13" x14ac:dyDescent="0.25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198</v>
      </c>
      <c r="K26" t="s">
        <v>202</v>
      </c>
      <c r="L26" t="s">
        <v>212</v>
      </c>
      <c r="M26" t="s">
        <v>225</v>
      </c>
    </row>
    <row r="27" spans="1:13" x14ac:dyDescent="0.25">
      <c r="A27" t="s">
        <v>14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198</v>
      </c>
      <c r="K28" t="s">
        <v>204</v>
      </c>
      <c r="L28" t="s">
        <v>212</v>
      </c>
      <c r="M28" t="s">
        <v>225</v>
      </c>
    </row>
    <row r="29" spans="1:13" x14ac:dyDescent="0.25">
      <c r="A29" t="s">
        <v>307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198</v>
      </c>
      <c r="K29" t="s">
        <v>239</v>
      </c>
      <c r="L29" t="s">
        <v>212</v>
      </c>
      <c r="M29" t="s">
        <v>225</v>
      </c>
    </row>
    <row r="30" spans="1:13" x14ac:dyDescent="0.25">
      <c r="A30" t="s">
        <v>308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198</v>
      </c>
      <c r="K30" t="s">
        <v>241</v>
      </c>
      <c r="L30" t="s">
        <v>212</v>
      </c>
      <c r="M30" t="s">
        <v>225</v>
      </c>
    </row>
    <row r="31" spans="1:13" x14ac:dyDescent="0.25">
      <c r="A31" t="s">
        <v>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198</v>
      </c>
      <c r="K31" t="s">
        <v>206</v>
      </c>
      <c r="L31" t="s">
        <v>212</v>
      </c>
      <c r="M31" t="s">
        <v>225</v>
      </c>
    </row>
    <row r="32" spans="1:13" x14ac:dyDescent="0.25">
      <c r="A32" t="s">
        <v>264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198</v>
      </c>
      <c r="K33" t="s">
        <v>233</v>
      </c>
      <c r="L33" t="s">
        <v>212</v>
      </c>
      <c r="M33" t="s">
        <v>225</v>
      </c>
    </row>
    <row r="34" spans="1:13" x14ac:dyDescent="0.25">
      <c r="A34" t="s">
        <v>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198</v>
      </c>
      <c r="K34" t="s">
        <v>202</v>
      </c>
      <c r="L34" t="s">
        <v>213</v>
      </c>
      <c r="M34" t="s">
        <v>225</v>
      </c>
    </row>
    <row r="35" spans="1:13" x14ac:dyDescent="0.25">
      <c r="A35" t="s">
        <v>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198</v>
      </c>
      <c r="K35" t="s">
        <v>203</v>
      </c>
      <c r="L35" t="s">
        <v>213</v>
      </c>
      <c r="M35" t="s">
        <v>225</v>
      </c>
    </row>
    <row r="36" spans="1:13" x14ac:dyDescent="0.25">
      <c r="A36" t="s">
        <v>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198</v>
      </c>
      <c r="K36" t="s">
        <v>204</v>
      </c>
      <c r="L36" t="s">
        <v>213</v>
      </c>
      <c r="M36" t="s">
        <v>225</v>
      </c>
    </row>
    <row r="37" spans="1:13" x14ac:dyDescent="0.25">
      <c r="A37" t="s">
        <v>310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198</v>
      </c>
      <c r="K38" t="s">
        <v>241</v>
      </c>
      <c r="L38" t="s">
        <v>213</v>
      </c>
      <c r="M38" t="s">
        <v>225</v>
      </c>
    </row>
    <row r="39" spans="1:13" x14ac:dyDescent="0.25">
      <c r="A39" t="s">
        <v>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198</v>
      </c>
      <c r="K39" t="s">
        <v>206</v>
      </c>
      <c r="L39" t="s">
        <v>213</v>
      </c>
      <c r="M39" t="s">
        <v>225</v>
      </c>
    </row>
    <row r="40" spans="1:13" x14ac:dyDescent="0.25">
      <c r="A40" t="s">
        <v>265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198</v>
      </c>
      <c r="K40" t="s">
        <v>207</v>
      </c>
      <c r="L40" t="s">
        <v>213</v>
      </c>
      <c r="M40" t="s">
        <v>225</v>
      </c>
    </row>
    <row r="41" spans="1:13" x14ac:dyDescent="0.25">
      <c r="A41" t="s">
        <v>312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198</v>
      </c>
      <c r="K41" t="s">
        <v>233</v>
      </c>
      <c r="L41" t="s">
        <v>213</v>
      </c>
      <c r="M41" t="s">
        <v>225</v>
      </c>
    </row>
    <row r="42" spans="1:13" x14ac:dyDescent="0.25">
      <c r="A42" t="s">
        <v>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 t="s">
        <v>198</v>
      </c>
      <c r="K43" t="s">
        <v>203</v>
      </c>
      <c r="L43" t="s">
        <v>214</v>
      </c>
      <c r="M43" t="s">
        <v>225</v>
      </c>
    </row>
    <row r="44" spans="1:13" x14ac:dyDescent="0.25">
      <c r="A44" t="s">
        <v>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198</v>
      </c>
      <c r="K44" t="s">
        <v>204</v>
      </c>
      <c r="L44" t="s">
        <v>214</v>
      </c>
      <c r="M44" t="s">
        <v>225</v>
      </c>
    </row>
    <row r="45" spans="1:13" x14ac:dyDescent="0.25">
      <c r="A45" t="s">
        <v>313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198</v>
      </c>
      <c r="K45" t="s">
        <v>239</v>
      </c>
      <c r="L45" t="s">
        <v>214</v>
      </c>
      <c r="M45" t="s">
        <v>225</v>
      </c>
    </row>
    <row r="46" spans="1:13" x14ac:dyDescent="0.25">
      <c r="A46" t="s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198</v>
      </c>
      <c r="K46" t="s">
        <v>241</v>
      </c>
      <c r="L46" t="s">
        <v>214</v>
      </c>
      <c r="M46" t="s">
        <v>225</v>
      </c>
    </row>
    <row r="47" spans="1:13" x14ac:dyDescent="0.25">
      <c r="A47" t="s">
        <v>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198</v>
      </c>
      <c r="K48" t="s">
        <v>207</v>
      </c>
      <c r="L48" t="s">
        <v>214</v>
      </c>
      <c r="M48" t="s">
        <v>225</v>
      </c>
    </row>
    <row r="49" spans="1:13" x14ac:dyDescent="0.25">
      <c r="A49" t="s">
        <v>315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198</v>
      </c>
      <c r="K49" t="s">
        <v>233</v>
      </c>
      <c r="L49" t="s">
        <v>214</v>
      </c>
      <c r="M49" t="s">
        <v>225</v>
      </c>
    </row>
    <row r="50" spans="1:13" x14ac:dyDescent="0.25">
      <c r="A50" t="s">
        <v>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198</v>
      </c>
      <c r="K50" t="s">
        <v>202</v>
      </c>
      <c r="L50" t="s">
        <v>215</v>
      </c>
      <c r="M50" t="s">
        <v>225</v>
      </c>
    </row>
    <row r="51" spans="1:13" x14ac:dyDescent="0.25">
      <c r="A51" t="s">
        <v>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198</v>
      </c>
      <c r="K51" t="s">
        <v>203</v>
      </c>
      <c r="L51" t="s">
        <v>215</v>
      </c>
      <c r="M51" t="s">
        <v>225</v>
      </c>
    </row>
    <row r="52" spans="1:13" x14ac:dyDescent="0.25">
      <c r="A52" t="s">
        <v>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198</v>
      </c>
      <c r="K53" t="s">
        <v>239</v>
      </c>
      <c r="L53" t="s">
        <v>215</v>
      </c>
      <c r="M53" t="s">
        <v>225</v>
      </c>
    </row>
    <row r="54" spans="1:13" x14ac:dyDescent="0.25">
      <c r="A54" t="s">
        <v>317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198</v>
      </c>
      <c r="K54" t="s">
        <v>241</v>
      </c>
      <c r="L54" t="s">
        <v>215</v>
      </c>
      <c r="M54" t="s">
        <v>225</v>
      </c>
    </row>
    <row r="55" spans="1:13" x14ac:dyDescent="0.25">
      <c r="A55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198</v>
      </c>
      <c r="K55" t="s">
        <v>206</v>
      </c>
      <c r="L55" t="s">
        <v>215</v>
      </c>
      <c r="M55" t="s">
        <v>225</v>
      </c>
    </row>
    <row r="56" spans="1:13" x14ac:dyDescent="0.25">
      <c r="A56" t="s">
        <v>267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198</v>
      </c>
      <c r="K56" t="s">
        <v>207</v>
      </c>
      <c r="L56" t="s">
        <v>215</v>
      </c>
      <c r="M56" t="s">
        <v>225</v>
      </c>
    </row>
    <row r="57" spans="1:13" x14ac:dyDescent="0.25">
      <c r="A57" t="s">
        <v>318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198</v>
      </c>
      <c r="K58" t="s">
        <v>202</v>
      </c>
      <c r="L58" t="s">
        <v>216</v>
      </c>
      <c r="M58" t="s">
        <v>225</v>
      </c>
    </row>
    <row r="59" spans="1:13" x14ac:dyDescent="0.25">
      <c r="A59" t="s">
        <v>30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198</v>
      </c>
      <c r="K59" t="s">
        <v>203</v>
      </c>
      <c r="L59" t="s">
        <v>216</v>
      </c>
      <c r="M59" t="s">
        <v>225</v>
      </c>
    </row>
    <row r="60" spans="1:13" x14ac:dyDescent="0.25">
      <c r="A60" t="s">
        <v>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198</v>
      </c>
      <c r="K60" t="s">
        <v>204</v>
      </c>
      <c r="L60" t="s">
        <v>216</v>
      </c>
      <c r="M60" t="s">
        <v>225</v>
      </c>
    </row>
    <row r="61" spans="1:13" x14ac:dyDescent="0.25">
      <c r="A61" t="s">
        <v>319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198</v>
      </c>
      <c r="K61" t="s">
        <v>239</v>
      </c>
      <c r="L61" t="s">
        <v>216</v>
      </c>
      <c r="M61" t="s">
        <v>225</v>
      </c>
    </row>
    <row r="62" spans="1:13" x14ac:dyDescent="0.25">
      <c r="A62" t="s">
        <v>320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198</v>
      </c>
      <c r="K63" t="s">
        <v>206</v>
      </c>
      <c r="L63" t="s">
        <v>216</v>
      </c>
      <c r="M63" t="s">
        <v>225</v>
      </c>
    </row>
    <row r="64" spans="1:13" x14ac:dyDescent="0.25">
      <c r="A64" t="s">
        <v>268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198</v>
      </c>
      <c r="K64" t="s">
        <v>207</v>
      </c>
      <c r="L64" t="s">
        <v>216</v>
      </c>
      <c r="M64" t="s">
        <v>225</v>
      </c>
    </row>
    <row r="65" spans="1:13" x14ac:dyDescent="0.25">
      <c r="A65" t="s">
        <v>321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198</v>
      </c>
      <c r="K65" t="s">
        <v>233</v>
      </c>
      <c r="L65" t="s">
        <v>216</v>
      </c>
      <c r="M65" t="s">
        <v>225</v>
      </c>
    </row>
    <row r="66" spans="1:13" x14ac:dyDescent="0.25">
      <c r="A66" t="s">
        <v>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198</v>
      </c>
      <c r="K66" t="s">
        <v>202</v>
      </c>
      <c r="L66" t="s">
        <v>217</v>
      </c>
      <c r="M66" t="s">
        <v>225</v>
      </c>
    </row>
    <row r="67" spans="1:13" x14ac:dyDescent="0.25">
      <c r="A67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198</v>
      </c>
      <c r="K68" t="s">
        <v>204</v>
      </c>
      <c r="L68" t="s">
        <v>217</v>
      </c>
      <c r="M68" t="s">
        <v>225</v>
      </c>
    </row>
    <row r="69" spans="1:13" x14ac:dyDescent="0.25">
      <c r="A69" t="s">
        <v>322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198</v>
      </c>
      <c r="K69" t="s">
        <v>239</v>
      </c>
      <c r="L69" t="s">
        <v>217</v>
      </c>
      <c r="M69" t="s">
        <v>225</v>
      </c>
    </row>
    <row r="70" spans="1:13" x14ac:dyDescent="0.25">
      <c r="A70" t="s">
        <v>323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198</v>
      </c>
      <c r="K70" t="s">
        <v>241</v>
      </c>
      <c r="L70" t="s">
        <v>217</v>
      </c>
      <c r="M70" t="s">
        <v>225</v>
      </c>
    </row>
    <row r="71" spans="1:13" x14ac:dyDescent="0.25">
      <c r="A71" t="s">
        <v>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198</v>
      </c>
      <c r="K71" t="s">
        <v>206</v>
      </c>
      <c r="L71" t="s">
        <v>217</v>
      </c>
      <c r="M71" t="s">
        <v>225</v>
      </c>
    </row>
    <row r="72" spans="1:13" x14ac:dyDescent="0.25">
      <c r="A72" t="s">
        <v>269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198</v>
      </c>
      <c r="K73" t="s">
        <v>233</v>
      </c>
      <c r="L73" t="s">
        <v>217</v>
      </c>
      <c r="M73" t="s">
        <v>225</v>
      </c>
    </row>
    <row r="74" spans="1:13" x14ac:dyDescent="0.25">
      <c r="A74" t="s">
        <v>37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198</v>
      </c>
      <c r="K74" t="s">
        <v>202</v>
      </c>
      <c r="L74" t="s">
        <v>218</v>
      </c>
      <c r="M74" t="s">
        <v>225</v>
      </c>
    </row>
    <row r="75" spans="1:13" x14ac:dyDescent="0.25">
      <c r="A75" t="s">
        <v>38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198</v>
      </c>
      <c r="K75" t="s">
        <v>203</v>
      </c>
      <c r="L75" t="s">
        <v>218</v>
      </c>
      <c r="M75" t="s">
        <v>225</v>
      </c>
    </row>
    <row r="76" spans="1:13" x14ac:dyDescent="0.25">
      <c r="A76" t="s">
        <v>39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198</v>
      </c>
      <c r="K76" t="s">
        <v>204</v>
      </c>
      <c r="L76" t="s">
        <v>218</v>
      </c>
      <c r="M76" t="s">
        <v>225</v>
      </c>
    </row>
    <row r="77" spans="1:13" x14ac:dyDescent="0.25">
      <c r="A77" t="s">
        <v>325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198</v>
      </c>
      <c r="K78" t="s">
        <v>241</v>
      </c>
      <c r="L78" t="s">
        <v>218</v>
      </c>
      <c r="M78" t="s">
        <v>225</v>
      </c>
    </row>
    <row r="79" spans="1:13" x14ac:dyDescent="0.25">
      <c r="A79" t="s">
        <v>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198</v>
      </c>
      <c r="K79" t="s">
        <v>206</v>
      </c>
      <c r="L79" t="s">
        <v>218</v>
      </c>
      <c r="M79" t="s">
        <v>225</v>
      </c>
    </row>
    <row r="80" spans="1:13" x14ac:dyDescent="0.25">
      <c r="A80" t="s">
        <v>270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198</v>
      </c>
      <c r="K80" t="s">
        <v>207</v>
      </c>
      <c r="L80" t="s">
        <v>218</v>
      </c>
      <c r="M80" t="s">
        <v>225</v>
      </c>
    </row>
    <row r="81" spans="1:13" x14ac:dyDescent="0.25">
      <c r="A81" t="s">
        <v>327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198</v>
      </c>
      <c r="K81" t="s">
        <v>233</v>
      </c>
      <c r="L81" t="s">
        <v>218</v>
      </c>
      <c r="M81" t="s">
        <v>225</v>
      </c>
    </row>
    <row r="82" spans="1:13" x14ac:dyDescent="0.25">
      <c r="A82" t="s">
        <v>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198</v>
      </c>
      <c r="K83" t="s">
        <v>203</v>
      </c>
      <c r="L83" t="s">
        <v>219</v>
      </c>
      <c r="M83" t="s">
        <v>225</v>
      </c>
    </row>
    <row r="84" spans="1:13" x14ac:dyDescent="0.25">
      <c r="A84" t="s">
        <v>43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198</v>
      </c>
      <c r="K84" t="s">
        <v>204</v>
      </c>
      <c r="L84" t="s">
        <v>219</v>
      </c>
      <c r="M84" t="s">
        <v>225</v>
      </c>
    </row>
    <row r="85" spans="1:13" x14ac:dyDescent="0.25">
      <c r="A85" t="s">
        <v>328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198</v>
      </c>
      <c r="K85" t="s">
        <v>239</v>
      </c>
      <c r="L85" t="s">
        <v>219</v>
      </c>
      <c r="M85" t="s">
        <v>225</v>
      </c>
    </row>
    <row r="86" spans="1:13" x14ac:dyDescent="0.25">
      <c r="A86" t="s">
        <v>329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198</v>
      </c>
      <c r="K86" t="s">
        <v>241</v>
      </c>
      <c r="L86" t="s">
        <v>219</v>
      </c>
      <c r="M86" t="s">
        <v>225</v>
      </c>
    </row>
    <row r="87" spans="1:13" x14ac:dyDescent="0.25">
      <c r="A87" t="s">
        <v>44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198</v>
      </c>
      <c r="K88" t="s">
        <v>207</v>
      </c>
      <c r="L88" t="s">
        <v>219</v>
      </c>
      <c r="M88" t="s">
        <v>225</v>
      </c>
    </row>
    <row r="89" spans="1:13" x14ac:dyDescent="0.25">
      <c r="A89" t="s">
        <v>330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 t="s">
        <v>198</v>
      </c>
      <c r="K89" t="s">
        <v>233</v>
      </c>
      <c r="L89" t="s">
        <v>219</v>
      </c>
      <c r="M89" t="s">
        <v>225</v>
      </c>
    </row>
    <row r="90" spans="1:13" x14ac:dyDescent="0.25">
      <c r="A90" t="s">
        <v>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198</v>
      </c>
      <c r="K90" t="s">
        <v>202</v>
      </c>
      <c r="L90" t="s">
        <v>220</v>
      </c>
      <c r="M90" t="s">
        <v>225</v>
      </c>
    </row>
    <row r="91" spans="1:13" x14ac:dyDescent="0.25">
      <c r="A91" t="s">
        <v>46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 t="s">
        <v>198</v>
      </c>
      <c r="K91" t="s">
        <v>203</v>
      </c>
      <c r="L91" t="s">
        <v>220</v>
      </c>
      <c r="M91" t="s">
        <v>225</v>
      </c>
    </row>
    <row r="92" spans="1:13" x14ac:dyDescent="0.25">
      <c r="A92" t="s">
        <v>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198</v>
      </c>
      <c r="K93" t="s">
        <v>239</v>
      </c>
      <c r="L93" t="s">
        <v>220</v>
      </c>
      <c r="M93" t="s">
        <v>225</v>
      </c>
    </row>
    <row r="94" spans="1:13" x14ac:dyDescent="0.25">
      <c r="A94" t="s">
        <v>332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198</v>
      </c>
      <c r="K94" t="s">
        <v>241</v>
      </c>
      <c r="L94" t="s">
        <v>220</v>
      </c>
      <c r="M94" t="s">
        <v>225</v>
      </c>
    </row>
    <row r="95" spans="1:13" x14ac:dyDescent="0.25">
      <c r="A95" t="s">
        <v>48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198</v>
      </c>
      <c r="K95" t="s">
        <v>206</v>
      </c>
      <c r="L95" t="s">
        <v>220</v>
      </c>
      <c r="M95" t="s">
        <v>225</v>
      </c>
    </row>
    <row r="96" spans="1:13" x14ac:dyDescent="0.25">
      <c r="A96" t="s">
        <v>272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198</v>
      </c>
      <c r="K96" t="s">
        <v>207</v>
      </c>
      <c r="L96" t="s">
        <v>220</v>
      </c>
      <c r="M96" t="s">
        <v>225</v>
      </c>
    </row>
    <row r="97" spans="1:13" x14ac:dyDescent="0.25">
      <c r="A97" t="s">
        <v>333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198</v>
      </c>
      <c r="K98" t="s">
        <v>202</v>
      </c>
      <c r="L98" t="s">
        <v>221</v>
      </c>
      <c r="M98" t="s">
        <v>225</v>
      </c>
    </row>
    <row r="99" spans="1:13" x14ac:dyDescent="0.25">
      <c r="A99" t="s">
        <v>50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198</v>
      </c>
      <c r="K99" t="s">
        <v>203</v>
      </c>
      <c r="L99" t="s">
        <v>221</v>
      </c>
      <c r="M99" t="s">
        <v>225</v>
      </c>
    </row>
    <row r="100" spans="1:13" x14ac:dyDescent="0.25">
      <c r="A100" t="s">
        <v>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198</v>
      </c>
      <c r="K100" t="s">
        <v>204</v>
      </c>
      <c r="L100" t="s">
        <v>221</v>
      </c>
      <c r="M100" t="s">
        <v>225</v>
      </c>
    </row>
    <row r="101" spans="1:13" x14ac:dyDescent="0.25">
      <c r="A101" t="s">
        <v>334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198</v>
      </c>
      <c r="K101" t="s">
        <v>239</v>
      </c>
      <c r="L101" t="s">
        <v>221</v>
      </c>
      <c r="M101" t="s">
        <v>225</v>
      </c>
    </row>
    <row r="102" spans="1:13" x14ac:dyDescent="0.25">
      <c r="A102" t="s">
        <v>335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198</v>
      </c>
      <c r="K103" t="s">
        <v>206</v>
      </c>
      <c r="L103" t="s">
        <v>221</v>
      </c>
      <c r="M103" t="s">
        <v>225</v>
      </c>
    </row>
    <row r="104" spans="1:13" x14ac:dyDescent="0.25">
      <c r="A104" t="s">
        <v>273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198</v>
      </c>
      <c r="K104" t="s">
        <v>207</v>
      </c>
      <c r="L104" t="s">
        <v>221</v>
      </c>
      <c r="M104" t="s">
        <v>225</v>
      </c>
    </row>
    <row r="105" spans="1:13" x14ac:dyDescent="0.25">
      <c r="A105" t="s">
        <v>336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198</v>
      </c>
      <c r="K105" t="s">
        <v>233</v>
      </c>
      <c r="L105" t="s">
        <v>221</v>
      </c>
      <c r="M105" t="s">
        <v>225</v>
      </c>
    </row>
    <row r="106" spans="1:13" x14ac:dyDescent="0.25">
      <c r="A106" t="s">
        <v>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198</v>
      </c>
      <c r="K106" t="s">
        <v>202</v>
      </c>
      <c r="L106" t="s">
        <v>222</v>
      </c>
      <c r="M106" t="s">
        <v>225</v>
      </c>
    </row>
    <row r="107" spans="1:13" x14ac:dyDescent="0.25">
      <c r="A107" t="s">
        <v>54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 t="s">
        <v>198</v>
      </c>
      <c r="K108" t="s">
        <v>204</v>
      </c>
      <c r="L108" t="s">
        <v>222</v>
      </c>
      <c r="M108" t="s">
        <v>225</v>
      </c>
    </row>
    <row r="109" spans="1:13" x14ac:dyDescent="0.25">
      <c r="A109" t="s">
        <v>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198</v>
      </c>
      <c r="K109" t="s">
        <v>239</v>
      </c>
      <c r="L109" t="s">
        <v>222</v>
      </c>
      <c r="M109" t="s">
        <v>225</v>
      </c>
    </row>
    <row r="110" spans="1:13" x14ac:dyDescent="0.25">
      <c r="A110" t="s">
        <v>338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198</v>
      </c>
      <c r="K110" t="s">
        <v>241</v>
      </c>
      <c r="L110" t="s">
        <v>222</v>
      </c>
      <c r="M110" t="s">
        <v>225</v>
      </c>
    </row>
    <row r="111" spans="1:13" x14ac:dyDescent="0.25">
      <c r="A111" t="s">
        <v>56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198</v>
      </c>
      <c r="K111" t="s">
        <v>206</v>
      </c>
      <c r="L111" t="s">
        <v>222</v>
      </c>
      <c r="M111" t="s">
        <v>225</v>
      </c>
    </row>
    <row r="112" spans="1:13" x14ac:dyDescent="0.25">
      <c r="A112" t="s">
        <v>274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 t="s">
        <v>198</v>
      </c>
      <c r="K113" t="s">
        <v>233</v>
      </c>
      <c r="L113" t="s">
        <v>222</v>
      </c>
      <c r="M113" t="s">
        <v>225</v>
      </c>
    </row>
    <row r="114" spans="1:13" x14ac:dyDescent="0.25">
      <c r="A114" t="s">
        <v>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198</v>
      </c>
      <c r="K114" t="s">
        <v>202</v>
      </c>
      <c r="L114" t="s">
        <v>223</v>
      </c>
      <c r="M114" t="s">
        <v>225</v>
      </c>
    </row>
    <row r="115" spans="1:13" x14ac:dyDescent="0.25">
      <c r="A115" t="s">
        <v>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198</v>
      </c>
      <c r="K115" t="s">
        <v>203</v>
      </c>
      <c r="L115" t="s">
        <v>223</v>
      </c>
      <c r="M115" t="s">
        <v>225</v>
      </c>
    </row>
    <row r="116" spans="1:13" x14ac:dyDescent="0.25">
      <c r="A116" t="s">
        <v>59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198</v>
      </c>
      <c r="K116" t="s">
        <v>204</v>
      </c>
      <c r="L116" t="s">
        <v>223</v>
      </c>
      <c r="M116" t="s">
        <v>225</v>
      </c>
    </row>
    <row r="117" spans="1:13" x14ac:dyDescent="0.25">
      <c r="A117" t="s">
        <v>340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198</v>
      </c>
      <c r="K118" t="s">
        <v>241</v>
      </c>
      <c r="L118" t="s">
        <v>223</v>
      </c>
      <c r="M118" t="s">
        <v>225</v>
      </c>
    </row>
    <row r="119" spans="1:13" x14ac:dyDescent="0.25">
      <c r="A119" t="s">
        <v>60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198</v>
      </c>
      <c r="K119" t="s">
        <v>206</v>
      </c>
      <c r="L119" t="s">
        <v>223</v>
      </c>
      <c r="M119" t="s">
        <v>225</v>
      </c>
    </row>
    <row r="120" spans="1:13" x14ac:dyDescent="0.25">
      <c r="A120" t="s">
        <v>275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198</v>
      </c>
      <c r="K120" t="s">
        <v>207</v>
      </c>
      <c r="L120" t="s">
        <v>223</v>
      </c>
      <c r="M120" t="s">
        <v>225</v>
      </c>
    </row>
    <row r="121" spans="1:13" x14ac:dyDescent="0.25">
      <c r="A121" t="s">
        <v>342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198</v>
      </c>
      <c r="K121" t="s">
        <v>233</v>
      </c>
      <c r="L121" t="s">
        <v>223</v>
      </c>
      <c r="M121" t="s">
        <v>225</v>
      </c>
    </row>
    <row r="122" spans="1:13" x14ac:dyDescent="0.25">
      <c r="A122" t="s">
        <v>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 t="s">
        <v>199</v>
      </c>
      <c r="K123" t="s">
        <v>203</v>
      </c>
      <c r="L123" t="s">
        <v>209</v>
      </c>
      <c r="M123" t="s">
        <v>225</v>
      </c>
    </row>
    <row r="124" spans="1:13" x14ac:dyDescent="0.25">
      <c r="A124" t="s">
        <v>63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199</v>
      </c>
      <c r="K124" t="s">
        <v>204</v>
      </c>
      <c r="L124" t="s">
        <v>209</v>
      </c>
      <c r="M124" t="s">
        <v>225</v>
      </c>
    </row>
    <row r="125" spans="1:13" x14ac:dyDescent="0.25">
      <c r="A125" t="s">
        <v>343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199</v>
      </c>
      <c r="K125" t="s">
        <v>239</v>
      </c>
      <c r="L125" t="s">
        <v>209</v>
      </c>
      <c r="M125" t="s">
        <v>225</v>
      </c>
    </row>
    <row r="126" spans="1:13" x14ac:dyDescent="0.25">
      <c r="A126" t="s">
        <v>344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199</v>
      </c>
      <c r="K126" t="s">
        <v>241</v>
      </c>
      <c r="L126" t="s">
        <v>209</v>
      </c>
      <c r="M126" t="s">
        <v>225</v>
      </c>
    </row>
    <row r="127" spans="1:13" x14ac:dyDescent="0.25">
      <c r="A127" t="s">
        <v>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199</v>
      </c>
      <c r="K128" t="s">
        <v>207</v>
      </c>
      <c r="L128" t="s">
        <v>209</v>
      </c>
      <c r="M128" t="s">
        <v>225</v>
      </c>
    </row>
    <row r="129" spans="1:13" x14ac:dyDescent="0.25">
      <c r="A129" t="s">
        <v>345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199</v>
      </c>
      <c r="K129" t="s">
        <v>233</v>
      </c>
      <c r="L129" t="s">
        <v>209</v>
      </c>
      <c r="M129" t="s">
        <v>225</v>
      </c>
    </row>
    <row r="130" spans="1:13" x14ac:dyDescent="0.25">
      <c r="A130" t="s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199</v>
      </c>
      <c r="K130" t="s">
        <v>202</v>
      </c>
      <c r="L130" t="s">
        <v>210</v>
      </c>
      <c r="M130" t="s">
        <v>225</v>
      </c>
    </row>
    <row r="131" spans="1:13" x14ac:dyDescent="0.25">
      <c r="A131" t="s">
        <v>66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0</v>
      </c>
      <c r="J131" t="s">
        <v>199</v>
      </c>
      <c r="K131" t="s">
        <v>203</v>
      </c>
      <c r="L131" t="s">
        <v>210</v>
      </c>
      <c r="M131" t="s">
        <v>225</v>
      </c>
    </row>
    <row r="132" spans="1:13" x14ac:dyDescent="0.25">
      <c r="A132" t="s">
        <v>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199</v>
      </c>
      <c r="K133" t="s">
        <v>239</v>
      </c>
      <c r="L133" t="s">
        <v>210</v>
      </c>
      <c r="M133" t="s">
        <v>225</v>
      </c>
    </row>
    <row r="134" spans="1:13" x14ac:dyDescent="0.25">
      <c r="A134" t="s">
        <v>347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199</v>
      </c>
      <c r="K134" t="s">
        <v>241</v>
      </c>
      <c r="L134" t="s">
        <v>210</v>
      </c>
      <c r="M134" t="s">
        <v>225</v>
      </c>
    </row>
    <row r="135" spans="1:13" x14ac:dyDescent="0.25">
      <c r="A135" t="s">
        <v>68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 t="s">
        <v>199</v>
      </c>
      <c r="K135" t="s">
        <v>206</v>
      </c>
      <c r="L135" t="s">
        <v>210</v>
      </c>
      <c r="M135" t="s">
        <v>225</v>
      </c>
    </row>
    <row r="136" spans="1:13" x14ac:dyDescent="0.25">
      <c r="A136" t="s">
        <v>277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199</v>
      </c>
      <c r="K136" t="s">
        <v>207</v>
      </c>
      <c r="L136" t="s">
        <v>210</v>
      </c>
      <c r="M136" t="s">
        <v>225</v>
      </c>
    </row>
    <row r="137" spans="1:13" x14ac:dyDescent="0.25">
      <c r="A137" t="s">
        <v>348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199</v>
      </c>
      <c r="K138" t="s">
        <v>202</v>
      </c>
      <c r="L138" t="s">
        <v>211</v>
      </c>
      <c r="M138" t="s">
        <v>225</v>
      </c>
    </row>
    <row r="139" spans="1:13" x14ac:dyDescent="0.25">
      <c r="A139" t="s">
        <v>70</v>
      </c>
      <c r="B139">
        <v>0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 t="s">
        <v>199</v>
      </c>
      <c r="K139" t="s">
        <v>203</v>
      </c>
      <c r="L139" t="s">
        <v>211</v>
      </c>
      <c r="M139" t="s">
        <v>225</v>
      </c>
    </row>
    <row r="140" spans="1:13" x14ac:dyDescent="0.25">
      <c r="A140" t="s">
        <v>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199</v>
      </c>
      <c r="K140" t="s">
        <v>204</v>
      </c>
      <c r="L140" t="s">
        <v>211</v>
      </c>
      <c r="M140" t="s">
        <v>225</v>
      </c>
    </row>
    <row r="141" spans="1:13" x14ac:dyDescent="0.25">
      <c r="A141" t="s">
        <v>349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199</v>
      </c>
      <c r="K141" t="s">
        <v>239</v>
      </c>
      <c r="L141" t="s">
        <v>211</v>
      </c>
      <c r="M141" t="s">
        <v>225</v>
      </c>
    </row>
    <row r="142" spans="1:13" x14ac:dyDescent="0.25">
      <c r="A142" t="s">
        <v>350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199</v>
      </c>
      <c r="K143" t="s">
        <v>206</v>
      </c>
      <c r="L143" t="s">
        <v>211</v>
      </c>
      <c r="M143" t="s">
        <v>225</v>
      </c>
    </row>
    <row r="144" spans="1:13" x14ac:dyDescent="0.25">
      <c r="A144" t="s">
        <v>278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199</v>
      </c>
      <c r="K144" t="s">
        <v>207</v>
      </c>
      <c r="L144" t="s">
        <v>211</v>
      </c>
      <c r="M144" t="s">
        <v>225</v>
      </c>
    </row>
    <row r="145" spans="1:13" x14ac:dyDescent="0.25">
      <c r="A145" t="s">
        <v>351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199</v>
      </c>
      <c r="K145" t="s">
        <v>233</v>
      </c>
      <c r="L145" t="s">
        <v>211</v>
      </c>
      <c r="M145" t="s">
        <v>225</v>
      </c>
    </row>
    <row r="146" spans="1:13" x14ac:dyDescent="0.25">
      <c r="A146" t="s">
        <v>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199</v>
      </c>
      <c r="K146" t="s">
        <v>202</v>
      </c>
      <c r="L146" t="s">
        <v>212</v>
      </c>
      <c r="M146" t="s">
        <v>225</v>
      </c>
    </row>
    <row r="147" spans="1:13" x14ac:dyDescent="0.25">
      <c r="A147" t="s">
        <v>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 t="s">
        <v>199</v>
      </c>
      <c r="K148" t="s">
        <v>204</v>
      </c>
      <c r="L148" t="s">
        <v>212</v>
      </c>
      <c r="M148" t="s">
        <v>225</v>
      </c>
    </row>
    <row r="149" spans="1:13" x14ac:dyDescent="0.25">
      <c r="A149" t="s">
        <v>352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199</v>
      </c>
      <c r="K149" t="s">
        <v>239</v>
      </c>
      <c r="L149" t="s">
        <v>212</v>
      </c>
      <c r="M149" t="s">
        <v>225</v>
      </c>
    </row>
    <row r="150" spans="1:13" x14ac:dyDescent="0.25">
      <c r="A150" t="s">
        <v>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199</v>
      </c>
      <c r="K150" t="s">
        <v>241</v>
      </c>
      <c r="L150" t="s">
        <v>212</v>
      </c>
      <c r="M150" t="s">
        <v>225</v>
      </c>
    </row>
    <row r="151" spans="1:13" x14ac:dyDescent="0.25">
      <c r="A151" t="s">
        <v>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199</v>
      </c>
      <c r="K151" t="s">
        <v>206</v>
      </c>
      <c r="L151" t="s">
        <v>212</v>
      </c>
      <c r="M151" t="s">
        <v>225</v>
      </c>
    </row>
    <row r="152" spans="1:13" x14ac:dyDescent="0.25">
      <c r="A152" t="s">
        <v>279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 t="s">
        <v>199</v>
      </c>
      <c r="K153" t="s">
        <v>233</v>
      </c>
      <c r="L153" t="s">
        <v>212</v>
      </c>
      <c r="M153" t="s">
        <v>225</v>
      </c>
    </row>
    <row r="154" spans="1:13" x14ac:dyDescent="0.25">
      <c r="A154" t="s">
        <v>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199</v>
      </c>
      <c r="K154" t="s">
        <v>202</v>
      </c>
      <c r="L154" t="s">
        <v>213</v>
      </c>
      <c r="M154" t="s">
        <v>225</v>
      </c>
    </row>
    <row r="155" spans="1:13" x14ac:dyDescent="0.25">
      <c r="A155" t="s">
        <v>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199</v>
      </c>
      <c r="K155" t="s">
        <v>203</v>
      </c>
      <c r="L155" t="s">
        <v>213</v>
      </c>
      <c r="M155" t="s">
        <v>225</v>
      </c>
    </row>
    <row r="156" spans="1:13" x14ac:dyDescent="0.25">
      <c r="A156" t="s">
        <v>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199</v>
      </c>
      <c r="K156" t="s">
        <v>204</v>
      </c>
      <c r="L156" t="s">
        <v>213</v>
      </c>
      <c r="M156" t="s">
        <v>225</v>
      </c>
    </row>
    <row r="157" spans="1:13" x14ac:dyDescent="0.25">
      <c r="A157" t="s">
        <v>355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199</v>
      </c>
      <c r="K158" t="s">
        <v>241</v>
      </c>
      <c r="L158" t="s">
        <v>213</v>
      </c>
      <c r="M158" t="s">
        <v>225</v>
      </c>
    </row>
    <row r="159" spans="1:13" x14ac:dyDescent="0.25">
      <c r="A159" t="s">
        <v>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199</v>
      </c>
      <c r="K159" t="s">
        <v>206</v>
      </c>
      <c r="L159" t="s">
        <v>213</v>
      </c>
      <c r="M159" t="s">
        <v>225</v>
      </c>
    </row>
    <row r="160" spans="1:13" x14ac:dyDescent="0.25">
      <c r="A160" t="s">
        <v>280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199</v>
      </c>
      <c r="K160" t="s">
        <v>207</v>
      </c>
      <c r="L160" t="s">
        <v>213</v>
      </c>
      <c r="M160" t="s">
        <v>225</v>
      </c>
    </row>
    <row r="161" spans="1:13" x14ac:dyDescent="0.25">
      <c r="A161" t="s">
        <v>357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 t="s">
        <v>199</v>
      </c>
      <c r="K161" t="s">
        <v>233</v>
      </c>
      <c r="L161" t="s">
        <v>213</v>
      </c>
      <c r="M161" t="s">
        <v>225</v>
      </c>
    </row>
    <row r="162" spans="1:13" x14ac:dyDescent="0.25">
      <c r="A162" t="s">
        <v>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199</v>
      </c>
      <c r="K163" t="s">
        <v>203</v>
      </c>
      <c r="L163" t="s">
        <v>214</v>
      </c>
      <c r="M163" t="s">
        <v>225</v>
      </c>
    </row>
    <row r="164" spans="1:13" x14ac:dyDescent="0.25">
      <c r="A164" t="s">
        <v>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199</v>
      </c>
      <c r="K164" t="s">
        <v>204</v>
      </c>
      <c r="L164" t="s">
        <v>214</v>
      </c>
      <c r="M164" t="s">
        <v>225</v>
      </c>
    </row>
    <row r="165" spans="1:13" x14ac:dyDescent="0.25">
      <c r="A165" t="s">
        <v>358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199</v>
      </c>
      <c r="K165" t="s">
        <v>239</v>
      </c>
      <c r="L165" t="s">
        <v>214</v>
      </c>
      <c r="M165" t="s">
        <v>225</v>
      </c>
    </row>
    <row r="166" spans="1:13" x14ac:dyDescent="0.25">
      <c r="A166" t="s">
        <v>359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199</v>
      </c>
      <c r="K166" t="s">
        <v>241</v>
      </c>
      <c r="L166" t="s">
        <v>214</v>
      </c>
      <c r="M166" t="s">
        <v>225</v>
      </c>
    </row>
    <row r="167" spans="1:13" x14ac:dyDescent="0.25">
      <c r="A167" t="s">
        <v>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199</v>
      </c>
      <c r="K168" t="s">
        <v>207</v>
      </c>
      <c r="L168" t="s">
        <v>214</v>
      </c>
      <c r="M168" t="s">
        <v>225</v>
      </c>
    </row>
    <row r="169" spans="1:13" x14ac:dyDescent="0.25">
      <c r="A169" t="s">
        <v>360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199</v>
      </c>
      <c r="K169" t="s">
        <v>233</v>
      </c>
      <c r="L169" t="s">
        <v>214</v>
      </c>
      <c r="M169" t="s">
        <v>225</v>
      </c>
    </row>
    <row r="170" spans="1:13" x14ac:dyDescent="0.25">
      <c r="A170" t="s">
        <v>85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199</v>
      </c>
      <c r="K170" t="s">
        <v>202</v>
      </c>
      <c r="L170" t="s">
        <v>215</v>
      </c>
      <c r="M170" t="s">
        <v>225</v>
      </c>
    </row>
    <row r="171" spans="1:13" x14ac:dyDescent="0.25">
      <c r="A171" t="s">
        <v>86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199</v>
      </c>
      <c r="K171" t="s">
        <v>203</v>
      </c>
      <c r="L171" t="s">
        <v>215</v>
      </c>
      <c r="M171" t="s">
        <v>225</v>
      </c>
    </row>
    <row r="172" spans="1:13" x14ac:dyDescent="0.25">
      <c r="A172" t="s">
        <v>87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199</v>
      </c>
      <c r="K173" t="s">
        <v>239</v>
      </c>
      <c r="L173" t="s">
        <v>215</v>
      </c>
      <c r="M173" t="s">
        <v>225</v>
      </c>
    </row>
    <row r="174" spans="1:13" x14ac:dyDescent="0.25">
      <c r="A174" t="s">
        <v>362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199</v>
      </c>
      <c r="K174" t="s">
        <v>241</v>
      </c>
      <c r="L174" t="s">
        <v>215</v>
      </c>
      <c r="M174" t="s">
        <v>225</v>
      </c>
    </row>
    <row r="175" spans="1:13" x14ac:dyDescent="0.25">
      <c r="A175" t="s">
        <v>88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199</v>
      </c>
      <c r="K175" t="s">
        <v>206</v>
      </c>
      <c r="L175" t="s">
        <v>215</v>
      </c>
      <c r="M175" t="s">
        <v>225</v>
      </c>
    </row>
    <row r="176" spans="1:13" x14ac:dyDescent="0.25">
      <c r="A176" t="s">
        <v>282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199</v>
      </c>
      <c r="K176" t="s">
        <v>207</v>
      </c>
      <c r="L176" t="s">
        <v>215</v>
      </c>
      <c r="M176" t="s">
        <v>225</v>
      </c>
    </row>
    <row r="177" spans="1:13" x14ac:dyDescent="0.25">
      <c r="A177" t="s">
        <v>363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199</v>
      </c>
      <c r="K178" t="s">
        <v>202</v>
      </c>
      <c r="L178" t="s">
        <v>216</v>
      </c>
      <c r="M178" t="s">
        <v>225</v>
      </c>
    </row>
    <row r="179" spans="1:13" x14ac:dyDescent="0.25">
      <c r="A179" t="s">
        <v>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199</v>
      </c>
      <c r="K179" t="s">
        <v>203</v>
      </c>
      <c r="L179" t="s">
        <v>216</v>
      </c>
      <c r="M179" t="s">
        <v>225</v>
      </c>
    </row>
    <row r="180" spans="1:13" x14ac:dyDescent="0.25">
      <c r="A180" t="s">
        <v>91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199</v>
      </c>
      <c r="K180" t="s">
        <v>204</v>
      </c>
      <c r="L180" t="s">
        <v>216</v>
      </c>
      <c r="M180" t="s">
        <v>225</v>
      </c>
    </row>
    <row r="181" spans="1:13" x14ac:dyDescent="0.25">
      <c r="A181" t="s">
        <v>364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199</v>
      </c>
      <c r="K181" t="s">
        <v>239</v>
      </c>
      <c r="L181" t="s">
        <v>216</v>
      </c>
      <c r="M181" t="s">
        <v>225</v>
      </c>
    </row>
    <row r="182" spans="1:13" x14ac:dyDescent="0.25">
      <c r="A182" t="s">
        <v>365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199</v>
      </c>
      <c r="K183" t="s">
        <v>206</v>
      </c>
      <c r="L183" t="s">
        <v>216</v>
      </c>
      <c r="M183" t="s">
        <v>225</v>
      </c>
    </row>
    <row r="184" spans="1:13" x14ac:dyDescent="0.25">
      <c r="A184" t="s">
        <v>283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199</v>
      </c>
      <c r="K184" t="s">
        <v>207</v>
      </c>
      <c r="L184" t="s">
        <v>216</v>
      </c>
      <c r="M184" t="s">
        <v>225</v>
      </c>
    </row>
    <row r="185" spans="1:13" x14ac:dyDescent="0.25">
      <c r="A185" t="s">
        <v>366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199</v>
      </c>
      <c r="K185" t="s">
        <v>233</v>
      </c>
      <c r="L185" t="s">
        <v>216</v>
      </c>
      <c r="M185" t="s">
        <v>225</v>
      </c>
    </row>
    <row r="186" spans="1:13" x14ac:dyDescent="0.25">
      <c r="A186" t="s">
        <v>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199</v>
      </c>
      <c r="K186" t="s">
        <v>202</v>
      </c>
      <c r="L186" t="s">
        <v>217</v>
      </c>
      <c r="M186" t="s">
        <v>225</v>
      </c>
    </row>
    <row r="187" spans="1:13" x14ac:dyDescent="0.25">
      <c r="A187" t="s">
        <v>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 t="s">
        <v>199</v>
      </c>
      <c r="K188" t="s">
        <v>204</v>
      </c>
      <c r="L188" t="s">
        <v>217</v>
      </c>
      <c r="M188" t="s">
        <v>225</v>
      </c>
    </row>
    <row r="189" spans="1:13" x14ac:dyDescent="0.25">
      <c r="A189" t="s">
        <v>367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199</v>
      </c>
      <c r="K189" t="s">
        <v>239</v>
      </c>
      <c r="L189" t="s">
        <v>217</v>
      </c>
      <c r="M189" t="s">
        <v>225</v>
      </c>
    </row>
    <row r="190" spans="1:13" x14ac:dyDescent="0.25">
      <c r="A190" t="s">
        <v>368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199</v>
      </c>
      <c r="K190" t="s">
        <v>241</v>
      </c>
      <c r="L190" t="s">
        <v>217</v>
      </c>
      <c r="M190" t="s">
        <v>225</v>
      </c>
    </row>
    <row r="191" spans="1:13" x14ac:dyDescent="0.25">
      <c r="A191" t="s">
        <v>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 t="s">
        <v>199</v>
      </c>
      <c r="K191" t="s">
        <v>206</v>
      </c>
      <c r="L191" t="s">
        <v>217</v>
      </c>
      <c r="M191" t="s">
        <v>225</v>
      </c>
    </row>
    <row r="192" spans="1:13" x14ac:dyDescent="0.25">
      <c r="A192" t="s">
        <v>284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1</v>
      </c>
      <c r="C193">
        <v>1</v>
      </c>
      <c r="D193">
        <v>0</v>
      </c>
      <c r="E193">
        <v>1</v>
      </c>
      <c r="F193">
        <v>1</v>
      </c>
      <c r="G193">
        <v>0</v>
      </c>
      <c r="H193">
        <v>1</v>
      </c>
      <c r="I193">
        <v>1</v>
      </c>
      <c r="J193" t="s">
        <v>199</v>
      </c>
      <c r="K193" t="s">
        <v>233</v>
      </c>
      <c r="L193" t="s">
        <v>217</v>
      </c>
      <c r="M193" t="s">
        <v>225</v>
      </c>
    </row>
    <row r="194" spans="1:13" x14ac:dyDescent="0.25">
      <c r="A194" t="s">
        <v>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199</v>
      </c>
      <c r="K194" t="s">
        <v>202</v>
      </c>
      <c r="L194" t="s">
        <v>218</v>
      </c>
      <c r="M194" t="s">
        <v>225</v>
      </c>
    </row>
    <row r="195" spans="1:13" x14ac:dyDescent="0.25">
      <c r="A195" t="s">
        <v>98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199</v>
      </c>
      <c r="K195" t="s">
        <v>203</v>
      </c>
      <c r="L195" t="s">
        <v>218</v>
      </c>
      <c r="M195" t="s">
        <v>225</v>
      </c>
    </row>
    <row r="196" spans="1:13" x14ac:dyDescent="0.25">
      <c r="A196" t="s">
        <v>99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199</v>
      </c>
      <c r="K196" t="s">
        <v>204</v>
      </c>
      <c r="L196" t="s">
        <v>218</v>
      </c>
      <c r="M196" t="s">
        <v>225</v>
      </c>
    </row>
    <row r="197" spans="1:13" x14ac:dyDescent="0.25">
      <c r="A197" t="s">
        <v>370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199</v>
      </c>
      <c r="K198" t="s">
        <v>241</v>
      </c>
      <c r="L198" t="s">
        <v>218</v>
      </c>
      <c r="M198" t="s">
        <v>225</v>
      </c>
    </row>
    <row r="199" spans="1:13" x14ac:dyDescent="0.25">
      <c r="A199" t="s">
        <v>100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199</v>
      </c>
      <c r="K199" t="s">
        <v>206</v>
      </c>
      <c r="L199" t="s">
        <v>218</v>
      </c>
      <c r="M199" t="s">
        <v>225</v>
      </c>
    </row>
    <row r="200" spans="1:13" x14ac:dyDescent="0.25">
      <c r="A200" t="s">
        <v>285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199</v>
      </c>
      <c r="K200" t="s">
        <v>207</v>
      </c>
      <c r="L200" t="s">
        <v>218</v>
      </c>
      <c r="M200" t="s">
        <v>225</v>
      </c>
    </row>
    <row r="201" spans="1:13" x14ac:dyDescent="0.25">
      <c r="A201" t="s">
        <v>372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199</v>
      </c>
      <c r="K201" t="s">
        <v>233</v>
      </c>
      <c r="L201" t="s">
        <v>218</v>
      </c>
      <c r="M201" t="s">
        <v>225</v>
      </c>
    </row>
    <row r="202" spans="1:13" x14ac:dyDescent="0.25">
      <c r="A202" t="s">
        <v>101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199</v>
      </c>
      <c r="K203" t="s">
        <v>203</v>
      </c>
      <c r="L203" t="s">
        <v>219</v>
      </c>
      <c r="M203" t="s">
        <v>225</v>
      </c>
    </row>
    <row r="204" spans="1:13" x14ac:dyDescent="0.25">
      <c r="A204" t="s">
        <v>103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199</v>
      </c>
      <c r="K204" t="s">
        <v>204</v>
      </c>
      <c r="L204" t="s">
        <v>219</v>
      </c>
      <c r="M204" t="s">
        <v>225</v>
      </c>
    </row>
    <row r="205" spans="1:13" x14ac:dyDescent="0.25">
      <c r="A205" t="s">
        <v>373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199</v>
      </c>
      <c r="K205" t="s">
        <v>239</v>
      </c>
      <c r="L205" t="s">
        <v>219</v>
      </c>
      <c r="M205" t="s">
        <v>225</v>
      </c>
    </row>
    <row r="206" spans="1:13" x14ac:dyDescent="0.25">
      <c r="A206" t="s">
        <v>374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199</v>
      </c>
      <c r="K206" t="s">
        <v>241</v>
      </c>
      <c r="L206" t="s">
        <v>219</v>
      </c>
      <c r="M206" t="s">
        <v>225</v>
      </c>
    </row>
    <row r="207" spans="1:13" x14ac:dyDescent="0.25">
      <c r="A207" t="s">
        <v>104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199</v>
      </c>
      <c r="K208" t="s">
        <v>207</v>
      </c>
      <c r="L208" t="s">
        <v>219</v>
      </c>
      <c r="M208" t="s">
        <v>225</v>
      </c>
    </row>
    <row r="209" spans="1:13" x14ac:dyDescent="0.25">
      <c r="A209" t="s">
        <v>375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199</v>
      </c>
      <c r="K209" t="s">
        <v>233</v>
      </c>
      <c r="L209" t="s">
        <v>219</v>
      </c>
      <c r="M209" t="s">
        <v>225</v>
      </c>
    </row>
    <row r="210" spans="1:13" x14ac:dyDescent="0.25">
      <c r="A210" t="s">
        <v>105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199</v>
      </c>
      <c r="K210" t="s">
        <v>202</v>
      </c>
      <c r="L210" t="s">
        <v>220</v>
      </c>
      <c r="M210" t="s">
        <v>225</v>
      </c>
    </row>
    <row r="211" spans="1:13" x14ac:dyDescent="0.25">
      <c r="A211" t="s">
        <v>106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199</v>
      </c>
      <c r="K211" t="s">
        <v>203</v>
      </c>
      <c r="L211" t="s">
        <v>220</v>
      </c>
      <c r="M211" t="s">
        <v>225</v>
      </c>
    </row>
    <row r="212" spans="1:13" x14ac:dyDescent="0.25">
      <c r="A212" t="s">
        <v>107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199</v>
      </c>
      <c r="K213" t="s">
        <v>239</v>
      </c>
      <c r="L213" t="s">
        <v>220</v>
      </c>
      <c r="M213" t="s">
        <v>225</v>
      </c>
    </row>
    <row r="214" spans="1:13" x14ac:dyDescent="0.25">
      <c r="A214" t="s">
        <v>377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199</v>
      </c>
      <c r="K214" t="s">
        <v>241</v>
      </c>
      <c r="L214" t="s">
        <v>220</v>
      </c>
      <c r="M214" t="s">
        <v>225</v>
      </c>
    </row>
    <row r="215" spans="1:13" x14ac:dyDescent="0.25">
      <c r="A215" t="s">
        <v>108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199</v>
      </c>
      <c r="K215" t="s">
        <v>206</v>
      </c>
      <c r="L215" t="s">
        <v>220</v>
      </c>
      <c r="M215" t="s">
        <v>225</v>
      </c>
    </row>
    <row r="216" spans="1:13" x14ac:dyDescent="0.25">
      <c r="A216" t="s">
        <v>287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199</v>
      </c>
      <c r="K216" t="s">
        <v>207</v>
      </c>
      <c r="L216" t="s">
        <v>220</v>
      </c>
      <c r="M216" t="s">
        <v>225</v>
      </c>
    </row>
    <row r="217" spans="1:13" x14ac:dyDescent="0.25">
      <c r="A217" t="s">
        <v>378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199</v>
      </c>
      <c r="K218" t="s">
        <v>202</v>
      </c>
      <c r="L218" t="s">
        <v>221</v>
      </c>
      <c r="M218" t="s">
        <v>225</v>
      </c>
    </row>
    <row r="219" spans="1:13" x14ac:dyDescent="0.25">
      <c r="A219" t="s">
        <v>110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199</v>
      </c>
      <c r="K219" t="s">
        <v>203</v>
      </c>
      <c r="L219" t="s">
        <v>221</v>
      </c>
      <c r="M219" t="s">
        <v>225</v>
      </c>
    </row>
    <row r="220" spans="1:13" x14ac:dyDescent="0.25">
      <c r="A220" t="s">
        <v>111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199</v>
      </c>
      <c r="K220" t="s">
        <v>204</v>
      </c>
      <c r="L220" t="s">
        <v>221</v>
      </c>
      <c r="M220" t="s">
        <v>225</v>
      </c>
    </row>
    <row r="221" spans="1:13" x14ac:dyDescent="0.25">
      <c r="A221" t="s">
        <v>379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199</v>
      </c>
      <c r="K221" t="s">
        <v>239</v>
      </c>
      <c r="L221" t="s">
        <v>221</v>
      </c>
      <c r="M221" t="s">
        <v>225</v>
      </c>
    </row>
    <row r="222" spans="1:13" x14ac:dyDescent="0.25">
      <c r="A222" t="s">
        <v>380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199</v>
      </c>
      <c r="K223" t="s">
        <v>206</v>
      </c>
      <c r="L223" t="s">
        <v>221</v>
      </c>
      <c r="M223" t="s">
        <v>225</v>
      </c>
    </row>
    <row r="224" spans="1:13" x14ac:dyDescent="0.25">
      <c r="A224" t="s">
        <v>288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199</v>
      </c>
      <c r="K224" t="s">
        <v>207</v>
      </c>
      <c r="L224" t="s">
        <v>221</v>
      </c>
      <c r="M224" t="s">
        <v>225</v>
      </c>
    </row>
    <row r="225" spans="1:13" x14ac:dyDescent="0.25">
      <c r="A225" t="s">
        <v>381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199</v>
      </c>
      <c r="K225" t="s">
        <v>233</v>
      </c>
      <c r="L225" t="s">
        <v>221</v>
      </c>
      <c r="M225" t="s">
        <v>225</v>
      </c>
    </row>
    <row r="226" spans="1:13" x14ac:dyDescent="0.25">
      <c r="A226" t="s">
        <v>113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199</v>
      </c>
      <c r="K226" t="s">
        <v>202</v>
      </c>
      <c r="L226" t="s">
        <v>222</v>
      </c>
      <c r="M226" t="s">
        <v>225</v>
      </c>
    </row>
    <row r="227" spans="1:13" x14ac:dyDescent="0.25">
      <c r="A227" t="s">
        <v>114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199</v>
      </c>
      <c r="K227" t="s">
        <v>203</v>
      </c>
      <c r="L227" t="s">
        <v>222</v>
      </c>
      <c r="M227" t="s">
        <v>225</v>
      </c>
    </row>
    <row r="228" spans="1:13" x14ac:dyDescent="0.25">
      <c r="A228" t="s">
        <v>115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199</v>
      </c>
      <c r="K228" t="s">
        <v>204</v>
      </c>
      <c r="L228" t="s">
        <v>222</v>
      </c>
      <c r="M228" t="s">
        <v>225</v>
      </c>
    </row>
    <row r="229" spans="1:13" x14ac:dyDescent="0.25">
      <c r="A229" t="s">
        <v>382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199</v>
      </c>
      <c r="K229" t="s">
        <v>239</v>
      </c>
      <c r="L229" t="s">
        <v>222</v>
      </c>
      <c r="M229" t="s">
        <v>225</v>
      </c>
    </row>
    <row r="230" spans="1:13" x14ac:dyDescent="0.25">
      <c r="A230" t="s">
        <v>383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199</v>
      </c>
      <c r="K230" t="s">
        <v>241</v>
      </c>
      <c r="L230" t="s">
        <v>222</v>
      </c>
      <c r="M230" t="s">
        <v>225</v>
      </c>
    </row>
    <row r="231" spans="1:13" x14ac:dyDescent="0.25">
      <c r="A231" t="s">
        <v>116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199</v>
      </c>
      <c r="K231" t="s">
        <v>206</v>
      </c>
      <c r="L231" t="s">
        <v>222</v>
      </c>
      <c r="M231" t="s">
        <v>225</v>
      </c>
    </row>
    <row r="232" spans="1:13" x14ac:dyDescent="0.25">
      <c r="A232" t="s">
        <v>289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199</v>
      </c>
      <c r="K232" t="s">
        <v>207</v>
      </c>
      <c r="L232" t="s">
        <v>222</v>
      </c>
      <c r="M232" t="s">
        <v>225</v>
      </c>
    </row>
    <row r="233" spans="1:13" x14ac:dyDescent="0.25">
      <c r="A233" t="s">
        <v>384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199</v>
      </c>
      <c r="K233" t="s">
        <v>233</v>
      </c>
      <c r="L233" t="s">
        <v>222</v>
      </c>
      <c r="M233" t="s">
        <v>225</v>
      </c>
    </row>
    <row r="234" spans="1:13" x14ac:dyDescent="0.25">
      <c r="A234" t="s">
        <v>117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199</v>
      </c>
      <c r="K234" t="s">
        <v>202</v>
      </c>
      <c r="L234" t="s">
        <v>223</v>
      </c>
      <c r="M234" t="s">
        <v>225</v>
      </c>
    </row>
    <row r="235" spans="1:13" x14ac:dyDescent="0.25">
      <c r="A235" t="s">
        <v>118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199</v>
      </c>
      <c r="K235" t="s">
        <v>203</v>
      </c>
      <c r="L235" t="s">
        <v>223</v>
      </c>
      <c r="M235" t="s">
        <v>225</v>
      </c>
    </row>
    <row r="236" spans="1:13" x14ac:dyDescent="0.25">
      <c r="A236" t="s">
        <v>119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199</v>
      </c>
      <c r="K236" t="s">
        <v>204</v>
      </c>
      <c r="L236" t="s">
        <v>223</v>
      </c>
      <c r="M236" t="s">
        <v>225</v>
      </c>
    </row>
    <row r="237" spans="1:13" x14ac:dyDescent="0.25">
      <c r="A237" t="s">
        <v>385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199</v>
      </c>
      <c r="K237" t="s">
        <v>239</v>
      </c>
      <c r="L237" t="s">
        <v>223</v>
      </c>
      <c r="M237" t="s">
        <v>225</v>
      </c>
    </row>
    <row r="238" spans="1:13" x14ac:dyDescent="0.25">
      <c r="A238" t="s">
        <v>386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199</v>
      </c>
      <c r="K238" t="s">
        <v>241</v>
      </c>
      <c r="L238" t="s">
        <v>223</v>
      </c>
      <c r="M238" t="s">
        <v>225</v>
      </c>
    </row>
    <row r="239" spans="1:13" x14ac:dyDescent="0.25">
      <c r="A239" t="s">
        <v>120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199</v>
      </c>
      <c r="K239" t="s">
        <v>206</v>
      </c>
      <c r="L239" t="s">
        <v>223</v>
      </c>
      <c r="M239" t="s">
        <v>225</v>
      </c>
    </row>
    <row r="240" spans="1:13" x14ac:dyDescent="0.25">
      <c r="A240" t="s">
        <v>290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199</v>
      </c>
      <c r="K240" t="s">
        <v>207</v>
      </c>
      <c r="L240" t="s">
        <v>223</v>
      </c>
      <c r="M240" t="s">
        <v>225</v>
      </c>
    </row>
    <row r="241" spans="1:13" x14ac:dyDescent="0.25">
      <c r="A241" t="s">
        <v>387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199</v>
      </c>
      <c r="K241" t="s">
        <v>233</v>
      </c>
      <c r="L241" t="s">
        <v>223</v>
      </c>
      <c r="M241" t="s">
        <v>225</v>
      </c>
    </row>
    <row r="242" spans="1:13" x14ac:dyDescent="0.25">
      <c r="A242" t="s">
        <v>121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200</v>
      </c>
      <c r="K242" t="s">
        <v>202</v>
      </c>
      <c r="L242" t="s">
        <v>209</v>
      </c>
      <c r="M242" t="s">
        <v>225</v>
      </c>
    </row>
    <row r="243" spans="1:13" x14ac:dyDescent="0.25">
      <c r="A243" t="s">
        <v>122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200</v>
      </c>
      <c r="K243" t="s">
        <v>203</v>
      </c>
      <c r="L243" t="s">
        <v>209</v>
      </c>
      <c r="M243" t="s">
        <v>225</v>
      </c>
    </row>
    <row r="244" spans="1:13" x14ac:dyDescent="0.25">
      <c r="A244" t="s">
        <v>123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200</v>
      </c>
      <c r="K244" t="s">
        <v>204</v>
      </c>
      <c r="L244" t="s">
        <v>209</v>
      </c>
      <c r="M244" t="s">
        <v>225</v>
      </c>
    </row>
    <row r="245" spans="1:13" x14ac:dyDescent="0.25">
      <c r="A245" t="s">
        <v>388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200</v>
      </c>
      <c r="K245" t="s">
        <v>239</v>
      </c>
      <c r="L245" t="s">
        <v>209</v>
      </c>
      <c r="M245" t="s">
        <v>225</v>
      </c>
    </row>
    <row r="246" spans="1:13" x14ac:dyDescent="0.25">
      <c r="A246" t="s">
        <v>389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 t="s">
        <v>200</v>
      </c>
      <c r="K246" t="s">
        <v>241</v>
      </c>
      <c r="L246" t="s">
        <v>209</v>
      </c>
      <c r="M246" t="s">
        <v>225</v>
      </c>
    </row>
    <row r="247" spans="1:13" x14ac:dyDescent="0.25">
      <c r="A247" t="s">
        <v>124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1</v>
      </c>
      <c r="J247" t="s">
        <v>200</v>
      </c>
      <c r="K247" t="s">
        <v>206</v>
      </c>
      <c r="L247" t="s">
        <v>209</v>
      </c>
      <c r="M247" t="s">
        <v>225</v>
      </c>
    </row>
    <row r="248" spans="1:13" x14ac:dyDescent="0.25">
      <c r="A248" t="s">
        <v>291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200</v>
      </c>
      <c r="K248" t="s">
        <v>207</v>
      </c>
      <c r="L248" t="s">
        <v>209</v>
      </c>
      <c r="M248" t="s">
        <v>225</v>
      </c>
    </row>
    <row r="249" spans="1:13" x14ac:dyDescent="0.25">
      <c r="A249" t="s">
        <v>390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 t="s">
        <v>200</v>
      </c>
      <c r="K249" t="s">
        <v>233</v>
      </c>
      <c r="L249" t="s">
        <v>209</v>
      </c>
      <c r="M249" t="s">
        <v>225</v>
      </c>
    </row>
    <row r="250" spans="1:13" x14ac:dyDescent="0.25">
      <c r="A250" t="s">
        <v>125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200</v>
      </c>
      <c r="K250" t="s">
        <v>202</v>
      </c>
      <c r="L250" t="s">
        <v>210</v>
      </c>
      <c r="M250" t="s">
        <v>225</v>
      </c>
    </row>
    <row r="251" spans="1:13" x14ac:dyDescent="0.25">
      <c r="A251" t="s">
        <v>126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200</v>
      </c>
      <c r="K251" t="s">
        <v>203</v>
      </c>
      <c r="L251" t="s">
        <v>210</v>
      </c>
      <c r="M251" t="s">
        <v>225</v>
      </c>
    </row>
    <row r="252" spans="1:13" x14ac:dyDescent="0.25">
      <c r="A252" t="s">
        <v>127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200</v>
      </c>
      <c r="K252" t="s">
        <v>204</v>
      </c>
      <c r="L252" t="s">
        <v>210</v>
      </c>
      <c r="M252" t="s">
        <v>225</v>
      </c>
    </row>
    <row r="253" spans="1:13" x14ac:dyDescent="0.25">
      <c r="A253" t="s">
        <v>391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200</v>
      </c>
      <c r="K253" t="s">
        <v>239</v>
      </c>
      <c r="L253" t="s">
        <v>210</v>
      </c>
      <c r="M253" t="s">
        <v>225</v>
      </c>
    </row>
    <row r="254" spans="1:13" x14ac:dyDescent="0.25">
      <c r="A254" t="s">
        <v>392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200</v>
      </c>
      <c r="K254" t="s">
        <v>241</v>
      </c>
      <c r="L254" t="s">
        <v>210</v>
      </c>
      <c r="M254" t="s">
        <v>225</v>
      </c>
    </row>
    <row r="255" spans="1:13" x14ac:dyDescent="0.25">
      <c r="A255" t="s">
        <v>128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200</v>
      </c>
      <c r="K255" t="s">
        <v>206</v>
      </c>
      <c r="L255" t="s">
        <v>210</v>
      </c>
      <c r="M255" t="s">
        <v>225</v>
      </c>
    </row>
    <row r="256" spans="1:13" x14ac:dyDescent="0.25">
      <c r="A256" t="s">
        <v>292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200</v>
      </c>
      <c r="K256" t="s">
        <v>207</v>
      </c>
      <c r="L256" t="s">
        <v>210</v>
      </c>
      <c r="M256" t="s">
        <v>225</v>
      </c>
    </row>
    <row r="257" spans="1:13" x14ac:dyDescent="0.25">
      <c r="A257" t="s">
        <v>393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200</v>
      </c>
      <c r="K257" t="s">
        <v>233</v>
      </c>
      <c r="L257" t="s">
        <v>210</v>
      </c>
      <c r="M257" t="s">
        <v>225</v>
      </c>
    </row>
    <row r="258" spans="1:13" x14ac:dyDescent="0.25">
      <c r="A258" t="s">
        <v>129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200</v>
      </c>
      <c r="K258" t="s">
        <v>202</v>
      </c>
      <c r="L258" t="s">
        <v>211</v>
      </c>
      <c r="M258" t="s">
        <v>225</v>
      </c>
    </row>
    <row r="259" spans="1:13" x14ac:dyDescent="0.25">
      <c r="A259" t="s">
        <v>130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200</v>
      </c>
      <c r="K259" t="s">
        <v>203</v>
      </c>
      <c r="L259" t="s">
        <v>211</v>
      </c>
      <c r="M259" t="s">
        <v>225</v>
      </c>
    </row>
    <row r="260" spans="1:13" x14ac:dyDescent="0.25">
      <c r="A260" t="s">
        <v>131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200</v>
      </c>
      <c r="K260" t="s">
        <v>204</v>
      </c>
      <c r="L260" t="s">
        <v>211</v>
      </c>
      <c r="M260" t="s">
        <v>225</v>
      </c>
    </row>
    <row r="261" spans="1:13" x14ac:dyDescent="0.25">
      <c r="A261" t="s">
        <v>394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200</v>
      </c>
      <c r="K261" t="s">
        <v>239</v>
      </c>
      <c r="L261" t="s">
        <v>211</v>
      </c>
      <c r="M261" t="s">
        <v>225</v>
      </c>
    </row>
    <row r="262" spans="1:13" x14ac:dyDescent="0.25">
      <c r="A262" t="s">
        <v>395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200</v>
      </c>
      <c r="K262" t="s">
        <v>241</v>
      </c>
      <c r="L262" t="s">
        <v>211</v>
      </c>
      <c r="M262" t="s">
        <v>225</v>
      </c>
    </row>
    <row r="263" spans="1:13" x14ac:dyDescent="0.25">
      <c r="A263" t="s">
        <v>132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200</v>
      </c>
      <c r="K263" t="s">
        <v>206</v>
      </c>
      <c r="L263" t="s">
        <v>211</v>
      </c>
      <c r="M263" t="s">
        <v>225</v>
      </c>
    </row>
    <row r="264" spans="1:13" x14ac:dyDescent="0.25">
      <c r="A264" t="s">
        <v>293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200</v>
      </c>
      <c r="K264" t="s">
        <v>207</v>
      </c>
      <c r="L264" t="s">
        <v>211</v>
      </c>
      <c r="M264" t="s">
        <v>225</v>
      </c>
    </row>
    <row r="265" spans="1:13" x14ac:dyDescent="0.25">
      <c r="A265" t="s">
        <v>396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200</v>
      </c>
      <c r="K265" t="s">
        <v>233</v>
      </c>
      <c r="L265" t="s">
        <v>211</v>
      </c>
      <c r="M265" t="s">
        <v>225</v>
      </c>
    </row>
    <row r="266" spans="1:13" x14ac:dyDescent="0.25">
      <c r="A266" t="s">
        <v>133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200</v>
      </c>
      <c r="K266" t="s">
        <v>202</v>
      </c>
      <c r="L266" t="s">
        <v>212</v>
      </c>
      <c r="M266" t="s">
        <v>225</v>
      </c>
    </row>
    <row r="267" spans="1:13" x14ac:dyDescent="0.25">
      <c r="A267" t="s">
        <v>134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200</v>
      </c>
      <c r="K267" t="s">
        <v>203</v>
      </c>
      <c r="L267" t="s">
        <v>212</v>
      </c>
      <c r="M267" t="s">
        <v>225</v>
      </c>
    </row>
    <row r="268" spans="1:13" x14ac:dyDescent="0.25">
      <c r="A268" t="s">
        <v>135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 t="s">
        <v>200</v>
      </c>
      <c r="K268" t="s">
        <v>204</v>
      </c>
      <c r="L268" t="s">
        <v>212</v>
      </c>
      <c r="M268" t="s">
        <v>225</v>
      </c>
    </row>
    <row r="269" spans="1:13" x14ac:dyDescent="0.25">
      <c r="A269" t="s">
        <v>397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200</v>
      </c>
      <c r="K269" t="s">
        <v>239</v>
      </c>
      <c r="L269" t="s">
        <v>212</v>
      </c>
      <c r="M269" t="s">
        <v>225</v>
      </c>
    </row>
    <row r="270" spans="1:13" x14ac:dyDescent="0.25">
      <c r="A270" t="s">
        <v>398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 t="s">
        <v>200</v>
      </c>
      <c r="K270" t="s">
        <v>241</v>
      </c>
      <c r="L270" t="s">
        <v>212</v>
      </c>
      <c r="M270" t="s">
        <v>225</v>
      </c>
    </row>
    <row r="271" spans="1:13" x14ac:dyDescent="0.25">
      <c r="A271" t="s">
        <v>136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1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0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1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0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1</v>
      </c>
      <c r="H318">
        <v>1</v>
      </c>
      <c r="I318">
        <v>1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1</v>
      </c>
      <c r="I327">
        <v>1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1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1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1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1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1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1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1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200</v>
      </c>
      <c r="K406" t="s">
        <v>226</v>
      </c>
      <c r="L406" t="s">
        <v>223</v>
      </c>
      <c r="M406" t="s">
        <v>225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E373-6C7D-4AC9-AF29-C4591CBC1A4E}">
  <dimension ref="A1:M406"/>
  <sheetViews>
    <sheetView topLeftCell="A377" workbookViewId="0">
      <selection activeCell="M406" sqref="M406"/>
    </sheetView>
  </sheetViews>
  <sheetFormatPr defaultRowHeight="15" x14ac:dyDescent="0.25"/>
  <cols>
    <col min="1" max="1" width="22.140625" bestFit="1" customWidth="1"/>
    <col min="2" max="9" width="12" bestFit="1" customWidth="1"/>
    <col min="10" max="10" width="6.85546875" bestFit="1" customWidth="1"/>
    <col min="11" max="11" width="8.140625" bestFit="1" customWidth="1"/>
    <col min="12" max="12" width="8" bestFit="1" customWidth="1"/>
    <col min="13" max="13" width="12" bestFit="1" customWidth="1"/>
  </cols>
  <sheetData>
    <row r="1" spans="1:13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201</v>
      </c>
      <c r="L1" t="s">
        <v>208</v>
      </c>
      <c r="M1" t="s">
        <v>224</v>
      </c>
    </row>
    <row r="2" spans="1:13" x14ac:dyDescent="0.25">
      <c r="A2" t="s">
        <v>1</v>
      </c>
      <c r="J2" t="s">
        <v>198</v>
      </c>
      <c r="K2" t="s">
        <v>202</v>
      </c>
      <c r="L2" t="s">
        <v>209</v>
      </c>
      <c r="M2" t="s">
        <v>225</v>
      </c>
    </row>
    <row r="3" spans="1:13" x14ac:dyDescent="0.25">
      <c r="A3" t="s">
        <v>2</v>
      </c>
      <c r="B3">
        <v>0.69889109034867447</v>
      </c>
      <c r="C3">
        <v>1</v>
      </c>
      <c r="D3">
        <v>0.57251516776153499</v>
      </c>
      <c r="E3">
        <v>0.35902073930923034</v>
      </c>
      <c r="F3">
        <v>1</v>
      </c>
      <c r="G3">
        <v>0.6922097861561245</v>
      </c>
      <c r="H3">
        <v>0.48366026023802888</v>
      </c>
      <c r="I3">
        <v>0.35057630340988899</v>
      </c>
      <c r="J3" t="s">
        <v>198</v>
      </c>
      <c r="K3" t="s">
        <v>203</v>
      </c>
      <c r="L3" t="s">
        <v>209</v>
      </c>
      <c r="M3" t="s">
        <v>225</v>
      </c>
    </row>
    <row r="4" spans="1:13" x14ac:dyDescent="0.25">
      <c r="A4" t="s">
        <v>3</v>
      </c>
      <c r="B4">
        <v>0.52488973368648284</v>
      </c>
      <c r="C4">
        <v>1</v>
      </c>
      <c r="D4">
        <v>0.98865686515836138</v>
      </c>
      <c r="E4">
        <v>0.32004247169757005</v>
      </c>
      <c r="F4">
        <v>1</v>
      </c>
      <c r="G4">
        <v>0.7105930925461732</v>
      </c>
      <c r="H4">
        <v>0.27882735561505273</v>
      </c>
      <c r="I4">
        <v>1</v>
      </c>
      <c r="J4" t="s">
        <v>198</v>
      </c>
      <c r="K4" t="s">
        <v>204</v>
      </c>
      <c r="L4" t="s">
        <v>209</v>
      </c>
      <c r="M4" t="s">
        <v>225</v>
      </c>
    </row>
    <row r="5" spans="1:13" x14ac:dyDescent="0.25">
      <c r="A5" t="s">
        <v>298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 t="s">
        <v>198</v>
      </c>
      <c r="K5" t="s">
        <v>239</v>
      </c>
      <c r="L5" t="s">
        <v>209</v>
      </c>
      <c r="M5" t="s">
        <v>225</v>
      </c>
    </row>
    <row r="6" spans="1:13" x14ac:dyDescent="0.25">
      <c r="A6" t="s">
        <v>299</v>
      </c>
      <c r="B6">
        <v>0.48327612198530079</v>
      </c>
      <c r="C6">
        <v>1</v>
      </c>
      <c r="D6">
        <v>1</v>
      </c>
      <c r="E6">
        <v>0.19618974976400425</v>
      </c>
      <c r="F6">
        <v>0.41597806590205882</v>
      </c>
      <c r="G6">
        <v>0.19623285380617844</v>
      </c>
      <c r="H6">
        <v>0.22890605395662661</v>
      </c>
      <c r="I6">
        <v>1</v>
      </c>
      <c r="J6" t="s">
        <v>198</v>
      </c>
      <c r="K6" t="s">
        <v>241</v>
      </c>
      <c r="L6" t="s">
        <v>209</v>
      </c>
      <c r="M6" t="s">
        <v>225</v>
      </c>
    </row>
    <row r="7" spans="1:13" x14ac:dyDescent="0.25">
      <c r="A7" t="s">
        <v>4</v>
      </c>
      <c r="B7">
        <v>9.4910413711027222E-2</v>
      </c>
      <c r="C7">
        <v>1</v>
      </c>
      <c r="D7">
        <v>0.60816548841476648</v>
      </c>
      <c r="E7">
        <v>0.85554253918025536</v>
      </c>
      <c r="F7">
        <v>0.88313385402740607</v>
      </c>
      <c r="G7">
        <v>1</v>
      </c>
      <c r="H7">
        <v>1</v>
      </c>
      <c r="I7">
        <v>1</v>
      </c>
      <c r="J7" t="s">
        <v>198</v>
      </c>
      <c r="K7" t="s">
        <v>206</v>
      </c>
      <c r="L7" t="s">
        <v>209</v>
      </c>
      <c r="M7" t="s">
        <v>225</v>
      </c>
    </row>
    <row r="8" spans="1:13" x14ac:dyDescent="0.25">
      <c r="A8" t="s">
        <v>261</v>
      </c>
      <c r="B8">
        <v>0.77148391570687957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t="s">
        <v>198</v>
      </c>
      <c r="K8" t="s">
        <v>207</v>
      </c>
      <c r="L8" t="s">
        <v>209</v>
      </c>
      <c r="M8" t="s">
        <v>225</v>
      </c>
    </row>
    <row r="9" spans="1:13" x14ac:dyDescent="0.25">
      <c r="A9" t="s">
        <v>300</v>
      </c>
      <c r="B9">
        <v>1</v>
      </c>
      <c r="C9">
        <v>1</v>
      </c>
      <c r="D9">
        <v>1</v>
      </c>
      <c r="E9">
        <v>0.76288146355177799</v>
      </c>
      <c r="F9">
        <v>0.44719909896544735</v>
      </c>
      <c r="G9">
        <v>0.55262774867679143</v>
      </c>
      <c r="H9">
        <v>0.76389615280512091</v>
      </c>
      <c r="I9">
        <v>0.74490255212938217</v>
      </c>
      <c r="J9" t="s">
        <v>198</v>
      </c>
      <c r="K9" t="s">
        <v>233</v>
      </c>
      <c r="L9" t="s">
        <v>209</v>
      </c>
      <c r="M9" t="s">
        <v>225</v>
      </c>
    </row>
    <row r="10" spans="1:13" x14ac:dyDescent="0.25">
      <c r="A10" t="s">
        <v>5</v>
      </c>
      <c r="J10" t="s">
        <v>198</v>
      </c>
      <c r="K10" t="s">
        <v>202</v>
      </c>
      <c r="L10" t="s">
        <v>210</v>
      </c>
      <c r="M10" t="s">
        <v>225</v>
      </c>
    </row>
    <row r="11" spans="1:13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0.26490412796630136</v>
      </c>
      <c r="G11">
        <v>1</v>
      </c>
      <c r="H11">
        <v>9.8003775260202985E-2</v>
      </c>
      <c r="I11">
        <v>0.48938051087950818</v>
      </c>
      <c r="J11" t="s">
        <v>198</v>
      </c>
      <c r="K11" t="s">
        <v>203</v>
      </c>
      <c r="L11" t="s">
        <v>210</v>
      </c>
      <c r="M11" t="s">
        <v>225</v>
      </c>
    </row>
    <row r="12" spans="1:13" x14ac:dyDescent="0.25">
      <c r="A12" t="s">
        <v>7</v>
      </c>
      <c r="B12">
        <v>0.62705521618516302</v>
      </c>
      <c r="C12">
        <v>1</v>
      </c>
      <c r="D12">
        <v>1</v>
      </c>
      <c r="E12">
        <v>1</v>
      </c>
      <c r="F12">
        <v>0.27854086899570474</v>
      </c>
      <c r="G12">
        <v>1</v>
      </c>
      <c r="H12">
        <v>1</v>
      </c>
      <c r="I12">
        <v>1</v>
      </c>
      <c r="J12" t="s">
        <v>198</v>
      </c>
      <c r="K12" t="s">
        <v>204</v>
      </c>
      <c r="L12" t="s">
        <v>210</v>
      </c>
      <c r="M12" t="s">
        <v>225</v>
      </c>
    </row>
    <row r="13" spans="1:13" x14ac:dyDescent="0.25">
      <c r="A13" t="s">
        <v>301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t="s">
        <v>198</v>
      </c>
      <c r="K13" t="s">
        <v>239</v>
      </c>
      <c r="L13" t="s">
        <v>210</v>
      </c>
      <c r="M13" t="s">
        <v>225</v>
      </c>
    </row>
    <row r="14" spans="1:13" x14ac:dyDescent="0.25">
      <c r="A14" t="s">
        <v>302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 t="s">
        <v>198</v>
      </c>
      <c r="K14" t="s">
        <v>241</v>
      </c>
      <c r="L14" t="s">
        <v>210</v>
      </c>
      <c r="M14" t="s">
        <v>225</v>
      </c>
    </row>
    <row r="15" spans="1:13" x14ac:dyDescent="0.25">
      <c r="A15" t="s">
        <v>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 t="s">
        <v>198</v>
      </c>
      <c r="K15" t="s">
        <v>206</v>
      </c>
      <c r="L15" t="s">
        <v>210</v>
      </c>
      <c r="M15" t="s">
        <v>225</v>
      </c>
    </row>
    <row r="16" spans="1:13" x14ac:dyDescent="0.25">
      <c r="A16" t="s">
        <v>262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 t="s">
        <v>198</v>
      </c>
      <c r="K16" t="s">
        <v>207</v>
      </c>
      <c r="L16" t="s">
        <v>210</v>
      </c>
      <c r="M16" t="s">
        <v>225</v>
      </c>
    </row>
    <row r="17" spans="1:13" x14ac:dyDescent="0.25">
      <c r="A17" t="s">
        <v>303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 t="s">
        <v>198</v>
      </c>
      <c r="K17" t="s">
        <v>233</v>
      </c>
      <c r="L17" t="s">
        <v>210</v>
      </c>
      <c r="M17" t="s">
        <v>225</v>
      </c>
    </row>
    <row r="18" spans="1:13" x14ac:dyDescent="0.25">
      <c r="A18" t="s">
        <v>9</v>
      </c>
      <c r="J18" t="s">
        <v>198</v>
      </c>
      <c r="K18" t="s">
        <v>202</v>
      </c>
      <c r="L18" t="s">
        <v>211</v>
      </c>
      <c r="M18" t="s">
        <v>225</v>
      </c>
    </row>
    <row r="19" spans="1:13" x14ac:dyDescent="0.25">
      <c r="A19" t="s">
        <v>10</v>
      </c>
      <c r="B19">
        <v>0.80910891788787676</v>
      </c>
      <c r="C19">
        <v>1</v>
      </c>
      <c r="D19">
        <v>1</v>
      </c>
      <c r="E19">
        <v>0.32941514612616585</v>
      </c>
      <c r="F19">
        <v>1</v>
      </c>
      <c r="G19">
        <v>1</v>
      </c>
      <c r="H19">
        <v>1</v>
      </c>
      <c r="I19">
        <v>0.72889800348596734</v>
      </c>
      <c r="J19" t="s">
        <v>198</v>
      </c>
      <c r="K19" t="s">
        <v>203</v>
      </c>
      <c r="L19" t="s">
        <v>211</v>
      </c>
      <c r="M19" t="s">
        <v>225</v>
      </c>
    </row>
    <row r="20" spans="1:13" x14ac:dyDescent="0.25">
      <c r="A20" t="s">
        <v>11</v>
      </c>
      <c r="B20">
        <v>1</v>
      </c>
      <c r="C20">
        <v>0.51939193739951728</v>
      </c>
      <c r="D20">
        <v>0.60352506743244883</v>
      </c>
      <c r="E20">
        <v>7.4953630367172924E-2</v>
      </c>
      <c r="F20">
        <v>1</v>
      </c>
      <c r="G20">
        <v>0.43036200142159364</v>
      </c>
      <c r="H20">
        <v>1</v>
      </c>
      <c r="I20">
        <v>0.26766571203051548</v>
      </c>
      <c r="J20" t="s">
        <v>198</v>
      </c>
      <c r="K20" t="s">
        <v>204</v>
      </c>
      <c r="L20" t="s">
        <v>211</v>
      </c>
      <c r="M20" t="s">
        <v>225</v>
      </c>
    </row>
    <row r="21" spans="1:13" x14ac:dyDescent="0.25">
      <c r="A21" t="s">
        <v>304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t="s">
        <v>198</v>
      </c>
      <c r="K21" t="s">
        <v>239</v>
      </c>
      <c r="L21" t="s">
        <v>211</v>
      </c>
      <c r="M21" t="s">
        <v>225</v>
      </c>
    </row>
    <row r="22" spans="1:13" x14ac:dyDescent="0.25">
      <c r="A22" t="s">
        <v>305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 t="s">
        <v>198</v>
      </c>
      <c r="K22" t="s">
        <v>241</v>
      </c>
      <c r="L22" t="s">
        <v>211</v>
      </c>
      <c r="M22" t="s">
        <v>225</v>
      </c>
    </row>
    <row r="23" spans="1:13" x14ac:dyDescent="0.25">
      <c r="A23" t="s">
        <v>12</v>
      </c>
      <c r="B23">
        <v>1</v>
      </c>
      <c r="C23">
        <v>0.40893929311100802</v>
      </c>
      <c r="D23">
        <v>1</v>
      </c>
      <c r="E23">
        <v>0.56448857135121022</v>
      </c>
      <c r="F23">
        <v>1</v>
      </c>
      <c r="G23">
        <v>1</v>
      </c>
      <c r="H23">
        <v>1</v>
      </c>
      <c r="I23">
        <v>1</v>
      </c>
      <c r="J23" t="s">
        <v>198</v>
      </c>
      <c r="K23" t="s">
        <v>206</v>
      </c>
      <c r="L23" t="s">
        <v>211</v>
      </c>
      <c r="M23" t="s">
        <v>225</v>
      </c>
    </row>
    <row r="24" spans="1:13" x14ac:dyDescent="0.25">
      <c r="A24" t="s">
        <v>263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 t="s">
        <v>198</v>
      </c>
      <c r="K24" t="s">
        <v>207</v>
      </c>
      <c r="L24" t="s">
        <v>211</v>
      </c>
      <c r="M24" t="s">
        <v>225</v>
      </c>
    </row>
    <row r="25" spans="1:13" x14ac:dyDescent="0.25">
      <c r="A25" t="s">
        <v>306</v>
      </c>
      <c r="B25">
        <v>6.8110271180064255E-2</v>
      </c>
      <c r="C25">
        <v>0.14012798236003787</v>
      </c>
      <c r="D25">
        <v>0.61201701915953333</v>
      </c>
      <c r="E25">
        <v>9.1232769624189441E-2</v>
      </c>
      <c r="F25">
        <v>0.22582250177428609</v>
      </c>
      <c r="G25">
        <v>0.12327870617784595</v>
      </c>
      <c r="H25">
        <v>0.14526364845612255</v>
      </c>
      <c r="I25">
        <v>3.7780462354594133E-2</v>
      </c>
      <c r="J25" t="s">
        <v>198</v>
      </c>
      <c r="K25" t="s">
        <v>233</v>
      </c>
      <c r="L25" t="s">
        <v>211</v>
      </c>
      <c r="M25" t="s">
        <v>225</v>
      </c>
    </row>
    <row r="26" spans="1:13" x14ac:dyDescent="0.25">
      <c r="A26" t="s">
        <v>13</v>
      </c>
      <c r="J26" t="s">
        <v>198</v>
      </c>
      <c r="K26" t="s">
        <v>202</v>
      </c>
      <c r="L26" t="s">
        <v>212</v>
      </c>
      <c r="M26" t="s">
        <v>225</v>
      </c>
    </row>
    <row r="27" spans="1:13" x14ac:dyDescent="0.25">
      <c r="A27" t="s">
        <v>14</v>
      </c>
      <c r="B27">
        <v>0.12739736175351088</v>
      </c>
      <c r="C27">
        <v>0.13927597879627229</v>
      </c>
      <c r="D27">
        <v>3.9223555849881506E-2</v>
      </c>
      <c r="E27">
        <v>0.56275603620957937</v>
      </c>
      <c r="F27">
        <v>1</v>
      </c>
      <c r="G27">
        <v>0.98682056421241304</v>
      </c>
      <c r="H27">
        <v>1</v>
      </c>
      <c r="I27">
        <v>0.67837927144762022</v>
      </c>
      <c r="J27" t="s">
        <v>198</v>
      </c>
      <c r="K27" t="s">
        <v>203</v>
      </c>
      <c r="L27" t="s">
        <v>212</v>
      </c>
      <c r="M27" t="s">
        <v>225</v>
      </c>
    </row>
    <row r="28" spans="1:13" x14ac:dyDescent="0.25">
      <c r="A28" t="s">
        <v>15</v>
      </c>
      <c r="B28">
        <v>0.76569200372820556</v>
      </c>
      <c r="C28">
        <v>1</v>
      </c>
      <c r="D28">
        <v>0.28925923185943508</v>
      </c>
      <c r="E28">
        <v>1</v>
      </c>
      <c r="F28">
        <v>1</v>
      </c>
      <c r="G28">
        <v>1</v>
      </c>
      <c r="H28">
        <v>0.96824861550858077</v>
      </c>
      <c r="I28">
        <v>1</v>
      </c>
      <c r="J28" t="s">
        <v>198</v>
      </c>
      <c r="K28" t="s">
        <v>204</v>
      </c>
      <c r="L28" t="s">
        <v>212</v>
      </c>
      <c r="M28" t="s">
        <v>225</v>
      </c>
    </row>
    <row r="29" spans="1:13" x14ac:dyDescent="0.25">
      <c r="A29" t="s">
        <v>307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198</v>
      </c>
      <c r="K29" t="s">
        <v>239</v>
      </c>
      <c r="L29" t="s">
        <v>212</v>
      </c>
      <c r="M29" t="s">
        <v>225</v>
      </c>
    </row>
    <row r="30" spans="1:13" x14ac:dyDescent="0.25">
      <c r="A30" t="s">
        <v>308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 t="s">
        <v>198</v>
      </c>
      <c r="K30" t="s">
        <v>241</v>
      </c>
      <c r="L30" t="s">
        <v>212</v>
      </c>
      <c r="M30" t="s">
        <v>225</v>
      </c>
    </row>
    <row r="31" spans="1:13" x14ac:dyDescent="0.25">
      <c r="A31" t="s">
        <v>16</v>
      </c>
      <c r="B31">
        <v>1</v>
      </c>
      <c r="C31">
        <v>1</v>
      </c>
      <c r="D31">
        <v>0.24397868335482581</v>
      </c>
      <c r="E31">
        <v>1</v>
      </c>
      <c r="F31">
        <v>1</v>
      </c>
      <c r="G31">
        <v>1</v>
      </c>
      <c r="H31">
        <v>1</v>
      </c>
      <c r="I31">
        <v>1</v>
      </c>
      <c r="J31" t="s">
        <v>198</v>
      </c>
      <c r="K31" t="s">
        <v>206</v>
      </c>
      <c r="L31" t="s">
        <v>212</v>
      </c>
      <c r="M31" t="s">
        <v>225</v>
      </c>
    </row>
    <row r="32" spans="1:13" x14ac:dyDescent="0.25">
      <c r="A32" t="s">
        <v>264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 t="s">
        <v>198</v>
      </c>
      <c r="K32" t="s">
        <v>207</v>
      </c>
      <c r="L32" t="s">
        <v>212</v>
      </c>
      <c r="M32" t="s">
        <v>225</v>
      </c>
    </row>
    <row r="33" spans="1:13" x14ac:dyDescent="0.25">
      <c r="A33" t="s">
        <v>309</v>
      </c>
      <c r="B33">
        <v>0.6239057340898273</v>
      </c>
      <c r="C33">
        <v>1</v>
      </c>
      <c r="D33">
        <v>0.27021750107461262</v>
      </c>
      <c r="E33">
        <v>1</v>
      </c>
      <c r="F33">
        <v>1</v>
      </c>
      <c r="G33">
        <v>0.52059472794081607</v>
      </c>
      <c r="H33">
        <v>1</v>
      </c>
      <c r="I33">
        <v>0.55624096896664676</v>
      </c>
      <c r="J33" t="s">
        <v>198</v>
      </c>
      <c r="K33" t="s">
        <v>233</v>
      </c>
      <c r="L33" t="s">
        <v>212</v>
      </c>
      <c r="M33" t="s">
        <v>225</v>
      </c>
    </row>
    <row r="34" spans="1:13" x14ac:dyDescent="0.25">
      <c r="A34" t="s">
        <v>17</v>
      </c>
      <c r="J34" t="s">
        <v>198</v>
      </c>
      <c r="K34" t="s">
        <v>202</v>
      </c>
      <c r="L34" t="s">
        <v>213</v>
      </c>
      <c r="M34" t="s">
        <v>225</v>
      </c>
    </row>
    <row r="35" spans="1:13" x14ac:dyDescent="0.25">
      <c r="A35" t="s">
        <v>18</v>
      </c>
      <c r="B35">
        <v>0.44373730860278254</v>
      </c>
      <c r="C35">
        <v>0.98511375922575994</v>
      </c>
      <c r="D35">
        <v>1</v>
      </c>
      <c r="E35">
        <v>1</v>
      </c>
      <c r="F35">
        <v>0.13188623789171294</v>
      </c>
      <c r="G35">
        <v>0.26492705744547318</v>
      </c>
      <c r="H35">
        <v>0.43478439010038222</v>
      </c>
      <c r="I35">
        <v>1</v>
      </c>
      <c r="J35" t="s">
        <v>198</v>
      </c>
      <c r="K35" t="s">
        <v>203</v>
      </c>
      <c r="L35" t="s">
        <v>213</v>
      </c>
      <c r="M35" t="s">
        <v>225</v>
      </c>
    </row>
    <row r="36" spans="1:13" x14ac:dyDescent="0.25">
      <c r="A36" t="s">
        <v>19</v>
      </c>
      <c r="B36">
        <v>1</v>
      </c>
      <c r="C36">
        <v>1</v>
      </c>
      <c r="D36">
        <v>1</v>
      </c>
      <c r="E36">
        <v>1</v>
      </c>
      <c r="F36">
        <v>0.15130249866139073</v>
      </c>
      <c r="G36">
        <v>0.81588387648524696</v>
      </c>
      <c r="H36">
        <v>1</v>
      </c>
      <c r="I36">
        <v>1</v>
      </c>
      <c r="J36" t="s">
        <v>198</v>
      </c>
      <c r="K36" t="s">
        <v>204</v>
      </c>
      <c r="L36" t="s">
        <v>213</v>
      </c>
      <c r="M36" t="s">
        <v>225</v>
      </c>
    </row>
    <row r="37" spans="1:13" x14ac:dyDescent="0.25">
      <c r="A37" t="s">
        <v>310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 t="s">
        <v>198</v>
      </c>
      <c r="K37" t="s">
        <v>239</v>
      </c>
      <c r="L37" t="s">
        <v>213</v>
      </c>
      <c r="M37" t="s">
        <v>225</v>
      </c>
    </row>
    <row r="38" spans="1:13" x14ac:dyDescent="0.25">
      <c r="A38" t="s">
        <v>311</v>
      </c>
      <c r="B38">
        <v>1</v>
      </c>
      <c r="C38">
        <v>1</v>
      </c>
      <c r="D38">
        <v>1</v>
      </c>
      <c r="E38">
        <v>1</v>
      </c>
      <c r="F38">
        <v>1</v>
      </c>
      <c r="G38">
        <v>0.96743644645281446</v>
      </c>
      <c r="H38">
        <v>0.87317736862141992</v>
      </c>
      <c r="I38">
        <v>1</v>
      </c>
      <c r="J38" t="s">
        <v>198</v>
      </c>
      <c r="K38" t="s">
        <v>241</v>
      </c>
      <c r="L38" t="s">
        <v>213</v>
      </c>
      <c r="M38" t="s">
        <v>225</v>
      </c>
    </row>
    <row r="39" spans="1:13" x14ac:dyDescent="0.25">
      <c r="A39" t="s">
        <v>20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 t="s">
        <v>198</v>
      </c>
      <c r="K39" t="s">
        <v>206</v>
      </c>
      <c r="L39" t="s">
        <v>213</v>
      </c>
      <c r="M39" t="s">
        <v>225</v>
      </c>
    </row>
    <row r="40" spans="1:13" x14ac:dyDescent="0.25">
      <c r="A40" t="s">
        <v>265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 t="s">
        <v>198</v>
      </c>
      <c r="K40" t="s">
        <v>207</v>
      </c>
      <c r="L40" t="s">
        <v>213</v>
      </c>
      <c r="M40" t="s">
        <v>225</v>
      </c>
    </row>
    <row r="41" spans="1:13" x14ac:dyDescent="0.25">
      <c r="A41" t="s">
        <v>312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t="s">
        <v>198</v>
      </c>
      <c r="K41" t="s">
        <v>233</v>
      </c>
      <c r="L41" t="s">
        <v>213</v>
      </c>
      <c r="M41" t="s">
        <v>225</v>
      </c>
    </row>
    <row r="42" spans="1:13" x14ac:dyDescent="0.25">
      <c r="A42" t="s">
        <v>21</v>
      </c>
      <c r="J42" t="s">
        <v>198</v>
      </c>
      <c r="K42" t="s">
        <v>202</v>
      </c>
      <c r="L42" t="s">
        <v>214</v>
      </c>
      <c r="M42" t="s">
        <v>225</v>
      </c>
    </row>
    <row r="43" spans="1:13" x14ac:dyDescent="0.25">
      <c r="A43" t="s">
        <v>22</v>
      </c>
      <c r="B43">
        <v>0.12784906525881204</v>
      </c>
      <c r="C43">
        <v>0.44599212676205213</v>
      </c>
      <c r="D43">
        <v>6.8696237898768386E-2</v>
      </c>
      <c r="E43">
        <v>5.9240233504471093E-2</v>
      </c>
      <c r="F43">
        <v>0.26506582046471672</v>
      </c>
      <c r="G43">
        <v>3.0831406801552518E-2</v>
      </c>
      <c r="H43">
        <v>0.47122166758279066</v>
      </c>
      <c r="I43">
        <v>4.3737511401391815E-2</v>
      </c>
      <c r="J43" t="s">
        <v>198</v>
      </c>
      <c r="K43" t="s">
        <v>203</v>
      </c>
      <c r="L43" t="s">
        <v>214</v>
      </c>
      <c r="M43" t="s">
        <v>225</v>
      </c>
    </row>
    <row r="44" spans="1:13" x14ac:dyDescent="0.25">
      <c r="A44" t="s">
        <v>23</v>
      </c>
      <c r="B44">
        <v>5.9164418409712628E-2</v>
      </c>
      <c r="C44">
        <v>1</v>
      </c>
      <c r="D44">
        <v>1</v>
      </c>
      <c r="E44">
        <v>0.69455103123390205</v>
      </c>
      <c r="F44">
        <v>1</v>
      </c>
      <c r="G44">
        <v>1</v>
      </c>
      <c r="H44">
        <v>1</v>
      </c>
      <c r="I44">
        <v>1</v>
      </c>
      <c r="J44" t="s">
        <v>198</v>
      </c>
      <c r="K44" t="s">
        <v>204</v>
      </c>
      <c r="L44" t="s">
        <v>214</v>
      </c>
      <c r="M44" t="s">
        <v>225</v>
      </c>
    </row>
    <row r="45" spans="1:13" x14ac:dyDescent="0.25">
      <c r="A45" t="s">
        <v>313</v>
      </c>
      <c r="B45">
        <v>0.8469738414948873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 t="s">
        <v>198</v>
      </c>
      <c r="K45" t="s">
        <v>239</v>
      </c>
      <c r="L45" t="s">
        <v>214</v>
      </c>
      <c r="M45" t="s">
        <v>225</v>
      </c>
    </row>
    <row r="46" spans="1:13" x14ac:dyDescent="0.25">
      <c r="A46" t="s">
        <v>314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 t="s">
        <v>198</v>
      </c>
      <c r="K46" t="s">
        <v>241</v>
      </c>
      <c r="L46" t="s">
        <v>214</v>
      </c>
      <c r="M46" t="s">
        <v>225</v>
      </c>
    </row>
    <row r="47" spans="1:13" x14ac:dyDescent="0.25">
      <c r="A47" t="s">
        <v>24</v>
      </c>
      <c r="B47">
        <v>0.12730657914024818</v>
      </c>
      <c r="C47">
        <v>1</v>
      </c>
      <c r="D47">
        <v>1</v>
      </c>
      <c r="E47">
        <v>0.85202979761006925</v>
      </c>
      <c r="F47">
        <v>1</v>
      </c>
      <c r="G47">
        <v>1</v>
      </c>
      <c r="H47">
        <v>1</v>
      </c>
      <c r="I47">
        <v>1</v>
      </c>
      <c r="J47" t="s">
        <v>198</v>
      </c>
      <c r="K47" t="s">
        <v>206</v>
      </c>
      <c r="L47" t="s">
        <v>214</v>
      </c>
      <c r="M47" t="s">
        <v>225</v>
      </c>
    </row>
    <row r="48" spans="1:13" x14ac:dyDescent="0.25">
      <c r="A48" t="s">
        <v>266</v>
      </c>
      <c r="B48">
        <v>0.78632995738519207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 t="s">
        <v>198</v>
      </c>
      <c r="K48" t="s">
        <v>207</v>
      </c>
      <c r="L48" t="s">
        <v>214</v>
      </c>
      <c r="M48" t="s">
        <v>225</v>
      </c>
    </row>
    <row r="49" spans="1:13" x14ac:dyDescent="0.25">
      <c r="A49" t="s">
        <v>315</v>
      </c>
      <c r="B49">
        <v>0.36123793980479313</v>
      </c>
      <c r="C49">
        <v>1</v>
      </c>
      <c r="D49">
        <v>1</v>
      </c>
      <c r="E49">
        <v>1</v>
      </c>
      <c r="F49">
        <v>1</v>
      </c>
      <c r="G49">
        <v>0.55530016697499951</v>
      </c>
      <c r="H49">
        <v>1</v>
      </c>
      <c r="I49">
        <v>1</v>
      </c>
      <c r="J49" t="s">
        <v>198</v>
      </c>
      <c r="K49" t="s">
        <v>233</v>
      </c>
      <c r="L49" t="s">
        <v>214</v>
      </c>
      <c r="M49" t="s">
        <v>225</v>
      </c>
    </row>
    <row r="50" spans="1:13" x14ac:dyDescent="0.25">
      <c r="A50" t="s">
        <v>25</v>
      </c>
      <c r="J50" t="s">
        <v>198</v>
      </c>
      <c r="K50" t="s">
        <v>202</v>
      </c>
      <c r="L50" t="s">
        <v>215</v>
      </c>
      <c r="M50" t="s">
        <v>225</v>
      </c>
    </row>
    <row r="51" spans="1:13" x14ac:dyDescent="0.25">
      <c r="A51" t="s">
        <v>26</v>
      </c>
      <c r="B51">
        <v>0.27963369380511671</v>
      </c>
      <c r="C51">
        <v>0.35091590970586223</v>
      </c>
      <c r="D51">
        <v>0.13850073533652574</v>
      </c>
      <c r="E51">
        <v>0.83883164251039632</v>
      </c>
      <c r="F51">
        <v>1</v>
      </c>
      <c r="G51">
        <v>1</v>
      </c>
      <c r="H51">
        <v>0.19976354390377121</v>
      </c>
      <c r="I51">
        <v>0.68014710654479948</v>
      </c>
      <c r="J51" t="s">
        <v>198</v>
      </c>
      <c r="K51" t="s">
        <v>203</v>
      </c>
      <c r="L51" t="s">
        <v>215</v>
      </c>
      <c r="M51" t="s">
        <v>225</v>
      </c>
    </row>
    <row r="52" spans="1:13" x14ac:dyDescent="0.25">
      <c r="A52" t="s">
        <v>27</v>
      </c>
      <c r="B52">
        <v>0.60088428220311707</v>
      </c>
      <c r="C52">
        <v>0.61670188070978504</v>
      </c>
      <c r="D52">
        <v>0.23997741968188799</v>
      </c>
      <c r="E52">
        <v>0.50332476541706805</v>
      </c>
      <c r="F52">
        <v>1</v>
      </c>
      <c r="G52">
        <v>0.82733695302075172</v>
      </c>
      <c r="H52">
        <v>0.33171749716783361</v>
      </c>
      <c r="I52">
        <v>0.93059336794579361</v>
      </c>
      <c r="J52" t="s">
        <v>198</v>
      </c>
      <c r="K52" t="s">
        <v>204</v>
      </c>
      <c r="L52" t="s">
        <v>215</v>
      </c>
      <c r="M52" t="s">
        <v>225</v>
      </c>
    </row>
    <row r="53" spans="1:13" x14ac:dyDescent="0.25">
      <c r="A53" t="s">
        <v>316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 t="s">
        <v>198</v>
      </c>
      <c r="K53" t="s">
        <v>239</v>
      </c>
      <c r="L53" t="s">
        <v>215</v>
      </c>
      <c r="M53" t="s">
        <v>225</v>
      </c>
    </row>
    <row r="54" spans="1:13" x14ac:dyDescent="0.25">
      <c r="A54" t="s">
        <v>317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 t="s">
        <v>198</v>
      </c>
      <c r="K54" t="s">
        <v>241</v>
      </c>
      <c r="L54" t="s">
        <v>215</v>
      </c>
      <c r="M54" t="s">
        <v>225</v>
      </c>
    </row>
    <row r="55" spans="1:13" x14ac:dyDescent="0.25">
      <c r="A55" t="s">
        <v>28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 t="s">
        <v>198</v>
      </c>
      <c r="K55" t="s">
        <v>206</v>
      </c>
      <c r="L55" t="s">
        <v>215</v>
      </c>
      <c r="M55" t="s">
        <v>225</v>
      </c>
    </row>
    <row r="56" spans="1:13" x14ac:dyDescent="0.25">
      <c r="A56" t="s">
        <v>267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 t="s">
        <v>198</v>
      </c>
      <c r="K56" t="s">
        <v>207</v>
      </c>
      <c r="L56" t="s">
        <v>215</v>
      </c>
      <c r="M56" t="s">
        <v>225</v>
      </c>
    </row>
    <row r="57" spans="1:13" x14ac:dyDescent="0.25">
      <c r="A57" t="s">
        <v>318</v>
      </c>
      <c r="B57">
        <v>1</v>
      </c>
      <c r="C57">
        <v>1</v>
      </c>
      <c r="D57">
        <v>0.60752069662548847</v>
      </c>
      <c r="E57">
        <v>1</v>
      </c>
      <c r="F57">
        <v>1</v>
      </c>
      <c r="G57">
        <v>1</v>
      </c>
      <c r="H57">
        <v>0.34299188899689786</v>
      </c>
      <c r="I57">
        <v>0.75663605925958022</v>
      </c>
      <c r="J57" t="s">
        <v>198</v>
      </c>
      <c r="K57" t="s">
        <v>233</v>
      </c>
      <c r="L57" t="s">
        <v>215</v>
      </c>
      <c r="M57" t="s">
        <v>225</v>
      </c>
    </row>
    <row r="58" spans="1:13" x14ac:dyDescent="0.25">
      <c r="A58" t="s">
        <v>29</v>
      </c>
      <c r="J58" t="s">
        <v>198</v>
      </c>
      <c r="K58" t="s">
        <v>202</v>
      </c>
      <c r="L58" t="s">
        <v>216</v>
      </c>
      <c r="M58" t="s">
        <v>225</v>
      </c>
    </row>
    <row r="59" spans="1:13" x14ac:dyDescent="0.25">
      <c r="A59" t="s">
        <v>30</v>
      </c>
      <c r="B59">
        <v>1</v>
      </c>
      <c r="C59">
        <v>1</v>
      </c>
      <c r="D59">
        <v>0.30030939753963604</v>
      </c>
      <c r="E59">
        <v>0.44060902038874439</v>
      </c>
      <c r="F59">
        <v>1</v>
      </c>
      <c r="G59">
        <v>1</v>
      </c>
      <c r="H59">
        <v>1</v>
      </c>
      <c r="I59">
        <v>0.99592320893071329</v>
      </c>
      <c r="J59" t="s">
        <v>198</v>
      </c>
      <c r="K59" t="s">
        <v>203</v>
      </c>
      <c r="L59" t="s">
        <v>216</v>
      </c>
      <c r="M59" t="s">
        <v>225</v>
      </c>
    </row>
    <row r="60" spans="1:13" x14ac:dyDescent="0.25">
      <c r="A60" t="s">
        <v>31</v>
      </c>
      <c r="B60">
        <v>1</v>
      </c>
      <c r="C60">
        <v>1</v>
      </c>
      <c r="D60">
        <v>0.57595070874875764</v>
      </c>
      <c r="E60">
        <v>1</v>
      </c>
      <c r="F60">
        <v>1</v>
      </c>
      <c r="G60">
        <v>1</v>
      </c>
      <c r="H60">
        <v>1</v>
      </c>
      <c r="I60">
        <v>0.9506453597229223</v>
      </c>
      <c r="J60" t="s">
        <v>198</v>
      </c>
      <c r="K60" t="s">
        <v>204</v>
      </c>
      <c r="L60" t="s">
        <v>216</v>
      </c>
      <c r="M60" t="s">
        <v>225</v>
      </c>
    </row>
    <row r="61" spans="1:13" x14ac:dyDescent="0.25">
      <c r="A61" t="s">
        <v>319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 t="s">
        <v>198</v>
      </c>
      <c r="K61" t="s">
        <v>239</v>
      </c>
      <c r="L61" t="s">
        <v>216</v>
      </c>
      <c r="M61" t="s">
        <v>225</v>
      </c>
    </row>
    <row r="62" spans="1:13" x14ac:dyDescent="0.25">
      <c r="A62" t="s">
        <v>320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 t="s">
        <v>198</v>
      </c>
      <c r="K62" t="s">
        <v>241</v>
      </c>
      <c r="L62" t="s">
        <v>216</v>
      </c>
      <c r="M62" t="s">
        <v>225</v>
      </c>
    </row>
    <row r="63" spans="1:13" x14ac:dyDescent="0.25">
      <c r="A63" t="s">
        <v>32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 t="s">
        <v>198</v>
      </c>
      <c r="K63" t="s">
        <v>206</v>
      </c>
      <c r="L63" t="s">
        <v>216</v>
      </c>
      <c r="M63" t="s">
        <v>225</v>
      </c>
    </row>
    <row r="64" spans="1:13" x14ac:dyDescent="0.25">
      <c r="A64" t="s">
        <v>268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t="s">
        <v>198</v>
      </c>
      <c r="K64" t="s">
        <v>207</v>
      </c>
      <c r="L64" t="s">
        <v>216</v>
      </c>
      <c r="M64" t="s">
        <v>225</v>
      </c>
    </row>
    <row r="65" spans="1:13" x14ac:dyDescent="0.25">
      <c r="A65" t="s">
        <v>321</v>
      </c>
      <c r="B65">
        <v>1</v>
      </c>
      <c r="C65">
        <v>1</v>
      </c>
      <c r="D65">
        <v>0.29533849673920898</v>
      </c>
      <c r="E65">
        <v>1</v>
      </c>
      <c r="F65">
        <v>1</v>
      </c>
      <c r="G65">
        <v>1</v>
      </c>
      <c r="H65">
        <v>0.59352410866474647</v>
      </c>
      <c r="I65">
        <v>0.98369116498411602</v>
      </c>
      <c r="J65" t="s">
        <v>198</v>
      </c>
      <c r="K65" t="s">
        <v>233</v>
      </c>
      <c r="L65" t="s">
        <v>216</v>
      </c>
      <c r="M65" t="s">
        <v>225</v>
      </c>
    </row>
    <row r="66" spans="1:13" x14ac:dyDescent="0.25">
      <c r="A66" t="s">
        <v>33</v>
      </c>
      <c r="J66" t="s">
        <v>198</v>
      </c>
      <c r="K66" t="s">
        <v>202</v>
      </c>
      <c r="L66" t="s">
        <v>217</v>
      </c>
      <c r="M66" t="s">
        <v>225</v>
      </c>
    </row>
    <row r="67" spans="1:13" x14ac:dyDescent="0.25">
      <c r="A67" t="s">
        <v>34</v>
      </c>
      <c r="B67">
        <v>1</v>
      </c>
      <c r="C67">
        <v>1</v>
      </c>
      <c r="D67">
        <v>1</v>
      </c>
      <c r="E67">
        <v>1</v>
      </c>
      <c r="F67">
        <v>1</v>
      </c>
      <c r="G67">
        <v>0.74449336319428761</v>
      </c>
      <c r="H67">
        <v>1</v>
      </c>
      <c r="I67">
        <v>0.56330785221532897</v>
      </c>
      <c r="J67" t="s">
        <v>198</v>
      </c>
      <c r="K67" t="s">
        <v>203</v>
      </c>
      <c r="L67" t="s">
        <v>217</v>
      </c>
      <c r="M67" t="s">
        <v>225</v>
      </c>
    </row>
    <row r="68" spans="1:13" x14ac:dyDescent="0.25">
      <c r="A68" t="s">
        <v>35</v>
      </c>
      <c r="B68">
        <v>1</v>
      </c>
      <c r="C68">
        <v>1</v>
      </c>
      <c r="D68">
        <v>1</v>
      </c>
      <c r="E68">
        <v>0.80829488223536794</v>
      </c>
      <c r="F68">
        <v>1</v>
      </c>
      <c r="G68">
        <v>1</v>
      </c>
      <c r="H68">
        <v>1</v>
      </c>
      <c r="I68">
        <v>1</v>
      </c>
      <c r="J68" t="s">
        <v>198</v>
      </c>
      <c r="K68" t="s">
        <v>204</v>
      </c>
      <c r="L68" t="s">
        <v>217</v>
      </c>
      <c r="M68" t="s">
        <v>225</v>
      </c>
    </row>
    <row r="69" spans="1:13" x14ac:dyDescent="0.25">
      <c r="A69" t="s">
        <v>322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 t="s">
        <v>198</v>
      </c>
      <c r="K69" t="s">
        <v>239</v>
      </c>
      <c r="L69" t="s">
        <v>217</v>
      </c>
      <c r="M69" t="s">
        <v>225</v>
      </c>
    </row>
    <row r="70" spans="1:13" x14ac:dyDescent="0.25">
      <c r="A70" t="s">
        <v>323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 t="s">
        <v>198</v>
      </c>
      <c r="K70" t="s">
        <v>241</v>
      </c>
      <c r="L70" t="s">
        <v>217</v>
      </c>
      <c r="M70" t="s">
        <v>225</v>
      </c>
    </row>
    <row r="71" spans="1:13" x14ac:dyDescent="0.25">
      <c r="A71" t="s">
        <v>36</v>
      </c>
      <c r="B71">
        <v>0.88249428214684733</v>
      </c>
      <c r="C71">
        <v>1</v>
      </c>
      <c r="D71">
        <v>1</v>
      </c>
      <c r="E71">
        <v>0.61336023369107195</v>
      </c>
      <c r="F71">
        <v>1</v>
      </c>
      <c r="G71">
        <v>1</v>
      </c>
      <c r="H71">
        <v>1</v>
      </c>
      <c r="I71">
        <v>1</v>
      </c>
      <c r="J71" t="s">
        <v>198</v>
      </c>
      <c r="K71" t="s">
        <v>206</v>
      </c>
      <c r="L71" t="s">
        <v>217</v>
      </c>
      <c r="M71" t="s">
        <v>225</v>
      </c>
    </row>
    <row r="72" spans="1:13" x14ac:dyDescent="0.25">
      <c r="A72" t="s">
        <v>269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 t="s">
        <v>198</v>
      </c>
      <c r="K72" t="s">
        <v>207</v>
      </c>
      <c r="L72" t="s">
        <v>217</v>
      </c>
      <c r="M72" t="s">
        <v>225</v>
      </c>
    </row>
    <row r="73" spans="1:13" x14ac:dyDescent="0.25">
      <c r="A73" t="s">
        <v>324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 t="s">
        <v>198</v>
      </c>
      <c r="K73" t="s">
        <v>233</v>
      </c>
      <c r="L73" t="s">
        <v>217</v>
      </c>
      <c r="M73" t="s">
        <v>225</v>
      </c>
    </row>
    <row r="74" spans="1:13" x14ac:dyDescent="0.25">
      <c r="A74" t="s">
        <v>37</v>
      </c>
      <c r="J74" t="s">
        <v>198</v>
      </c>
      <c r="K74" t="s">
        <v>202</v>
      </c>
      <c r="L74" t="s">
        <v>218</v>
      </c>
      <c r="M74" t="s">
        <v>225</v>
      </c>
    </row>
    <row r="75" spans="1:13" x14ac:dyDescent="0.25">
      <c r="A75" t="s">
        <v>38</v>
      </c>
      <c r="B75">
        <v>1</v>
      </c>
      <c r="C75">
        <v>0.62042615243523813</v>
      </c>
      <c r="D75">
        <v>0.11209828080958721</v>
      </c>
      <c r="E75">
        <v>1</v>
      </c>
      <c r="F75">
        <v>1</v>
      </c>
      <c r="G75">
        <v>1</v>
      </c>
      <c r="H75">
        <v>1</v>
      </c>
      <c r="I75">
        <v>1</v>
      </c>
      <c r="J75" t="s">
        <v>198</v>
      </c>
      <c r="K75" t="s">
        <v>203</v>
      </c>
      <c r="L75" t="s">
        <v>218</v>
      </c>
      <c r="M75" t="s">
        <v>225</v>
      </c>
    </row>
    <row r="76" spans="1:13" x14ac:dyDescent="0.25">
      <c r="A76" t="s">
        <v>39</v>
      </c>
      <c r="B76">
        <v>0.22221381937119267</v>
      </c>
      <c r="C76">
        <v>1</v>
      </c>
      <c r="D76">
        <v>3.2729543016900522E-2</v>
      </c>
      <c r="E76">
        <v>1</v>
      </c>
      <c r="F76">
        <v>1</v>
      </c>
      <c r="G76">
        <v>1</v>
      </c>
      <c r="H76">
        <v>1</v>
      </c>
      <c r="I76">
        <v>1</v>
      </c>
      <c r="J76" t="s">
        <v>198</v>
      </c>
      <c r="K76" t="s">
        <v>204</v>
      </c>
      <c r="L76" t="s">
        <v>218</v>
      </c>
      <c r="M76" t="s">
        <v>225</v>
      </c>
    </row>
    <row r="77" spans="1:13" x14ac:dyDescent="0.25">
      <c r="A77" t="s">
        <v>325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 t="s">
        <v>198</v>
      </c>
      <c r="K77" t="s">
        <v>239</v>
      </c>
      <c r="L77" t="s">
        <v>218</v>
      </c>
      <c r="M77" t="s">
        <v>225</v>
      </c>
    </row>
    <row r="78" spans="1:13" x14ac:dyDescent="0.25">
      <c r="A78" t="s">
        <v>326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 t="s">
        <v>198</v>
      </c>
      <c r="K78" t="s">
        <v>241</v>
      </c>
      <c r="L78" t="s">
        <v>218</v>
      </c>
      <c r="M78" t="s">
        <v>225</v>
      </c>
    </row>
    <row r="79" spans="1:13" x14ac:dyDescent="0.25">
      <c r="A79" t="s">
        <v>40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 t="s">
        <v>198</v>
      </c>
      <c r="K79" t="s">
        <v>206</v>
      </c>
      <c r="L79" t="s">
        <v>218</v>
      </c>
      <c r="M79" t="s">
        <v>225</v>
      </c>
    </row>
    <row r="80" spans="1:13" x14ac:dyDescent="0.25">
      <c r="A80" t="s">
        <v>270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 t="s">
        <v>198</v>
      </c>
      <c r="K80" t="s">
        <v>207</v>
      </c>
      <c r="L80" t="s">
        <v>218</v>
      </c>
      <c r="M80" t="s">
        <v>225</v>
      </c>
    </row>
    <row r="81" spans="1:13" x14ac:dyDescent="0.25">
      <c r="A81" t="s">
        <v>327</v>
      </c>
      <c r="B81">
        <v>0.30378630621341074</v>
      </c>
      <c r="C81">
        <v>0.11091787699229692</v>
      </c>
      <c r="D81">
        <v>3.4653695454003597E-2</v>
      </c>
      <c r="E81">
        <v>1</v>
      </c>
      <c r="F81">
        <v>1</v>
      </c>
      <c r="G81">
        <v>1</v>
      </c>
      <c r="H81">
        <v>1</v>
      </c>
      <c r="I81">
        <v>0.9771583150970391</v>
      </c>
      <c r="J81" t="s">
        <v>198</v>
      </c>
      <c r="K81" t="s">
        <v>233</v>
      </c>
      <c r="L81" t="s">
        <v>218</v>
      </c>
      <c r="M81" t="s">
        <v>225</v>
      </c>
    </row>
    <row r="82" spans="1:13" x14ac:dyDescent="0.25">
      <c r="A82" t="s">
        <v>41</v>
      </c>
      <c r="J82" t="s">
        <v>198</v>
      </c>
      <c r="K82" t="s">
        <v>202</v>
      </c>
      <c r="L82" t="s">
        <v>219</v>
      </c>
      <c r="M82" t="s">
        <v>225</v>
      </c>
    </row>
    <row r="83" spans="1:13" x14ac:dyDescent="0.25">
      <c r="A83" t="s">
        <v>42</v>
      </c>
      <c r="B83">
        <v>0.16953064885026364</v>
      </c>
      <c r="C83">
        <v>0.85689305792112069</v>
      </c>
      <c r="D83">
        <v>0.4381376244170716</v>
      </c>
      <c r="E83">
        <v>0.49449211790163228</v>
      </c>
      <c r="F83">
        <v>0.22851340949361992</v>
      </c>
      <c r="G83">
        <v>0.64562752180561533</v>
      </c>
      <c r="H83">
        <v>0.32511333208722504</v>
      </c>
      <c r="I83">
        <v>1</v>
      </c>
      <c r="J83" t="s">
        <v>198</v>
      </c>
      <c r="K83" t="s">
        <v>203</v>
      </c>
      <c r="L83" t="s">
        <v>219</v>
      </c>
      <c r="M83" t="s">
        <v>225</v>
      </c>
    </row>
    <row r="84" spans="1:13" x14ac:dyDescent="0.25">
      <c r="A84" t="s">
        <v>43</v>
      </c>
      <c r="B84">
        <v>0.23003589980966982</v>
      </c>
      <c r="C84">
        <v>0.39751564042116838</v>
      </c>
      <c r="D84">
        <v>4.5565867141402594E-2</v>
      </c>
      <c r="E84">
        <v>0.9824236576157892</v>
      </c>
      <c r="F84">
        <v>0.54393957976326424</v>
      </c>
      <c r="G84">
        <v>0.54674751704341995</v>
      </c>
      <c r="H84">
        <v>1</v>
      </c>
      <c r="I84">
        <v>1</v>
      </c>
      <c r="J84" t="s">
        <v>198</v>
      </c>
      <c r="K84" t="s">
        <v>204</v>
      </c>
      <c r="L84" t="s">
        <v>219</v>
      </c>
      <c r="M84" t="s">
        <v>225</v>
      </c>
    </row>
    <row r="85" spans="1:13" x14ac:dyDescent="0.25">
      <c r="A85" t="s">
        <v>328</v>
      </c>
      <c r="B85">
        <v>0.69062082080824494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 t="s">
        <v>198</v>
      </c>
      <c r="K85" t="s">
        <v>239</v>
      </c>
      <c r="L85" t="s">
        <v>219</v>
      </c>
      <c r="M85" t="s">
        <v>225</v>
      </c>
    </row>
    <row r="86" spans="1:13" x14ac:dyDescent="0.25">
      <c r="A86" t="s">
        <v>329</v>
      </c>
      <c r="B86">
        <v>0.97477439546450739</v>
      </c>
      <c r="C86">
        <v>0.62086011327355983</v>
      </c>
      <c r="D86">
        <v>0.22756129509238177</v>
      </c>
      <c r="E86">
        <v>0.52910114042001788</v>
      </c>
      <c r="F86">
        <v>0.34380207257053724</v>
      </c>
      <c r="G86">
        <v>0.17630458387824272</v>
      </c>
      <c r="H86">
        <v>0.869848143247544</v>
      </c>
      <c r="I86">
        <v>1</v>
      </c>
      <c r="J86" t="s">
        <v>198</v>
      </c>
      <c r="K86" t="s">
        <v>241</v>
      </c>
      <c r="L86" t="s">
        <v>219</v>
      </c>
      <c r="M86" t="s">
        <v>225</v>
      </c>
    </row>
    <row r="87" spans="1:13" x14ac:dyDescent="0.25">
      <c r="A87" t="s">
        <v>44</v>
      </c>
      <c r="B87">
        <v>1</v>
      </c>
      <c r="C87">
        <v>0.55023529376745284</v>
      </c>
      <c r="D87">
        <v>0.30719953330611144</v>
      </c>
      <c r="E87">
        <v>0.1278705914705856</v>
      </c>
      <c r="F87">
        <v>0.42214041666537894</v>
      </c>
      <c r="G87">
        <v>0.1658534355748027</v>
      </c>
      <c r="H87">
        <v>1</v>
      </c>
      <c r="I87">
        <v>1</v>
      </c>
      <c r="J87" t="s">
        <v>198</v>
      </c>
      <c r="K87" t="s">
        <v>206</v>
      </c>
      <c r="L87" t="s">
        <v>219</v>
      </c>
      <c r="M87" t="s">
        <v>225</v>
      </c>
    </row>
    <row r="88" spans="1:13" x14ac:dyDescent="0.25">
      <c r="A88" t="s">
        <v>271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t="s">
        <v>198</v>
      </c>
      <c r="K88" t="s">
        <v>207</v>
      </c>
      <c r="L88" t="s">
        <v>219</v>
      </c>
      <c r="M88" t="s">
        <v>225</v>
      </c>
    </row>
    <row r="89" spans="1:13" x14ac:dyDescent="0.25">
      <c r="A89" t="s">
        <v>330</v>
      </c>
      <c r="B89">
        <v>0.185480970990475</v>
      </c>
      <c r="C89">
        <v>0.5773964436356025</v>
      </c>
      <c r="D89">
        <v>7.8797231408773649E-2</v>
      </c>
      <c r="E89">
        <v>0.39260140799235299</v>
      </c>
      <c r="F89">
        <v>4.1724584539083648E-2</v>
      </c>
      <c r="G89">
        <v>0.50087314257934445</v>
      </c>
      <c r="H89">
        <v>0.74708168079327208</v>
      </c>
      <c r="I89">
        <v>0.45286745622105151</v>
      </c>
      <c r="J89" t="s">
        <v>198</v>
      </c>
      <c r="K89" t="s">
        <v>233</v>
      </c>
      <c r="L89" t="s">
        <v>219</v>
      </c>
      <c r="M89" t="s">
        <v>225</v>
      </c>
    </row>
    <row r="90" spans="1:13" x14ac:dyDescent="0.25">
      <c r="A90" t="s">
        <v>45</v>
      </c>
      <c r="J90" t="s">
        <v>198</v>
      </c>
      <c r="K90" t="s">
        <v>202</v>
      </c>
      <c r="L90" t="s">
        <v>220</v>
      </c>
      <c r="M90" t="s">
        <v>225</v>
      </c>
    </row>
    <row r="91" spans="1:13" x14ac:dyDescent="0.25">
      <c r="A91" t="s">
        <v>46</v>
      </c>
      <c r="B91">
        <v>0.34530845382717418</v>
      </c>
      <c r="C91">
        <v>0.50181230807548549</v>
      </c>
      <c r="D91">
        <v>1</v>
      </c>
      <c r="E91">
        <v>1.6982635809144938E-2</v>
      </c>
      <c r="F91">
        <v>1</v>
      </c>
      <c r="G91">
        <v>1</v>
      </c>
      <c r="H91">
        <v>0.74701231305992155</v>
      </c>
      <c r="I91">
        <v>1</v>
      </c>
      <c r="J91" t="s">
        <v>198</v>
      </c>
      <c r="K91" t="s">
        <v>203</v>
      </c>
      <c r="L91" t="s">
        <v>220</v>
      </c>
      <c r="M91" t="s">
        <v>225</v>
      </c>
    </row>
    <row r="92" spans="1:13" x14ac:dyDescent="0.25">
      <c r="A92" t="s">
        <v>47</v>
      </c>
      <c r="B92">
        <v>0.60954791092834215</v>
      </c>
      <c r="C92">
        <v>0.32026866015929767</v>
      </c>
      <c r="D92">
        <v>1</v>
      </c>
      <c r="E92">
        <v>0.48225593991590299</v>
      </c>
      <c r="F92">
        <v>1</v>
      </c>
      <c r="G92">
        <v>1</v>
      </c>
      <c r="H92">
        <v>1</v>
      </c>
      <c r="I92">
        <v>1</v>
      </c>
      <c r="J92" t="s">
        <v>198</v>
      </c>
      <c r="K92" t="s">
        <v>204</v>
      </c>
      <c r="L92" t="s">
        <v>220</v>
      </c>
      <c r="M92" t="s">
        <v>225</v>
      </c>
    </row>
    <row r="93" spans="1:13" x14ac:dyDescent="0.25">
      <c r="A93" t="s">
        <v>331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 t="s">
        <v>198</v>
      </c>
      <c r="K93" t="s">
        <v>239</v>
      </c>
      <c r="L93" t="s">
        <v>220</v>
      </c>
      <c r="M93" t="s">
        <v>225</v>
      </c>
    </row>
    <row r="94" spans="1:13" x14ac:dyDescent="0.25">
      <c r="A94" t="s">
        <v>332</v>
      </c>
      <c r="B94">
        <v>1</v>
      </c>
      <c r="C94">
        <v>1</v>
      </c>
      <c r="D94">
        <v>1</v>
      </c>
      <c r="E94">
        <v>0.91849658962281477</v>
      </c>
      <c r="F94">
        <v>1</v>
      </c>
      <c r="G94">
        <v>1</v>
      </c>
      <c r="H94">
        <v>1</v>
      </c>
      <c r="I94">
        <v>1</v>
      </c>
      <c r="J94" t="s">
        <v>198</v>
      </c>
      <c r="K94" t="s">
        <v>241</v>
      </c>
      <c r="L94" t="s">
        <v>220</v>
      </c>
      <c r="M94" t="s">
        <v>225</v>
      </c>
    </row>
    <row r="95" spans="1:13" x14ac:dyDescent="0.25">
      <c r="A95" t="s">
        <v>48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 t="s">
        <v>198</v>
      </c>
      <c r="K95" t="s">
        <v>206</v>
      </c>
      <c r="L95" t="s">
        <v>220</v>
      </c>
      <c r="M95" t="s">
        <v>225</v>
      </c>
    </row>
    <row r="96" spans="1:13" x14ac:dyDescent="0.25">
      <c r="A96" t="s">
        <v>272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 t="s">
        <v>198</v>
      </c>
      <c r="K96" t="s">
        <v>207</v>
      </c>
      <c r="L96" t="s">
        <v>220</v>
      </c>
      <c r="M96" t="s">
        <v>225</v>
      </c>
    </row>
    <row r="97" spans="1:13" x14ac:dyDescent="0.25">
      <c r="A97" t="s">
        <v>333</v>
      </c>
      <c r="B97">
        <v>1</v>
      </c>
      <c r="C97">
        <v>1</v>
      </c>
      <c r="D97">
        <v>1</v>
      </c>
      <c r="E97">
        <v>0.82716362716516167</v>
      </c>
      <c r="F97">
        <v>1</v>
      </c>
      <c r="G97">
        <v>1</v>
      </c>
      <c r="H97">
        <v>1</v>
      </c>
      <c r="I97">
        <v>1</v>
      </c>
      <c r="J97" t="s">
        <v>198</v>
      </c>
      <c r="K97" t="s">
        <v>233</v>
      </c>
      <c r="L97" t="s">
        <v>220</v>
      </c>
      <c r="M97" t="s">
        <v>225</v>
      </c>
    </row>
    <row r="98" spans="1:13" x14ac:dyDescent="0.25">
      <c r="A98" t="s">
        <v>49</v>
      </c>
      <c r="J98" t="s">
        <v>198</v>
      </c>
      <c r="K98" t="s">
        <v>202</v>
      </c>
      <c r="L98" t="s">
        <v>221</v>
      </c>
      <c r="M98" t="s">
        <v>225</v>
      </c>
    </row>
    <row r="99" spans="1:13" x14ac:dyDescent="0.25">
      <c r="A99" t="s">
        <v>50</v>
      </c>
      <c r="B99">
        <v>1</v>
      </c>
      <c r="C99">
        <v>0.40332114712780553</v>
      </c>
      <c r="D99">
        <v>1</v>
      </c>
      <c r="E99">
        <v>0.78154710674175165</v>
      </c>
      <c r="F99">
        <v>1</v>
      </c>
      <c r="G99">
        <v>0.69112758709517674</v>
      </c>
      <c r="H99">
        <v>0.22718919566982043</v>
      </c>
      <c r="I99">
        <v>1</v>
      </c>
      <c r="J99" t="s">
        <v>198</v>
      </c>
      <c r="K99" t="s">
        <v>203</v>
      </c>
      <c r="L99" t="s">
        <v>221</v>
      </c>
      <c r="M99" t="s">
        <v>225</v>
      </c>
    </row>
    <row r="100" spans="1:13" x14ac:dyDescent="0.25">
      <c r="A100" t="s">
        <v>51</v>
      </c>
      <c r="B100">
        <v>1</v>
      </c>
      <c r="C100">
        <v>8.7656086200067568E-2</v>
      </c>
      <c r="D100">
        <v>1</v>
      </c>
      <c r="E100">
        <v>0.80749720703364969</v>
      </c>
      <c r="F100">
        <v>0.42826402414051051</v>
      </c>
      <c r="G100">
        <v>0.88799699571664936</v>
      </c>
      <c r="H100">
        <v>0.1577722794375051</v>
      </c>
      <c r="I100">
        <v>1</v>
      </c>
      <c r="J100" t="s">
        <v>198</v>
      </c>
      <c r="K100" t="s">
        <v>204</v>
      </c>
      <c r="L100" t="s">
        <v>221</v>
      </c>
      <c r="M100" t="s">
        <v>225</v>
      </c>
    </row>
    <row r="101" spans="1:13" x14ac:dyDescent="0.25">
      <c r="A101" t="s">
        <v>334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 t="s">
        <v>198</v>
      </c>
      <c r="K101" t="s">
        <v>239</v>
      </c>
      <c r="L101" t="s">
        <v>221</v>
      </c>
      <c r="M101" t="s">
        <v>225</v>
      </c>
    </row>
    <row r="102" spans="1:13" x14ac:dyDescent="0.25">
      <c r="A102" t="s">
        <v>335</v>
      </c>
      <c r="B102">
        <v>0.83317944838412417</v>
      </c>
      <c r="C102">
        <v>1</v>
      </c>
      <c r="D102">
        <v>1</v>
      </c>
      <c r="E102">
        <v>1</v>
      </c>
      <c r="F102">
        <v>0.92462310780923462</v>
      </c>
      <c r="G102">
        <v>0.39345200782832462</v>
      </c>
      <c r="H102">
        <v>0.78262533549461732</v>
      </c>
      <c r="I102">
        <v>1</v>
      </c>
      <c r="J102" t="s">
        <v>198</v>
      </c>
      <c r="K102" t="s">
        <v>241</v>
      </c>
      <c r="L102" t="s">
        <v>221</v>
      </c>
      <c r="M102" t="s">
        <v>225</v>
      </c>
    </row>
    <row r="103" spans="1:13" x14ac:dyDescent="0.25">
      <c r="A103" t="s">
        <v>52</v>
      </c>
      <c r="B103">
        <v>1</v>
      </c>
      <c r="C103">
        <v>0.53288963150684099</v>
      </c>
      <c r="D103">
        <v>1</v>
      </c>
      <c r="E103">
        <v>1</v>
      </c>
      <c r="F103">
        <v>1</v>
      </c>
      <c r="G103">
        <v>0.93125121703058777</v>
      </c>
      <c r="H103">
        <v>0.71948395710654012</v>
      </c>
      <c r="I103">
        <v>1</v>
      </c>
      <c r="J103" t="s">
        <v>198</v>
      </c>
      <c r="K103" t="s">
        <v>206</v>
      </c>
      <c r="L103" t="s">
        <v>221</v>
      </c>
      <c r="M103" t="s">
        <v>225</v>
      </c>
    </row>
    <row r="104" spans="1:13" x14ac:dyDescent="0.25">
      <c r="A104" t="s">
        <v>273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 t="s">
        <v>198</v>
      </c>
      <c r="K104" t="s">
        <v>207</v>
      </c>
      <c r="L104" t="s">
        <v>221</v>
      </c>
      <c r="M104" t="s">
        <v>225</v>
      </c>
    </row>
    <row r="105" spans="1:13" x14ac:dyDescent="0.25">
      <c r="A105" t="s">
        <v>336</v>
      </c>
      <c r="B105">
        <v>1</v>
      </c>
      <c r="C105">
        <v>1</v>
      </c>
      <c r="D105">
        <v>0.43241151394924232</v>
      </c>
      <c r="E105">
        <v>0.48376649266821303</v>
      </c>
      <c r="F105">
        <v>1</v>
      </c>
      <c r="G105">
        <v>0.99288545487622426</v>
      </c>
      <c r="H105">
        <v>0.10506139054842704</v>
      </c>
      <c r="I105">
        <v>1</v>
      </c>
      <c r="J105" t="s">
        <v>198</v>
      </c>
      <c r="K105" t="s">
        <v>233</v>
      </c>
      <c r="L105" t="s">
        <v>221</v>
      </c>
      <c r="M105" t="s">
        <v>225</v>
      </c>
    </row>
    <row r="106" spans="1:13" x14ac:dyDescent="0.25">
      <c r="A106" t="s">
        <v>53</v>
      </c>
      <c r="J106" t="s">
        <v>198</v>
      </c>
      <c r="K106" t="s">
        <v>202</v>
      </c>
      <c r="L106" t="s">
        <v>222</v>
      </c>
      <c r="M106" t="s">
        <v>225</v>
      </c>
    </row>
    <row r="107" spans="1:13" x14ac:dyDescent="0.25">
      <c r="A107" t="s">
        <v>54</v>
      </c>
      <c r="B107">
        <v>1</v>
      </c>
      <c r="C107">
        <v>1</v>
      </c>
      <c r="D107">
        <v>0.50245787663252939</v>
      </c>
      <c r="E107">
        <v>3.1885167525168123E-2</v>
      </c>
      <c r="F107">
        <v>0.7662712639314484</v>
      </c>
      <c r="G107">
        <v>1</v>
      </c>
      <c r="H107">
        <v>0.16196012595293136</v>
      </c>
      <c r="I107">
        <v>0.10488377608161242</v>
      </c>
      <c r="J107" t="s">
        <v>198</v>
      </c>
      <c r="K107" t="s">
        <v>203</v>
      </c>
      <c r="L107" t="s">
        <v>222</v>
      </c>
      <c r="M107" t="s">
        <v>225</v>
      </c>
    </row>
    <row r="108" spans="1:13" x14ac:dyDescent="0.25">
      <c r="A108" t="s">
        <v>55</v>
      </c>
      <c r="B108">
        <v>1</v>
      </c>
      <c r="C108">
        <v>1</v>
      </c>
      <c r="D108">
        <v>0.90396558229337121</v>
      </c>
      <c r="E108">
        <v>0.41571300346712464</v>
      </c>
      <c r="F108">
        <v>0.9828866319459757</v>
      </c>
      <c r="G108">
        <v>0.85178258051455136</v>
      </c>
      <c r="H108">
        <v>0.41966972301604827</v>
      </c>
      <c r="I108">
        <v>6.687070184400833E-3</v>
      </c>
      <c r="J108" t="s">
        <v>198</v>
      </c>
      <c r="K108" t="s">
        <v>204</v>
      </c>
      <c r="L108" t="s">
        <v>222</v>
      </c>
      <c r="M108" t="s">
        <v>225</v>
      </c>
    </row>
    <row r="109" spans="1:13" x14ac:dyDescent="0.25">
      <c r="A109" t="s">
        <v>337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 t="s">
        <v>198</v>
      </c>
      <c r="K109" t="s">
        <v>239</v>
      </c>
      <c r="L109" t="s">
        <v>222</v>
      </c>
      <c r="M109" t="s">
        <v>225</v>
      </c>
    </row>
    <row r="110" spans="1:13" x14ac:dyDescent="0.25">
      <c r="A110" t="s">
        <v>338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 t="s">
        <v>198</v>
      </c>
      <c r="K110" t="s">
        <v>241</v>
      </c>
      <c r="L110" t="s">
        <v>222</v>
      </c>
      <c r="M110" t="s">
        <v>225</v>
      </c>
    </row>
    <row r="111" spans="1:13" x14ac:dyDescent="0.25">
      <c r="A111" t="s">
        <v>56</v>
      </c>
      <c r="B111">
        <v>0.73802397348066195</v>
      </c>
      <c r="C111">
        <v>1</v>
      </c>
      <c r="D111">
        <v>1</v>
      </c>
      <c r="E111">
        <v>0.12039107300431881</v>
      </c>
      <c r="F111">
        <v>0.10347176485820063</v>
      </c>
      <c r="G111">
        <v>1</v>
      </c>
      <c r="H111">
        <v>0.43707666766043762</v>
      </c>
      <c r="I111">
        <v>0.31285218718666213</v>
      </c>
      <c r="J111" t="s">
        <v>198</v>
      </c>
      <c r="K111" t="s">
        <v>206</v>
      </c>
      <c r="L111" t="s">
        <v>222</v>
      </c>
      <c r="M111" t="s">
        <v>225</v>
      </c>
    </row>
    <row r="112" spans="1:13" x14ac:dyDescent="0.25">
      <c r="A112" t="s">
        <v>274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 t="s">
        <v>198</v>
      </c>
      <c r="K112" t="s">
        <v>207</v>
      </c>
      <c r="L112" t="s">
        <v>222</v>
      </c>
      <c r="M112" t="s">
        <v>225</v>
      </c>
    </row>
    <row r="113" spans="1:13" x14ac:dyDescent="0.25">
      <c r="A113" t="s">
        <v>339</v>
      </c>
      <c r="B113">
        <v>0.82394929146524887</v>
      </c>
      <c r="C113">
        <v>1</v>
      </c>
      <c r="D113">
        <v>0.52389561918898764</v>
      </c>
      <c r="E113">
        <v>0.66132406783735509</v>
      </c>
      <c r="F113">
        <v>0.14533928912145949</v>
      </c>
      <c r="G113">
        <v>1</v>
      </c>
      <c r="H113">
        <v>0.56621666366428824</v>
      </c>
      <c r="I113">
        <v>2.2531822261839772E-2</v>
      </c>
      <c r="J113" t="s">
        <v>198</v>
      </c>
      <c r="K113" t="s">
        <v>233</v>
      </c>
      <c r="L113" t="s">
        <v>222</v>
      </c>
      <c r="M113" t="s">
        <v>225</v>
      </c>
    </row>
    <row r="114" spans="1:13" x14ac:dyDescent="0.25">
      <c r="A114" t="s">
        <v>57</v>
      </c>
      <c r="J114" t="s">
        <v>198</v>
      </c>
      <c r="K114" t="s">
        <v>202</v>
      </c>
      <c r="L114" t="s">
        <v>223</v>
      </c>
      <c r="M114" t="s">
        <v>225</v>
      </c>
    </row>
    <row r="115" spans="1:13" x14ac:dyDescent="0.25">
      <c r="A115" t="s">
        <v>58</v>
      </c>
      <c r="B115">
        <v>1</v>
      </c>
      <c r="C115">
        <v>1</v>
      </c>
      <c r="D115">
        <v>0.86824757160919441</v>
      </c>
      <c r="E115">
        <v>1</v>
      </c>
      <c r="F115">
        <v>0.16555645604963543</v>
      </c>
      <c r="G115">
        <v>0.65764154717036893</v>
      </c>
      <c r="H115">
        <v>0.38392725473726697</v>
      </c>
      <c r="I115">
        <v>0.91831955360465689</v>
      </c>
      <c r="J115" t="s">
        <v>198</v>
      </c>
      <c r="K115" t="s">
        <v>203</v>
      </c>
      <c r="L115" t="s">
        <v>223</v>
      </c>
      <c r="M115" t="s">
        <v>225</v>
      </c>
    </row>
    <row r="116" spans="1:13" x14ac:dyDescent="0.25">
      <c r="A116" t="s">
        <v>59</v>
      </c>
      <c r="B116">
        <v>1</v>
      </c>
      <c r="C116">
        <v>1</v>
      </c>
      <c r="D116">
        <v>0.7863488599423023</v>
      </c>
      <c r="E116">
        <v>1</v>
      </c>
      <c r="F116">
        <v>0.1665399157165886</v>
      </c>
      <c r="G116">
        <v>1</v>
      </c>
      <c r="H116">
        <v>1</v>
      </c>
      <c r="I116">
        <v>1</v>
      </c>
      <c r="J116" t="s">
        <v>198</v>
      </c>
      <c r="K116" t="s">
        <v>204</v>
      </c>
      <c r="L116" t="s">
        <v>223</v>
      </c>
      <c r="M116" t="s">
        <v>225</v>
      </c>
    </row>
    <row r="117" spans="1:13" x14ac:dyDescent="0.25">
      <c r="A117" t="s">
        <v>340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 t="s">
        <v>198</v>
      </c>
      <c r="K117" t="s">
        <v>239</v>
      </c>
      <c r="L117" t="s">
        <v>223</v>
      </c>
      <c r="M117" t="s">
        <v>225</v>
      </c>
    </row>
    <row r="118" spans="1:13" x14ac:dyDescent="0.25">
      <c r="A118" t="s">
        <v>341</v>
      </c>
      <c r="B118">
        <v>1</v>
      </c>
      <c r="C118">
        <v>1</v>
      </c>
      <c r="D118">
        <v>0.89094916734351304</v>
      </c>
      <c r="E118">
        <v>1</v>
      </c>
      <c r="F118">
        <v>0.10696577055875781</v>
      </c>
      <c r="G118">
        <v>1</v>
      </c>
      <c r="H118">
        <v>0.11442131632562358</v>
      </c>
      <c r="I118">
        <v>1</v>
      </c>
      <c r="J118" t="s">
        <v>198</v>
      </c>
      <c r="K118" t="s">
        <v>241</v>
      </c>
      <c r="L118" t="s">
        <v>223</v>
      </c>
      <c r="M118" t="s">
        <v>225</v>
      </c>
    </row>
    <row r="119" spans="1:13" x14ac:dyDescent="0.25">
      <c r="A119" t="s">
        <v>60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 t="s">
        <v>198</v>
      </c>
      <c r="K119" t="s">
        <v>206</v>
      </c>
      <c r="L119" t="s">
        <v>223</v>
      </c>
      <c r="M119" t="s">
        <v>225</v>
      </c>
    </row>
    <row r="120" spans="1:13" x14ac:dyDescent="0.25">
      <c r="A120" t="s">
        <v>275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 t="s">
        <v>198</v>
      </c>
      <c r="K120" t="s">
        <v>207</v>
      </c>
      <c r="L120" t="s">
        <v>223</v>
      </c>
      <c r="M120" t="s">
        <v>225</v>
      </c>
    </row>
    <row r="121" spans="1:13" x14ac:dyDescent="0.25">
      <c r="A121" t="s">
        <v>342</v>
      </c>
      <c r="B121">
        <v>1</v>
      </c>
      <c r="C121">
        <v>1</v>
      </c>
      <c r="D121">
        <v>1</v>
      </c>
      <c r="E121">
        <v>1</v>
      </c>
      <c r="F121">
        <v>0.93230913656677039</v>
      </c>
      <c r="G121">
        <v>1</v>
      </c>
      <c r="H121">
        <v>0.4854788233613847</v>
      </c>
      <c r="I121">
        <v>1</v>
      </c>
      <c r="J121" t="s">
        <v>198</v>
      </c>
      <c r="K121" t="s">
        <v>233</v>
      </c>
      <c r="L121" t="s">
        <v>223</v>
      </c>
      <c r="M121" t="s">
        <v>225</v>
      </c>
    </row>
    <row r="122" spans="1:13" x14ac:dyDescent="0.25">
      <c r="A122" t="s">
        <v>61</v>
      </c>
      <c r="J122" t="s">
        <v>199</v>
      </c>
      <c r="K122" t="s">
        <v>202</v>
      </c>
      <c r="L122" t="s">
        <v>209</v>
      </c>
      <c r="M122" t="s">
        <v>225</v>
      </c>
    </row>
    <row r="123" spans="1:13" x14ac:dyDescent="0.25">
      <c r="A123" t="s">
        <v>62</v>
      </c>
      <c r="B123">
        <v>1</v>
      </c>
      <c r="C123">
        <v>1</v>
      </c>
      <c r="D123">
        <v>1</v>
      </c>
      <c r="E123">
        <v>0.25487971495900297</v>
      </c>
      <c r="F123">
        <v>0.78747583282914779</v>
      </c>
      <c r="G123">
        <v>0.12348658532560242</v>
      </c>
      <c r="H123">
        <v>3.5047768844670257E-2</v>
      </c>
      <c r="I123">
        <v>0.14407493349693509</v>
      </c>
      <c r="J123" t="s">
        <v>199</v>
      </c>
      <c r="K123" t="s">
        <v>203</v>
      </c>
      <c r="L123" t="s">
        <v>209</v>
      </c>
      <c r="M123" t="s">
        <v>225</v>
      </c>
    </row>
    <row r="124" spans="1:13" x14ac:dyDescent="0.25">
      <c r="A124" t="s">
        <v>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0.21631597093542299</v>
      </c>
      <c r="H124">
        <v>0.21082019448077619</v>
      </c>
      <c r="I124">
        <v>0.27756814953053022</v>
      </c>
      <c r="J124" t="s">
        <v>199</v>
      </c>
      <c r="K124" t="s">
        <v>204</v>
      </c>
      <c r="L124" t="s">
        <v>209</v>
      </c>
      <c r="M124" t="s">
        <v>225</v>
      </c>
    </row>
    <row r="125" spans="1:13" x14ac:dyDescent="0.25">
      <c r="A125" t="s">
        <v>343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 t="s">
        <v>199</v>
      </c>
      <c r="K125" t="s">
        <v>239</v>
      </c>
      <c r="L125" t="s">
        <v>209</v>
      </c>
      <c r="M125" t="s">
        <v>225</v>
      </c>
    </row>
    <row r="126" spans="1:13" x14ac:dyDescent="0.25">
      <c r="A126" t="s">
        <v>344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 t="s">
        <v>199</v>
      </c>
      <c r="K126" t="s">
        <v>241</v>
      </c>
      <c r="L126" t="s">
        <v>209</v>
      </c>
      <c r="M126" t="s">
        <v>225</v>
      </c>
    </row>
    <row r="127" spans="1:13" x14ac:dyDescent="0.25">
      <c r="A127" t="s">
        <v>64</v>
      </c>
      <c r="B127">
        <v>1</v>
      </c>
      <c r="C127">
        <v>0.64843327116099703</v>
      </c>
      <c r="D127">
        <v>0.74262261678512798</v>
      </c>
      <c r="E127">
        <v>0.30122979098378133</v>
      </c>
      <c r="F127">
        <v>0.57868496699606431</v>
      </c>
      <c r="G127">
        <v>0.22677415526992381</v>
      </c>
      <c r="H127">
        <v>3.0651847933552436E-2</v>
      </c>
      <c r="I127">
        <v>7.6092222461509457E-2</v>
      </c>
      <c r="J127" t="s">
        <v>199</v>
      </c>
      <c r="K127" t="s">
        <v>206</v>
      </c>
      <c r="L127" t="s">
        <v>209</v>
      </c>
      <c r="M127" t="s">
        <v>225</v>
      </c>
    </row>
    <row r="128" spans="1:13" x14ac:dyDescent="0.25">
      <c r="A128" t="s">
        <v>276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 t="s">
        <v>199</v>
      </c>
      <c r="K128" t="s">
        <v>207</v>
      </c>
      <c r="L128" t="s">
        <v>209</v>
      </c>
      <c r="M128" t="s">
        <v>225</v>
      </c>
    </row>
    <row r="129" spans="1:13" x14ac:dyDescent="0.25">
      <c r="A129" t="s">
        <v>345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0.65689937417149991</v>
      </c>
      <c r="I129">
        <v>1</v>
      </c>
      <c r="J129" t="s">
        <v>199</v>
      </c>
      <c r="K129" t="s">
        <v>233</v>
      </c>
      <c r="L129" t="s">
        <v>209</v>
      </c>
      <c r="M129" t="s">
        <v>225</v>
      </c>
    </row>
    <row r="130" spans="1:13" x14ac:dyDescent="0.25">
      <c r="A130" t="s">
        <v>65</v>
      </c>
      <c r="J130" t="s">
        <v>199</v>
      </c>
      <c r="K130" t="s">
        <v>202</v>
      </c>
      <c r="L130" t="s">
        <v>210</v>
      </c>
      <c r="M130" t="s">
        <v>225</v>
      </c>
    </row>
    <row r="131" spans="1:13" x14ac:dyDescent="0.25">
      <c r="A131" t="s">
        <v>66</v>
      </c>
      <c r="B131">
        <v>5.7094987499653804E-2</v>
      </c>
      <c r="C131">
        <v>0.79631974754597934</v>
      </c>
      <c r="D131">
        <v>0.15331131097391068</v>
      </c>
      <c r="E131">
        <v>7.0019141562002738E-3</v>
      </c>
      <c r="F131">
        <v>1.5873680255841641E-2</v>
      </c>
      <c r="G131">
        <v>0.97885661354368536</v>
      </c>
      <c r="H131">
        <v>0.85524129093287549</v>
      </c>
      <c r="I131">
        <v>0.11700977482235016</v>
      </c>
      <c r="J131" t="s">
        <v>199</v>
      </c>
      <c r="K131" t="s">
        <v>203</v>
      </c>
      <c r="L131" t="s">
        <v>210</v>
      </c>
      <c r="M131" t="s">
        <v>225</v>
      </c>
    </row>
    <row r="132" spans="1:13" x14ac:dyDescent="0.25">
      <c r="A132" t="s">
        <v>67</v>
      </c>
      <c r="B132">
        <v>0.14358095091063788</v>
      </c>
      <c r="C132">
        <v>1</v>
      </c>
      <c r="D132">
        <v>1</v>
      </c>
      <c r="E132">
        <v>0.55363390660760659</v>
      </c>
      <c r="F132">
        <v>0.93110621589548992</v>
      </c>
      <c r="G132">
        <v>1</v>
      </c>
      <c r="H132">
        <v>1</v>
      </c>
      <c r="I132">
        <v>1</v>
      </c>
      <c r="J132" t="s">
        <v>199</v>
      </c>
      <c r="K132" t="s">
        <v>204</v>
      </c>
      <c r="L132" t="s">
        <v>210</v>
      </c>
      <c r="M132" t="s">
        <v>225</v>
      </c>
    </row>
    <row r="133" spans="1:13" x14ac:dyDescent="0.25">
      <c r="A133" t="s">
        <v>346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 t="s">
        <v>199</v>
      </c>
      <c r="K133" t="s">
        <v>239</v>
      </c>
      <c r="L133" t="s">
        <v>210</v>
      </c>
      <c r="M133" t="s">
        <v>225</v>
      </c>
    </row>
    <row r="134" spans="1:13" x14ac:dyDescent="0.25">
      <c r="A134" t="s">
        <v>347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 t="s">
        <v>199</v>
      </c>
      <c r="K134" t="s">
        <v>241</v>
      </c>
      <c r="L134" t="s">
        <v>210</v>
      </c>
      <c r="M134" t="s">
        <v>225</v>
      </c>
    </row>
    <row r="135" spans="1:13" x14ac:dyDescent="0.25">
      <c r="A135" t="s">
        <v>68</v>
      </c>
      <c r="B135">
        <v>0.21932741876645331</v>
      </c>
      <c r="C135">
        <v>0.77167950491829229</v>
      </c>
      <c r="D135">
        <v>0.40081006840018474</v>
      </c>
      <c r="E135">
        <v>0.26009677472141324</v>
      </c>
      <c r="F135">
        <v>4.3134614425906201E-2</v>
      </c>
      <c r="G135">
        <v>0.35475340642543646</v>
      </c>
      <c r="H135">
        <v>0.46651596341964563</v>
      </c>
      <c r="I135">
        <v>0.60228089314033828</v>
      </c>
      <c r="J135" t="s">
        <v>199</v>
      </c>
      <c r="K135" t="s">
        <v>206</v>
      </c>
      <c r="L135" t="s">
        <v>210</v>
      </c>
      <c r="M135" t="s">
        <v>225</v>
      </c>
    </row>
    <row r="136" spans="1:13" x14ac:dyDescent="0.25">
      <c r="A136" t="s">
        <v>277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 t="s">
        <v>199</v>
      </c>
      <c r="K136" t="s">
        <v>207</v>
      </c>
      <c r="L136" t="s">
        <v>210</v>
      </c>
      <c r="M136" t="s">
        <v>225</v>
      </c>
    </row>
    <row r="137" spans="1:13" x14ac:dyDescent="0.25">
      <c r="A137" t="s">
        <v>348</v>
      </c>
      <c r="B137">
        <v>1</v>
      </c>
      <c r="C137">
        <v>1</v>
      </c>
      <c r="D137">
        <v>0.60242235685854073</v>
      </c>
      <c r="E137">
        <v>1</v>
      </c>
      <c r="F137">
        <v>0.21285756292664115</v>
      </c>
      <c r="G137">
        <v>1</v>
      </c>
      <c r="H137">
        <v>1</v>
      </c>
      <c r="I137">
        <v>1</v>
      </c>
      <c r="J137" t="s">
        <v>199</v>
      </c>
      <c r="K137" t="s">
        <v>233</v>
      </c>
      <c r="L137" t="s">
        <v>210</v>
      </c>
      <c r="M137" t="s">
        <v>225</v>
      </c>
    </row>
    <row r="138" spans="1:13" x14ac:dyDescent="0.25">
      <c r="A138" t="s">
        <v>69</v>
      </c>
      <c r="J138" t="s">
        <v>199</v>
      </c>
      <c r="K138" t="s">
        <v>202</v>
      </c>
      <c r="L138" t="s">
        <v>211</v>
      </c>
      <c r="M138" t="s">
        <v>225</v>
      </c>
    </row>
    <row r="139" spans="1:13" x14ac:dyDescent="0.25">
      <c r="A139" t="s">
        <v>70</v>
      </c>
      <c r="B139">
        <v>0.29512047059901314</v>
      </c>
      <c r="C139">
        <v>3.3851824960101404E-2</v>
      </c>
      <c r="D139">
        <v>6.7079778449826058E-2</v>
      </c>
      <c r="E139">
        <v>2.031161193623407E-2</v>
      </c>
      <c r="F139">
        <v>0.15749051774490314</v>
      </c>
      <c r="G139">
        <v>7.8818758426334901E-2</v>
      </c>
      <c r="H139">
        <v>6.3159338637052351E-2</v>
      </c>
      <c r="I139">
        <v>6.7117111601527175E-4</v>
      </c>
      <c r="J139" t="s">
        <v>199</v>
      </c>
      <c r="K139" t="s">
        <v>203</v>
      </c>
      <c r="L139" t="s">
        <v>211</v>
      </c>
      <c r="M139" t="s">
        <v>225</v>
      </c>
    </row>
    <row r="140" spans="1:13" x14ac:dyDescent="0.25">
      <c r="A140" t="s">
        <v>71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 t="s">
        <v>199</v>
      </c>
      <c r="K140" t="s">
        <v>204</v>
      </c>
      <c r="L140" t="s">
        <v>211</v>
      </c>
      <c r="M140" t="s">
        <v>225</v>
      </c>
    </row>
    <row r="141" spans="1:13" x14ac:dyDescent="0.25">
      <c r="A141" t="s">
        <v>349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 t="s">
        <v>199</v>
      </c>
      <c r="K141" t="s">
        <v>239</v>
      </c>
      <c r="L141" t="s">
        <v>211</v>
      </c>
      <c r="M141" t="s">
        <v>225</v>
      </c>
    </row>
    <row r="142" spans="1:13" x14ac:dyDescent="0.25">
      <c r="A142" t="s">
        <v>350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 t="s">
        <v>199</v>
      </c>
      <c r="K142" t="s">
        <v>241</v>
      </c>
      <c r="L142" t="s">
        <v>211</v>
      </c>
      <c r="M142" t="s">
        <v>225</v>
      </c>
    </row>
    <row r="143" spans="1:13" x14ac:dyDescent="0.25">
      <c r="A143" t="s">
        <v>72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0.85732477272741359</v>
      </c>
      <c r="H143">
        <v>1</v>
      </c>
      <c r="I143">
        <v>0.62421899352127008</v>
      </c>
      <c r="J143" t="s">
        <v>199</v>
      </c>
      <c r="K143" t="s">
        <v>206</v>
      </c>
      <c r="L143" t="s">
        <v>211</v>
      </c>
      <c r="M143" t="s">
        <v>225</v>
      </c>
    </row>
    <row r="144" spans="1:13" x14ac:dyDescent="0.25">
      <c r="A144" t="s">
        <v>278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 t="s">
        <v>199</v>
      </c>
      <c r="K144" t="s">
        <v>207</v>
      </c>
      <c r="L144" t="s">
        <v>211</v>
      </c>
      <c r="M144" t="s">
        <v>225</v>
      </c>
    </row>
    <row r="145" spans="1:13" x14ac:dyDescent="0.25">
      <c r="A145" t="s">
        <v>351</v>
      </c>
      <c r="B145">
        <v>0.31056634143317258</v>
      </c>
      <c r="C145">
        <v>0.45146992202419156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 t="s">
        <v>199</v>
      </c>
      <c r="K145" t="s">
        <v>233</v>
      </c>
      <c r="L145" t="s">
        <v>211</v>
      </c>
      <c r="M145" t="s">
        <v>225</v>
      </c>
    </row>
    <row r="146" spans="1:13" x14ac:dyDescent="0.25">
      <c r="A146" t="s">
        <v>73</v>
      </c>
      <c r="J146" t="s">
        <v>199</v>
      </c>
      <c r="K146" t="s">
        <v>202</v>
      </c>
      <c r="L146" t="s">
        <v>212</v>
      </c>
      <c r="M146" t="s">
        <v>225</v>
      </c>
    </row>
    <row r="147" spans="1:13" x14ac:dyDescent="0.25">
      <c r="A147" t="s">
        <v>74</v>
      </c>
      <c r="B147">
        <v>0.22980744547424492</v>
      </c>
      <c r="C147">
        <v>0.42059245603571349</v>
      </c>
      <c r="D147">
        <v>0.3578159881947896</v>
      </c>
      <c r="E147">
        <v>0.31296352012954531</v>
      </c>
      <c r="F147">
        <v>0.42636164729482046</v>
      </c>
      <c r="G147">
        <v>4.31699262009579E-2</v>
      </c>
      <c r="H147">
        <v>0.37470174143488588</v>
      </c>
      <c r="I147">
        <v>1.5191669330814318E-2</v>
      </c>
      <c r="J147" t="s">
        <v>199</v>
      </c>
      <c r="K147" t="s">
        <v>203</v>
      </c>
      <c r="L147" t="s">
        <v>212</v>
      </c>
      <c r="M147" t="s">
        <v>225</v>
      </c>
    </row>
    <row r="148" spans="1:13" x14ac:dyDescent="0.25">
      <c r="A148" t="s">
        <v>75</v>
      </c>
      <c r="B148">
        <v>0.57469444395509672</v>
      </c>
      <c r="C148">
        <v>0.84338988585451569</v>
      </c>
      <c r="D148">
        <v>1</v>
      </c>
      <c r="E148">
        <v>0.74882658792426815</v>
      </c>
      <c r="F148">
        <v>0.87854360583029756</v>
      </c>
      <c r="G148">
        <v>0.29406325731860072</v>
      </c>
      <c r="H148">
        <v>0.33062558801099828</v>
      </c>
      <c r="I148">
        <v>3.2586488040370191E-5</v>
      </c>
      <c r="J148" t="s">
        <v>199</v>
      </c>
      <c r="K148" t="s">
        <v>204</v>
      </c>
      <c r="L148" t="s">
        <v>212</v>
      </c>
      <c r="M148" t="s">
        <v>225</v>
      </c>
    </row>
    <row r="149" spans="1:13" x14ac:dyDescent="0.25">
      <c r="A149" t="s">
        <v>352</v>
      </c>
      <c r="B149">
        <v>1</v>
      </c>
      <c r="C149">
        <v>1</v>
      </c>
      <c r="D149">
        <v>1</v>
      </c>
      <c r="E149">
        <v>1</v>
      </c>
      <c r="F149">
        <v>0.86924982316545973</v>
      </c>
      <c r="G149">
        <v>1</v>
      </c>
      <c r="H149">
        <v>0.39891998272293488</v>
      </c>
      <c r="I149">
        <v>0.2096796921080013</v>
      </c>
      <c r="J149" t="s">
        <v>199</v>
      </c>
      <c r="K149" t="s">
        <v>239</v>
      </c>
      <c r="L149" t="s">
        <v>212</v>
      </c>
      <c r="M149" t="s">
        <v>225</v>
      </c>
    </row>
    <row r="150" spans="1:13" x14ac:dyDescent="0.25">
      <c r="A150" t="s">
        <v>353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0.79842405899987368</v>
      </c>
      <c r="J150" t="s">
        <v>199</v>
      </c>
      <c r="K150" t="s">
        <v>241</v>
      </c>
      <c r="L150" t="s">
        <v>212</v>
      </c>
      <c r="M150" t="s">
        <v>225</v>
      </c>
    </row>
    <row r="151" spans="1:13" x14ac:dyDescent="0.25">
      <c r="A151" t="s">
        <v>76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0.77677330530290223</v>
      </c>
      <c r="J151" t="s">
        <v>199</v>
      </c>
      <c r="K151" t="s">
        <v>206</v>
      </c>
      <c r="L151" t="s">
        <v>212</v>
      </c>
      <c r="M151" t="s">
        <v>225</v>
      </c>
    </row>
    <row r="152" spans="1:13" x14ac:dyDescent="0.25">
      <c r="A152" t="s">
        <v>279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0.7077383383877931</v>
      </c>
      <c r="J152" t="s">
        <v>199</v>
      </c>
      <c r="K152" t="s">
        <v>207</v>
      </c>
      <c r="L152" t="s">
        <v>212</v>
      </c>
      <c r="M152" t="s">
        <v>225</v>
      </c>
    </row>
    <row r="153" spans="1:13" x14ac:dyDescent="0.25">
      <c r="A153" t="s">
        <v>354</v>
      </c>
      <c r="B153">
        <v>0.24928982714934694</v>
      </c>
      <c r="C153">
        <v>0.68743938315597641</v>
      </c>
      <c r="D153">
        <v>1</v>
      </c>
      <c r="E153">
        <v>0.77045360658531248</v>
      </c>
      <c r="F153">
        <v>1</v>
      </c>
      <c r="G153">
        <v>1</v>
      </c>
      <c r="H153">
        <v>0.63678840727249808</v>
      </c>
      <c r="I153">
        <v>3.6612613459847225E-2</v>
      </c>
      <c r="J153" t="s">
        <v>199</v>
      </c>
      <c r="K153" t="s">
        <v>233</v>
      </c>
      <c r="L153" t="s">
        <v>212</v>
      </c>
      <c r="M153" t="s">
        <v>225</v>
      </c>
    </row>
    <row r="154" spans="1:13" x14ac:dyDescent="0.25">
      <c r="A154" t="s">
        <v>77</v>
      </c>
      <c r="J154" t="s">
        <v>199</v>
      </c>
      <c r="K154" t="s">
        <v>202</v>
      </c>
      <c r="L154" t="s">
        <v>213</v>
      </c>
      <c r="M154" t="s">
        <v>225</v>
      </c>
    </row>
    <row r="155" spans="1:13" x14ac:dyDescent="0.25">
      <c r="A155" t="s">
        <v>78</v>
      </c>
      <c r="B155">
        <v>0.32789158179505545</v>
      </c>
      <c r="C155">
        <v>0.20626279263673619</v>
      </c>
      <c r="D155">
        <v>0.28998962929509164</v>
      </c>
      <c r="E155">
        <v>1</v>
      </c>
      <c r="F155">
        <v>1</v>
      </c>
      <c r="G155">
        <v>0.25423207146129934</v>
      </c>
      <c r="H155">
        <v>0.15901313428396951</v>
      </c>
      <c r="I155">
        <v>1</v>
      </c>
      <c r="J155" t="s">
        <v>199</v>
      </c>
      <c r="K155" t="s">
        <v>203</v>
      </c>
      <c r="L155" t="s">
        <v>213</v>
      </c>
      <c r="M155" t="s">
        <v>225</v>
      </c>
    </row>
    <row r="156" spans="1:13" x14ac:dyDescent="0.25">
      <c r="A156" t="s">
        <v>79</v>
      </c>
      <c r="B156">
        <v>0.41962985109951134</v>
      </c>
      <c r="C156">
        <v>0.37230089311909431</v>
      </c>
      <c r="D156">
        <v>0.84105831013948862</v>
      </c>
      <c r="E156">
        <v>0.53724225036380346</v>
      </c>
      <c r="F156">
        <v>1</v>
      </c>
      <c r="G156">
        <v>1</v>
      </c>
      <c r="H156">
        <v>0.36963731480407014</v>
      </c>
      <c r="I156">
        <v>1</v>
      </c>
      <c r="J156" t="s">
        <v>199</v>
      </c>
      <c r="K156" t="s">
        <v>204</v>
      </c>
      <c r="L156" t="s">
        <v>213</v>
      </c>
      <c r="M156" t="s">
        <v>225</v>
      </c>
    </row>
    <row r="157" spans="1:13" x14ac:dyDescent="0.25">
      <c r="A157" t="s">
        <v>355</v>
      </c>
      <c r="B157">
        <v>1</v>
      </c>
      <c r="C157">
        <v>0.31732293834531905</v>
      </c>
      <c r="D157">
        <v>0.56120353169757919</v>
      </c>
      <c r="E157">
        <v>1</v>
      </c>
      <c r="F157">
        <v>1</v>
      </c>
      <c r="G157">
        <v>1</v>
      </c>
      <c r="H157">
        <v>0.21126546927582762</v>
      </c>
      <c r="I157">
        <v>1</v>
      </c>
      <c r="J157" t="s">
        <v>199</v>
      </c>
      <c r="K157" t="s">
        <v>239</v>
      </c>
      <c r="L157" t="s">
        <v>213</v>
      </c>
      <c r="M157" t="s">
        <v>225</v>
      </c>
    </row>
    <row r="158" spans="1:13" x14ac:dyDescent="0.25">
      <c r="A158" t="s">
        <v>356</v>
      </c>
      <c r="B158">
        <v>1</v>
      </c>
      <c r="C158">
        <v>0.90049399151372933</v>
      </c>
      <c r="D158">
        <v>0.51522328110275417</v>
      </c>
      <c r="E158">
        <v>1</v>
      </c>
      <c r="F158">
        <v>1</v>
      </c>
      <c r="G158">
        <v>1</v>
      </c>
      <c r="H158">
        <v>1</v>
      </c>
      <c r="I158">
        <v>1</v>
      </c>
      <c r="J158" t="s">
        <v>199</v>
      </c>
      <c r="K158" t="s">
        <v>241</v>
      </c>
      <c r="L158" t="s">
        <v>213</v>
      </c>
      <c r="M158" t="s">
        <v>225</v>
      </c>
    </row>
    <row r="159" spans="1:13" x14ac:dyDescent="0.25">
      <c r="A159" t="s">
        <v>80</v>
      </c>
      <c r="B159">
        <v>1</v>
      </c>
      <c r="C159">
        <v>1</v>
      </c>
      <c r="D159">
        <v>0.75363800528569214</v>
      </c>
      <c r="E159">
        <v>1</v>
      </c>
      <c r="F159">
        <v>1</v>
      </c>
      <c r="G159">
        <v>0.49279153603339759</v>
      </c>
      <c r="H159">
        <v>1</v>
      </c>
      <c r="I159">
        <v>1</v>
      </c>
      <c r="J159" t="s">
        <v>199</v>
      </c>
      <c r="K159" t="s">
        <v>206</v>
      </c>
      <c r="L159" t="s">
        <v>213</v>
      </c>
      <c r="M159" t="s">
        <v>225</v>
      </c>
    </row>
    <row r="160" spans="1:13" x14ac:dyDescent="0.25">
      <c r="A160" t="s">
        <v>280</v>
      </c>
      <c r="B160">
        <v>0.89503276596005521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 t="s">
        <v>199</v>
      </c>
      <c r="K160" t="s">
        <v>207</v>
      </c>
      <c r="L160" t="s">
        <v>213</v>
      </c>
      <c r="M160" t="s">
        <v>225</v>
      </c>
    </row>
    <row r="161" spans="1:13" x14ac:dyDescent="0.25">
      <c r="A161" t="s">
        <v>357</v>
      </c>
      <c r="B161">
        <v>0.49328501259722934</v>
      </c>
      <c r="C161">
        <v>0.12967097203973349</v>
      </c>
      <c r="D161">
        <v>0.23102000866565334</v>
      </c>
      <c r="E161">
        <v>0.15477271837398732</v>
      </c>
      <c r="F161">
        <v>0.39151860313010323</v>
      </c>
      <c r="G161">
        <v>2.9051561318506992E-2</v>
      </c>
      <c r="H161">
        <v>0.16833660370365061</v>
      </c>
      <c r="I161">
        <v>1</v>
      </c>
      <c r="J161" t="s">
        <v>199</v>
      </c>
      <c r="K161" t="s">
        <v>233</v>
      </c>
      <c r="L161" t="s">
        <v>213</v>
      </c>
      <c r="M161" t="s">
        <v>225</v>
      </c>
    </row>
    <row r="162" spans="1:13" x14ac:dyDescent="0.25">
      <c r="A162" t="s">
        <v>81</v>
      </c>
      <c r="J162" t="s">
        <v>199</v>
      </c>
      <c r="K162" t="s">
        <v>202</v>
      </c>
      <c r="L162" t="s">
        <v>214</v>
      </c>
      <c r="M162" t="s">
        <v>225</v>
      </c>
    </row>
    <row r="163" spans="1:13" x14ac:dyDescent="0.25">
      <c r="A163" t="s">
        <v>82</v>
      </c>
      <c r="B163">
        <v>1</v>
      </c>
      <c r="C163">
        <v>1</v>
      </c>
      <c r="D163">
        <v>0.85217243279572052</v>
      </c>
      <c r="E163">
        <v>6.4741556611703083E-2</v>
      </c>
      <c r="F163">
        <v>1</v>
      </c>
      <c r="G163">
        <v>1</v>
      </c>
      <c r="H163">
        <v>1</v>
      </c>
      <c r="I163">
        <v>1</v>
      </c>
      <c r="J163" t="s">
        <v>199</v>
      </c>
      <c r="K163" t="s">
        <v>203</v>
      </c>
      <c r="L163" t="s">
        <v>214</v>
      </c>
      <c r="M163" t="s">
        <v>225</v>
      </c>
    </row>
    <row r="164" spans="1:13" x14ac:dyDescent="0.25">
      <c r="A164" t="s">
        <v>83</v>
      </c>
      <c r="B164">
        <v>1</v>
      </c>
      <c r="C164">
        <v>1</v>
      </c>
      <c r="D164">
        <v>1</v>
      </c>
      <c r="E164">
        <v>0.60667808610465612</v>
      </c>
      <c r="F164">
        <v>1</v>
      </c>
      <c r="G164">
        <v>1</v>
      </c>
      <c r="H164">
        <v>1</v>
      </c>
      <c r="I164">
        <v>1</v>
      </c>
      <c r="J164" t="s">
        <v>199</v>
      </c>
      <c r="K164" t="s">
        <v>204</v>
      </c>
      <c r="L164" t="s">
        <v>214</v>
      </c>
      <c r="M164" t="s">
        <v>225</v>
      </c>
    </row>
    <row r="165" spans="1:13" x14ac:dyDescent="0.25">
      <c r="A165" t="s">
        <v>358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0.88524466303956983</v>
      </c>
      <c r="H165">
        <v>1</v>
      </c>
      <c r="I165">
        <v>1</v>
      </c>
      <c r="J165" t="s">
        <v>199</v>
      </c>
      <c r="K165" t="s">
        <v>239</v>
      </c>
      <c r="L165" t="s">
        <v>214</v>
      </c>
      <c r="M165" t="s">
        <v>225</v>
      </c>
    </row>
    <row r="166" spans="1:13" x14ac:dyDescent="0.25">
      <c r="A166" t="s">
        <v>359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 t="s">
        <v>199</v>
      </c>
      <c r="K166" t="s">
        <v>241</v>
      </c>
      <c r="L166" t="s">
        <v>214</v>
      </c>
      <c r="M166" t="s">
        <v>225</v>
      </c>
    </row>
    <row r="167" spans="1:13" x14ac:dyDescent="0.25">
      <c r="A167" t="s">
        <v>84</v>
      </c>
      <c r="B167">
        <v>0.71683293431890083</v>
      </c>
      <c r="C167">
        <v>1</v>
      </c>
      <c r="D167">
        <v>0.60781906707668121</v>
      </c>
      <c r="E167">
        <v>0.76299997182810286</v>
      </c>
      <c r="F167">
        <v>0.73508791951383423</v>
      </c>
      <c r="G167">
        <v>0.15269284368685154</v>
      </c>
      <c r="H167">
        <v>0.77827676301649751</v>
      </c>
      <c r="I167">
        <v>0.99425304352693678</v>
      </c>
      <c r="J167" t="s">
        <v>199</v>
      </c>
      <c r="K167" t="s">
        <v>206</v>
      </c>
      <c r="L167" t="s">
        <v>214</v>
      </c>
      <c r="M167" t="s">
        <v>225</v>
      </c>
    </row>
    <row r="168" spans="1:13" x14ac:dyDescent="0.25">
      <c r="A168" t="s">
        <v>281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 t="s">
        <v>199</v>
      </c>
      <c r="K168" t="s">
        <v>207</v>
      </c>
      <c r="L168" t="s">
        <v>214</v>
      </c>
      <c r="M168" t="s">
        <v>225</v>
      </c>
    </row>
    <row r="169" spans="1:13" x14ac:dyDescent="0.25">
      <c r="A169" t="s">
        <v>360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 t="s">
        <v>199</v>
      </c>
      <c r="K169" t="s">
        <v>233</v>
      </c>
      <c r="L169" t="s">
        <v>214</v>
      </c>
      <c r="M169" t="s">
        <v>225</v>
      </c>
    </row>
    <row r="170" spans="1:13" x14ac:dyDescent="0.25">
      <c r="A170" t="s">
        <v>85</v>
      </c>
      <c r="J170" t="s">
        <v>199</v>
      </c>
      <c r="K170" t="s">
        <v>202</v>
      </c>
      <c r="L170" t="s">
        <v>215</v>
      </c>
      <c r="M170" t="s">
        <v>225</v>
      </c>
    </row>
    <row r="171" spans="1:13" x14ac:dyDescent="0.25">
      <c r="A171" t="s">
        <v>86</v>
      </c>
      <c r="B171">
        <v>0.83982652314268846</v>
      </c>
      <c r="C171">
        <v>3.4714630092742331E-2</v>
      </c>
      <c r="D171">
        <v>0.11613368306457364</v>
      </c>
      <c r="E171">
        <v>1</v>
      </c>
      <c r="F171">
        <v>1</v>
      </c>
      <c r="G171">
        <v>1</v>
      </c>
      <c r="H171">
        <v>1</v>
      </c>
      <c r="I171">
        <v>1</v>
      </c>
      <c r="J171" t="s">
        <v>199</v>
      </c>
      <c r="K171" t="s">
        <v>203</v>
      </c>
      <c r="L171" t="s">
        <v>215</v>
      </c>
      <c r="M171" t="s">
        <v>225</v>
      </c>
    </row>
    <row r="172" spans="1:13" x14ac:dyDescent="0.25">
      <c r="A172" t="s">
        <v>87</v>
      </c>
      <c r="B172">
        <v>1</v>
      </c>
      <c r="C172">
        <v>0.27657927592076664</v>
      </c>
      <c r="D172">
        <v>0.10828833612132842</v>
      </c>
      <c r="E172">
        <v>1</v>
      </c>
      <c r="F172">
        <v>0.94592728786521629</v>
      </c>
      <c r="G172">
        <v>1</v>
      </c>
      <c r="H172">
        <v>1</v>
      </c>
      <c r="I172">
        <v>1</v>
      </c>
      <c r="J172" t="s">
        <v>199</v>
      </c>
      <c r="K172" t="s">
        <v>204</v>
      </c>
      <c r="L172" t="s">
        <v>215</v>
      </c>
      <c r="M172" t="s">
        <v>225</v>
      </c>
    </row>
    <row r="173" spans="1:13" x14ac:dyDescent="0.25">
      <c r="A173" t="s">
        <v>361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 t="s">
        <v>199</v>
      </c>
      <c r="K173" t="s">
        <v>239</v>
      </c>
      <c r="L173" t="s">
        <v>215</v>
      </c>
      <c r="M173" t="s">
        <v>225</v>
      </c>
    </row>
    <row r="174" spans="1:13" x14ac:dyDescent="0.25">
      <c r="A174" t="s">
        <v>362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 t="s">
        <v>199</v>
      </c>
      <c r="K174" t="s">
        <v>241</v>
      </c>
      <c r="L174" t="s">
        <v>215</v>
      </c>
      <c r="M174" t="s">
        <v>225</v>
      </c>
    </row>
    <row r="175" spans="1:13" x14ac:dyDescent="0.25">
      <c r="A175" t="s">
        <v>88</v>
      </c>
      <c r="B175">
        <v>1</v>
      </c>
      <c r="C175">
        <v>1</v>
      </c>
      <c r="D175">
        <v>1</v>
      </c>
      <c r="E175">
        <v>1</v>
      </c>
      <c r="F175">
        <v>0.42834205418293564</v>
      </c>
      <c r="G175">
        <v>0.64062528860818424</v>
      </c>
      <c r="H175">
        <v>0.21868610691061943</v>
      </c>
      <c r="I175">
        <v>0.56811018975246674</v>
      </c>
      <c r="J175" t="s">
        <v>199</v>
      </c>
      <c r="K175" t="s">
        <v>206</v>
      </c>
      <c r="L175" t="s">
        <v>215</v>
      </c>
      <c r="M175" t="s">
        <v>225</v>
      </c>
    </row>
    <row r="176" spans="1:13" x14ac:dyDescent="0.25">
      <c r="A176" t="s">
        <v>282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 t="s">
        <v>199</v>
      </c>
      <c r="K176" t="s">
        <v>207</v>
      </c>
      <c r="L176" t="s">
        <v>215</v>
      </c>
      <c r="M176" t="s">
        <v>225</v>
      </c>
    </row>
    <row r="177" spans="1:13" x14ac:dyDescent="0.25">
      <c r="A177" t="s">
        <v>363</v>
      </c>
      <c r="B177">
        <v>1</v>
      </c>
      <c r="C177">
        <v>0.61449343218039609</v>
      </c>
      <c r="D177">
        <v>0.15076997588334126</v>
      </c>
      <c r="E177">
        <v>0.72077201141413894</v>
      </c>
      <c r="F177">
        <v>0.97473767814103329</v>
      </c>
      <c r="G177">
        <v>1</v>
      </c>
      <c r="H177">
        <v>1</v>
      </c>
      <c r="I177">
        <v>1</v>
      </c>
      <c r="J177" t="s">
        <v>199</v>
      </c>
      <c r="K177" t="s">
        <v>233</v>
      </c>
      <c r="L177" t="s">
        <v>215</v>
      </c>
      <c r="M177" t="s">
        <v>225</v>
      </c>
    </row>
    <row r="178" spans="1:13" x14ac:dyDescent="0.25">
      <c r="A178" t="s">
        <v>89</v>
      </c>
      <c r="J178" t="s">
        <v>199</v>
      </c>
      <c r="K178" t="s">
        <v>202</v>
      </c>
      <c r="L178" t="s">
        <v>216</v>
      </c>
      <c r="M178" t="s">
        <v>225</v>
      </c>
    </row>
    <row r="179" spans="1:13" x14ac:dyDescent="0.25">
      <c r="A179" t="s">
        <v>90</v>
      </c>
      <c r="B179">
        <v>0.17928506187619417</v>
      </c>
      <c r="C179">
        <v>0.2501009073559135</v>
      </c>
      <c r="D179">
        <v>0.73103640124599312</v>
      </c>
      <c r="E179">
        <v>1</v>
      </c>
      <c r="F179">
        <v>1</v>
      </c>
      <c r="G179">
        <v>1</v>
      </c>
      <c r="H179">
        <v>1</v>
      </c>
      <c r="I179">
        <v>1</v>
      </c>
      <c r="J179" t="s">
        <v>199</v>
      </c>
      <c r="K179" t="s">
        <v>203</v>
      </c>
      <c r="L179" t="s">
        <v>216</v>
      </c>
      <c r="M179" t="s">
        <v>225</v>
      </c>
    </row>
    <row r="180" spans="1:13" x14ac:dyDescent="0.25">
      <c r="A180" t="s">
        <v>91</v>
      </c>
      <c r="B180">
        <v>1</v>
      </c>
      <c r="C180">
        <v>0.79170625736579225</v>
      </c>
      <c r="D180">
        <v>0.90280132083076214</v>
      </c>
      <c r="E180">
        <v>1</v>
      </c>
      <c r="F180">
        <v>1</v>
      </c>
      <c r="G180">
        <v>0.73253680867446924</v>
      </c>
      <c r="H180">
        <v>1</v>
      </c>
      <c r="I180">
        <v>1</v>
      </c>
      <c r="J180" t="s">
        <v>199</v>
      </c>
      <c r="K180" t="s">
        <v>204</v>
      </c>
      <c r="L180" t="s">
        <v>216</v>
      </c>
      <c r="M180" t="s">
        <v>225</v>
      </c>
    </row>
    <row r="181" spans="1:13" x14ac:dyDescent="0.25">
      <c r="A181" t="s">
        <v>364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 t="s">
        <v>199</v>
      </c>
      <c r="K181" t="s">
        <v>239</v>
      </c>
      <c r="L181" t="s">
        <v>216</v>
      </c>
      <c r="M181" t="s">
        <v>225</v>
      </c>
    </row>
    <row r="182" spans="1:13" x14ac:dyDescent="0.25">
      <c r="A182" t="s">
        <v>365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0.65444429197006571</v>
      </c>
      <c r="H182">
        <v>0.69376083999845584</v>
      </c>
      <c r="I182">
        <v>0.40524292874753609</v>
      </c>
      <c r="J182" t="s">
        <v>199</v>
      </c>
      <c r="K182" t="s">
        <v>241</v>
      </c>
      <c r="L182" t="s">
        <v>216</v>
      </c>
      <c r="M182" t="s">
        <v>225</v>
      </c>
    </row>
    <row r="183" spans="1:13" x14ac:dyDescent="0.25">
      <c r="A183" t="s">
        <v>92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 t="s">
        <v>199</v>
      </c>
      <c r="K183" t="s">
        <v>206</v>
      </c>
      <c r="L183" t="s">
        <v>216</v>
      </c>
      <c r="M183" t="s">
        <v>225</v>
      </c>
    </row>
    <row r="184" spans="1:13" x14ac:dyDescent="0.25">
      <c r="A184" t="s">
        <v>283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 t="s">
        <v>199</v>
      </c>
      <c r="K184" t="s">
        <v>207</v>
      </c>
      <c r="L184" t="s">
        <v>216</v>
      </c>
      <c r="M184" t="s">
        <v>225</v>
      </c>
    </row>
    <row r="185" spans="1:13" x14ac:dyDescent="0.25">
      <c r="A185" t="s">
        <v>366</v>
      </c>
      <c r="B185">
        <v>0.59345564457605682</v>
      </c>
      <c r="C185">
        <v>0.50619159065869956</v>
      </c>
      <c r="D185">
        <v>0.20853106347628175</v>
      </c>
      <c r="E185">
        <v>0.41131111898691236</v>
      </c>
      <c r="F185">
        <v>0.35858855087275954</v>
      </c>
      <c r="G185">
        <v>8.7329660279142685E-2</v>
      </c>
      <c r="H185">
        <v>0.53337345262038371</v>
      </c>
      <c r="I185">
        <v>0.49918749042906652</v>
      </c>
      <c r="J185" t="s">
        <v>199</v>
      </c>
      <c r="K185" t="s">
        <v>233</v>
      </c>
      <c r="L185" t="s">
        <v>216</v>
      </c>
      <c r="M185" t="s">
        <v>225</v>
      </c>
    </row>
    <row r="186" spans="1:13" x14ac:dyDescent="0.25">
      <c r="A186" t="s">
        <v>93</v>
      </c>
      <c r="J186" t="s">
        <v>199</v>
      </c>
      <c r="K186" t="s">
        <v>202</v>
      </c>
      <c r="L186" t="s">
        <v>217</v>
      </c>
      <c r="M186" t="s">
        <v>225</v>
      </c>
    </row>
    <row r="187" spans="1:13" x14ac:dyDescent="0.25">
      <c r="A187" t="s">
        <v>94</v>
      </c>
      <c r="B187">
        <v>0.17741357393852306</v>
      </c>
      <c r="C187">
        <v>0.18497478340086365</v>
      </c>
      <c r="D187">
        <v>0.38250898383499704</v>
      </c>
      <c r="E187">
        <v>1</v>
      </c>
      <c r="F187">
        <v>0.92180488268865246</v>
      </c>
      <c r="G187">
        <v>1</v>
      </c>
      <c r="H187">
        <v>0.52809031088004543</v>
      </c>
      <c r="I187">
        <v>0.25982734176015976</v>
      </c>
      <c r="J187" t="s">
        <v>199</v>
      </c>
      <c r="K187" t="s">
        <v>203</v>
      </c>
      <c r="L187" t="s">
        <v>217</v>
      </c>
      <c r="M187" t="s">
        <v>225</v>
      </c>
    </row>
    <row r="188" spans="1:13" x14ac:dyDescent="0.25">
      <c r="A188" t="s">
        <v>95</v>
      </c>
      <c r="B188">
        <v>7.0139313688102447E-3</v>
      </c>
      <c r="C188">
        <v>1.7142556681788972E-3</v>
      </c>
      <c r="D188">
        <v>2.166485224465782E-3</v>
      </c>
      <c r="E188">
        <v>4.6253291305129052E-3</v>
      </c>
      <c r="F188">
        <v>2.780696591300473E-3</v>
      </c>
      <c r="G188">
        <v>1.9569615742498769E-3</v>
      </c>
      <c r="H188">
        <v>4.6282160704883398E-4</v>
      </c>
      <c r="I188">
        <v>7.9433123450444918E-4</v>
      </c>
      <c r="J188" t="s">
        <v>199</v>
      </c>
      <c r="K188" t="s">
        <v>204</v>
      </c>
      <c r="L188" t="s">
        <v>217</v>
      </c>
      <c r="M188" t="s">
        <v>225</v>
      </c>
    </row>
    <row r="189" spans="1:13" x14ac:dyDescent="0.25">
      <c r="A189" t="s">
        <v>367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 t="s">
        <v>199</v>
      </c>
      <c r="K189" t="s">
        <v>239</v>
      </c>
      <c r="L189" t="s">
        <v>217</v>
      </c>
      <c r="M189" t="s">
        <v>225</v>
      </c>
    </row>
    <row r="190" spans="1:13" x14ac:dyDescent="0.25">
      <c r="A190" t="s">
        <v>368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 t="s">
        <v>199</v>
      </c>
      <c r="K190" t="s">
        <v>241</v>
      </c>
      <c r="L190" t="s">
        <v>217</v>
      </c>
      <c r="M190" t="s">
        <v>225</v>
      </c>
    </row>
    <row r="191" spans="1:13" x14ac:dyDescent="0.25">
      <c r="A191" t="s">
        <v>96</v>
      </c>
      <c r="B191">
        <v>1</v>
      </c>
      <c r="C191">
        <v>1</v>
      </c>
      <c r="D191">
        <v>1</v>
      </c>
      <c r="E191">
        <v>1</v>
      </c>
      <c r="F191">
        <v>5.0767488687111215E-2</v>
      </c>
      <c r="G191">
        <v>5.4639964911138199E-2</v>
      </c>
      <c r="H191">
        <v>2.9237958225556372E-3</v>
      </c>
      <c r="I191">
        <v>1.3275166442802797E-4</v>
      </c>
      <c r="J191" t="s">
        <v>199</v>
      </c>
      <c r="K191" t="s">
        <v>206</v>
      </c>
      <c r="L191" t="s">
        <v>217</v>
      </c>
      <c r="M191" t="s">
        <v>225</v>
      </c>
    </row>
    <row r="192" spans="1:13" x14ac:dyDescent="0.25">
      <c r="A192" t="s">
        <v>284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 t="s">
        <v>199</v>
      </c>
      <c r="K192" t="s">
        <v>207</v>
      </c>
      <c r="L192" t="s">
        <v>217</v>
      </c>
      <c r="M192" t="s">
        <v>225</v>
      </c>
    </row>
    <row r="193" spans="1:13" x14ac:dyDescent="0.25">
      <c r="A193" t="s">
        <v>369</v>
      </c>
      <c r="B193">
        <v>6.8807491515092186E-3</v>
      </c>
      <c r="C193">
        <v>2.3864727271727851E-2</v>
      </c>
      <c r="D193">
        <v>0.11231430922404308</v>
      </c>
      <c r="E193">
        <v>3.1226876453519473E-2</v>
      </c>
      <c r="F193">
        <v>2.1822594779141273E-2</v>
      </c>
      <c r="G193">
        <v>7.9625266278369883E-2</v>
      </c>
      <c r="H193">
        <v>2.3078118104110215E-2</v>
      </c>
      <c r="I193">
        <v>8.0695055154353899E-3</v>
      </c>
      <c r="J193" t="s">
        <v>199</v>
      </c>
      <c r="K193" t="s">
        <v>233</v>
      </c>
      <c r="L193" t="s">
        <v>217</v>
      </c>
      <c r="M193" t="s">
        <v>225</v>
      </c>
    </row>
    <row r="194" spans="1:13" x14ac:dyDescent="0.25">
      <c r="A194" t="s">
        <v>97</v>
      </c>
      <c r="J194" t="s">
        <v>199</v>
      </c>
      <c r="K194" t="s">
        <v>202</v>
      </c>
      <c r="L194" t="s">
        <v>218</v>
      </c>
      <c r="M194" t="s">
        <v>225</v>
      </c>
    </row>
    <row r="195" spans="1:13" x14ac:dyDescent="0.25">
      <c r="A195" t="s">
        <v>98</v>
      </c>
      <c r="B195">
        <v>0.49824963290636942</v>
      </c>
      <c r="C195">
        <v>0.14771565005763776</v>
      </c>
      <c r="D195">
        <v>0.1505270904233153</v>
      </c>
      <c r="E195">
        <v>1</v>
      </c>
      <c r="F195">
        <v>1</v>
      </c>
      <c r="G195">
        <v>0.75742569804912918</v>
      </c>
      <c r="H195">
        <v>1</v>
      </c>
      <c r="I195">
        <v>1</v>
      </c>
      <c r="J195" t="s">
        <v>199</v>
      </c>
      <c r="K195" t="s">
        <v>203</v>
      </c>
      <c r="L195" t="s">
        <v>218</v>
      </c>
      <c r="M195" t="s">
        <v>225</v>
      </c>
    </row>
    <row r="196" spans="1:13" x14ac:dyDescent="0.25">
      <c r="A196" t="s">
        <v>99</v>
      </c>
      <c r="B196">
        <v>1</v>
      </c>
      <c r="C196">
        <v>0.92772992099133278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 t="s">
        <v>199</v>
      </c>
      <c r="K196" t="s">
        <v>204</v>
      </c>
      <c r="L196" t="s">
        <v>218</v>
      </c>
      <c r="M196" t="s">
        <v>225</v>
      </c>
    </row>
    <row r="197" spans="1:13" x14ac:dyDescent="0.25">
      <c r="A197" t="s">
        <v>370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 t="s">
        <v>199</v>
      </c>
      <c r="K197" t="s">
        <v>239</v>
      </c>
      <c r="L197" t="s">
        <v>218</v>
      </c>
      <c r="M197" t="s">
        <v>225</v>
      </c>
    </row>
    <row r="198" spans="1:13" x14ac:dyDescent="0.25">
      <c r="A198" t="s">
        <v>371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0.39237152418846405</v>
      </c>
      <c r="I198">
        <v>0.76585001422090704</v>
      </c>
      <c r="J198" t="s">
        <v>199</v>
      </c>
      <c r="K198" t="s">
        <v>241</v>
      </c>
      <c r="L198" t="s">
        <v>218</v>
      </c>
      <c r="M198" t="s">
        <v>225</v>
      </c>
    </row>
    <row r="199" spans="1:13" x14ac:dyDescent="0.25">
      <c r="A199" t="s">
        <v>100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 t="s">
        <v>199</v>
      </c>
      <c r="K199" t="s">
        <v>206</v>
      </c>
      <c r="L199" t="s">
        <v>218</v>
      </c>
      <c r="M199" t="s">
        <v>225</v>
      </c>
    </row>
    <row r="200" spans="1:13" x14ac:dyDescent="0.25">
      <c r="A200" t="s">
        <v>285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 t="s">
        <v>199</v>
      </c>
      <c r="K200" t="s">
        <v>207</v>
      </c>
      <c r="L200" t="s">
        <v>218</v>
      </c>
      <c r="M200" t="s">
        <v>225</v>
      </c>
    </row>
    <row r="201" spans="1:13" x14ac:dyDescent="0.25">
      <c r="A201" t="s">
        <v>372</v>
      </c>
      <c r="B201">
        <v>1</v>
      </c>
      <c r="C201">
        <v>0.86757985535933746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 t="s">
        <v>199</v>
      </c>
      <c r="K201" t="s">
        <v>233</v>
      </c>
      <c r="L201" t="s">
        <v>218</v>
      </c>
      <c r="M201" t="s">
        <v>225</v>
      </c>
    </row>
    <row r="202" spans="1:13" x14ac:dyDescent="0.25">
      <c r="A202" t="s">
        <v>101</v>
      </c>
      <c r="J202" t="s">
        <v>199</v>
      </c>
      <c r="K202" t="s">
        <v>202</v>
      </c>
      <c r="L202" t="s">
        <v>219</v>
      </c>
      <c r="M202" t="s">
        <v>225</v>
      </c>
    </row>
    <row r="203" spans="1:13" x14ac:dyDescent="0.25">
      <c r="A203" t="s">
        <v>102</v>
      </c>
      <c r="B203">
        <v>1</v>
      </c>
      <c r="C203">
        <v>1</v>
      </c>
      <c r="D203">
        <v>1</v>
      </c>
      <c r="E203">
        <v>1</v>
      </c>
      <c r="F203">
        <v>0.60398830616870702</v>
      </c>
      <c r="G203">
        <v>0.18259776958989532</v>
      </c>
      <c r="H203">
        <v>1</v>
      </c>
      <c r="I203">
        <v>0.69527363899959571</v>
      </c>
      <c r="J203" t="s">
        <v>199</v>
      </c>
      <c r="K203" t="s">
        <v>203</v>
      </c>
      <c r="L203" t="s">
        <v>219</v>
      </c>
      <c r="M203" t="s">
        <v>225</v>
      </c>
    </row>
    <row r="204" spans="1:13" x14ac:dyDescent="0.25">
      <c r="A204" t="s">
        <v>103</v>
      </c>
      <c r="B204">
        <v>1</v>
      </c>
      <c r="C204">
        <v>0.4188750493475164</v>
      </c>
      <c r="D204">
        <v>0.79954782336248464</v>
      </c>
      <c r="E204">
        <v>0.70801304762639994</v>
      </c>
      <c r="F204">
        <v>0.28574513386226646</v>
      </c>
      <c r="G204">
        <v>0.27301115254843333</v>
      </c>
      <c r="H204">
        <v>0.53610289596116867</v>
      </c>
      <c r="I204">
        <v>0.93486381869869217</v>
      </c>
      <c r="J204" t="s">
        <v>199</v>
      </c>
      <c r="K204" t="s">
        <v>204</v>
      </c>
      <c r="L204" t="s">
        <v>219</v>
      </c>
      <c r="M204" t="s">
        <v>225</v>
      </c>
    </row>
    <row r="205" spans="1:13" x14ac:dyDescent="0.25">
      <c r="A205" t="s">
        <v>373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 t="s">
        <v>199</v>
      </c>
      <c r="K205" t="s">
        <v>239</v>
      </c>
      <c r="L205" t="s">
        <v>219</v>
      </c>
      <c r="M205" t="s">
        <v>225</v>
      </c>
    </row>
    <row r="206" spans="1:13" x14ac:dyDescent="0.25">
      <c r="A206" t="s">
        <v>374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 t="s">
        <v>199</v>
      </c>
      <c r="K206" t="s">
        <v>241</v>
      </c>
      <c r="L206" t="s">
        <v>219</v>
      </c>
      <c r="M206" t="s">
        <v>225</v>
      </c>
    </row>
    <row r="207" spans="1:13" x14ac:dyDescent="0.25">
      <c r="A207" t="s">
        <v>104</v>
      </c>
      <c r="B207">
        <v>1</v>
      </c>
      <c r="C207">
        <v>1</v>
      </c>
      <c r="D207">
        <v>1</v>
      </c>
      <c r="E207">
        <v>1</v>
      </c>
      <c r="F207">
        <v>0.90843817310461894</v>
      </c>
      <c r="G207">
        <v>0.19655809251408801</v>
      </c>
      <c r="H207">
        <v>1</v>
      </c>
      <c r="I207">
        <v>0.78161716345074184</v>
      </c>
      <c r="J207" t="s">
        <v>199</v>
      </c>
      <c r="K207" t="s">
        <v>206</v>
      </c>
      <c r="L207" t="s">
        <v>219</v>
      </c>
      <c r="M207" t="s">
        <v>225</v>
      </c>
    </row>
    <row r="208" spans="1:13" x14ac:dyDescent="0.25">
      <c r="A208" t="s">
        <v>286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 t="s">
        <v>199</v>
      </c>
      <c r="K208" t="s">
        <v>207</v>
      </c>
      <c r="L208" t="s">
        <v>219</v>
      </c>
      <c r="M208" t="s">
        <v>225</v>
      </c>
    </row>
    <row r="209" spans="1:13" x14ac:dyDescent="0.25">
      <c r="A209" t="s">
        <v>375</v>
      </c>
      <c r="B209">
        <v>1</v>
      </c>
      <c r="C209">
        <v>0.75446096390186068</v>
      </c>
      <c r="D209">
        <v>0.4573848819520609</v>
      </c>
      <c r="E209">
        <v>1</v>
      </c>
      <c r="F209">
        <v>0.37055664975092439</v>
      </c>
      <c r="G209">
        <v>6.7012346319605287E-2</v>
      </c>
      <c r="H209">
        <v>0.98550263980356734</v>
      </c>
      <c r="I209">
        <v>1</v>
      </c>
      <c r="J209" t="s">
        <v>199</v>
      </c>
      <c r="K209" t="s">
        <v>233</v>
      </c>
      <c r="L209" t="s">
        <v>219</v>
      </c>
      <c r="M209" t="s">
        <v>225</v>
      </c>
    </row>
    <row r="210" spans="1:13" x14ac:dyDescent="0.25">
      <c r="A210" t="s">
        <v>105</v>
      </c>
      <c r="J210" t="s">
        <v>199</v>
      </c>
      <c r="K210" t="s">
        <v>202</v>
      </c>
      <c r="L210" t="s">
        <v>220</v>
      </c>
      <c r="M210" t="s">
        <v>225</v>
      </c>
    </row>
    <row r="211" spans="1:13" x14ac:dyDescent="0.25">
      <c r="A211" t="s">
        <v>106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0.9984994681167243</v>
      </c>
      <c r="I211">
        <v>1</v>
      </c>
      <c r="J211" t="s">
        <v>199</v>
      </c>
      <c r="K211" t="s">
        <v>203</v>
      </c>
      <c r="L211" t="s">
        <v>220</v>
      </c>
      <c r="M211" t="s">
        <v>225</v>
      </c>
    </row>
    <row r="212" spans="1:13" x14ac:dyDescent="0.25">
      <c r="A212" t="s">
        <v>107</v>
      </c>
      <c r="B212">
        <v>1</v>
      </c>
      <c r="C212">
        <v>0.67743902131201539</v>
      </c>
      <c r="D212">
        <v>0.9411775835535412</v>
      </c>
      <c r="E212">
        <v>0.90732334562763239</v>
      </c>
      <c r="F212">
        <v>1</v>
      </c>
      <c r="G212">
        <v>1</v>
      </c>
      <c r="H212">
        <v>0.31665000348936057</v>
      </c>
      <c r="I212">
        <v>0.92379315251752736</v>
      </c>
      <c r="J212" t="s">
        <v>199</v>
      </c>
      <c r="K212" t="s">
        <v>204</v>
      </c>
      <c r="L212" t="s">
        <v>220</v>
      </c>
      <c r="M212" t="s">
        <v>225</v>
      </c>
    </row>
    <row r="213" spans="1:13" x14ac:dyDescent="0.25">
      <c r="A213" t="s">
        <v>376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 t="s">
        <v>199</v>
      </c>
      <c r="K213" t="s">
        <v>239</v>
      </c>
      <c r="L213" t="s">
        <v>220</v>
      </c>
      <c r="M213" t="s">
        <v>225</v>
      </c>
    </row>
    <row r="214" spans="1:13" x14ac:dyDescent="0.25">
      <c r="A214" t="s">
        <v>377</v>
      </c>
      <c r="B214">
        <v>0.80761118020218192</v>
      </c>
      <c r="C214">
        <v>0.60056695976806918</v>
      </c>
      <c r="D214">
        <v>0.79123376428198999</v>
      </c>
      <c r="E214">
        <v>1</v>
      </c>
      <c r="F214">
        <v>1</v>
      </c>
      <c r="G214">
        <v>1</v>
      </c>
      <c r="H214">
        <v>1</v>
      </c>
      <c r="I214">
        <v>1</v>
      </c>
      <c r="J214" t="s">
        <v>199</v>
      </c>
      <c r="K214" t="s">
        <v>241</v>
      </c>
      <c r="L214" t="s">
        <v>220</v>
      </c>
      <c r="M214" t="s">
        <v>225</v>
      </c>
    </row>
    <row r="215" spans="1:13" x14ac:dyDescent="0.25">
      <c r="A215" t="s">
        <v>108</v>
      </c>
      <c r="B215">
        <v>0.8115659358562719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 t="s">
        <v>199</v>
      </c>
      <c r="K215" t="s">
        <v>206</v>
      </c>
      <c r="L215" t="s">
        <v>220</v>
      </c>
      <c r="M215" t="s">
        <v>225</v>
      </c>
    </row>
    <row r="216" spans="1:13" x14ac:dyDescent="0.25">
      <c r="A216" t="s">
        <v>287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 t="s">
        <v>199</v>
      </c>
      <c r="K216" t="s">
        <v>207</v>
      </c>
      <c r="L216" t="s">
        <v>220</v>
      </c>
      <c r="M216" t="s">
        <v>225</v>
      </c>
    </row>
    <row r="217" spans="1:13" x14ac:dyDescent="0.25">
      <c r="A217" t="s">
        <v>378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 t="s">
        <v>199</v>
      </c>
      <c r="K217" t="s">
        <v>233</v>
      </c>
      <c r="L217" t="s">
        <v>220</v>
      </c>
      <c r="M217" t="s">
        <v>225</v>
      </c>
    </row>
    <row r="218" spans="1:13" x14ac:dyDescent="0.25">
      <c r="A218" t="s">
        <v>109</v>
      </c>
      <c r="J218" t="s">
        <v>199</v>
      </c>
      <c r="K218" t="s">
        <v>202</v>
      </c>
      <c r="L218" t="s">
        <v>221</v>
      </c>
      <c r="M218" t="s">
        <v>225</v>
      </c>
    </row>
    <row r="219" spans="1:13" x14ac:dyDescent="0.25">
      <c r="A219" t="s">
        <v>110</v>
      </c>
      <c r="B219">
        <v>5.3607930570933934E-3</v>
      </c>
      <c r="C219">
        <v>1</v>
      </c>
      <c r="D219">
        <v>0.97179680178231354</v>
      </c>
      <c r="E219">
        <v>0.47557828808478453</v>
      </c>
      <c r="F219">
        <v>0.67979699308178887</v>
      </c>
      <c r="G219">
        <v>1</v>
      </c>
      <c r="H219">
        <v>1</v>
      </c>
      <c r="I219">
        <v>1</v>
      </c>
      <c r="J219" t="s">
        <v>199</v>
      </c>
      <c r="K219" t="s">
        <v>203</v>
      </c>
      <c r="L219" t="s">
        <v>221</v>
      </c>
      <c r="M219" t="s">
        <v>225</v>
      </c>
    </row>
    <row r="220" spans="1:13" x14ac:dyDescent="0.25">
      <c r="A220" t="s">
        <v>111</v>
      </c>
      <c r="B220">
        <v>9.351919086410677E-4</v>
      </c>
      <c r="C220">
        <v>1</v>
      </c>
      <c r="D220">
        <v>1</v>
      </c>
      <c r="E220">
        <v>0.62472740803769655</v>
      </c>
      <c r="F220">
        <v>0.96857876662229292</v>
      </c>
      <c r="G220">
        <v>1</v>
      </c>
      <c r="H220">
        <v>1</v>
      </c>
      <c r="I220">
        <v>1</v>
      </c>
      <c r="J220" t="s">
        <v>199</v>
      </c>
      <c r="K220" t="s">
        <v>204</v>
      </c>
      <c r="L220" t="s">
        <v>221</v>
      </c>
      <c r="M220" t="s">
        <v>225</v>
      </c>
    </row>
    <row r="221" spans="1:13" x14ac:dyDescent="0.25">
      <c r="A221" t="s">
        <v>379</v>
      </c>
      <c r="B221">
        <v>0.90169036144167602</v>
      </c>
      <c r="C221">
        <v>0.97933217135196093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 t="s">
        <v>199</v>
      </c>
      <c r="K221" t="s">
        <v>239</v>
      </c>
      <c r="L221" t="s">
        <v>221</v>
      </c>
      <c r="M221" t="s">
        <v>225</v>
      </c>
    </row>
    <row r="222" spans="1:13" x14ac:dyDescent="0.25">
      <c r="A222" t="s">
        <v>380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199</v>
      </c>
      <c r="K222" t="s">
        <v>241</v>
      </c>
      <c r="L222" t="s">
        <v>221</v>
      </c>
      <c r="M222" t="s">
        <v>225</v>
      </c>
    </row>
    <row r="223" spans="1:13" x14ac:dyDescent="0.25">
      <c r="A223" t="s">
        <v>112</v>
      </c>
      <c r="B223">
        <v>0.92692773341695234</v>
      </c>
      <c r="C223">
        <v>0.49276384960673769</v>
      </c>
      <c r="D223">
        <v>0.21136520829872513</v>
      </c>
      <c r="E223">
        <v>3.315081032999951E-2</v>
      </c>
      <c r="F223">
        <v>0.43500872909953814</v>
      </c>
      <c r="G223">
        <v>0.4130806488995758</v>
      </c>
      <c r="H223">
        <v>0.6585939264394407</v>
      </c>
      <c r="I223">
        <v>1</v>
      </c>
      <c r="J223" t="s">
        <v>199</v>
      </c>
      <c r="K223" t="s">
        <v>206</v>
      </c>
      <c r="L223" t="s">
        <v>221</v>
      </c>
      <c r="M223" t="s">
        <v>225</v>
      </c>
    </row>
    <row r="224" spans="1:13" x14ac:dyDescent="0.25">
      <c r="A224" t="s">
        <v>288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 t="s">
        <v>199</v>
      </c>
      <c r="K224" t="s">
        <v>207</v>
      </c>
      <c r="L224" t="s">
        <v>221</v>
      </c>
      <c r="M224" t="s">
        <v>225</v>
      </c>
    </row>
    <row r="225" spans="1:13" x14ac:dyDescent="0.25">
      <c r="A225" t="s">
        <v>381</v>
      </c>
      <c r="B225">
        <v>0.10814058885922019</v>
      </c>
      <c r="C225">
        <v>0.85458351177142133</v>
      </c>
      <c r="D225">
        <v>1</v>
      </c>
      <c r="E225">
        <v>0.94121057243122053</v>
      </c>
      <c r="F225">
        <v>1</v>
      </c>
      <c r="G225">
        <v>1</v>
      </c>
      <c r="H225">
        <v>1</v>
      </c>
      <c r="I225">
        <v>1</v>
      </c>
      <c r="J225" t="s">
        <v>199</v>
      </c>
      <c r="K225" t="s">
        <v>233</v>
      </c>
      <c r="L225" t="s">
        <v>221</v>
      </c>
      <c r="M225" t="s">
        <v>225</v>
      </c>
    </row>
    <row r="226" spans="1:13" x14ac:dyDescent="0.25">
      <c r="A226" t="s">
        <v>113</v>
      </c>
      <c r="J226" t="s">
        <v>199</v>
      </c>
      <c r="K226" t="s">
        <v>202</v>
      </c>
      <c r="L226" t="s">
        <v>222</v>
      </c>
      <c r="M226" t="s">
        <v>225</v>
      </c>
    </row>
    <row r="227" spans="1:13" x14ac:dyDescent="0.25">
      <c r="A227" t="s">
        <v>114</v>
      </c>
      <c r="B227">
        <v>0.59473636625421111</v>
      </c>
      <c r="C227">
        <v>3.0392566549930989E-2</v>
      </c>
      <c r="D227">
        <v>0.15369262996703456</v>
      </c>
      <c r="E227">
        <v>0.39893207665614888</v>
      </c>
      <c r="F227">
        <v>0.37733878993826508</v>
      </c>
      <c r="G227">
        <v>1</v>
      </c>
      <c r="H227">
        <v>0.3217417248509174</v>
      </c>
      <c r="I227">
        <v>0.86474610025135723</v>
      </c>
      <c r="J227" t="s">
        <v>199</v>
      </c>
      <c r="K227" t="s">
        <v>203</v>
      </c>
      <c r="L227" t="s">
        <v>222</v>
      </c>
      <c r="M227" t="s">
        <v>225</v>
      </c>
    </row>
    <row r="228" spans="1:13" x14ac:dyDescent="0.25">
      <c r="A228" t="s">
        <v>115</v>
      </c>
      <c r="B228">
        <v>1</v>
      </c>
      <c r="C228">
        <v>1</v>
      </c>
      <c r="D228">
        <v>0.75838881483822052</v>
      </c>
      <c r="E228">
        <v>1</v>
      </c>
      <c r="F228">
        <v>1</v>
      </c>
      <c r="G228">
        <v>1</v>
      </c>
      <c r="H228">
        <v>0.96706202976405153</v>
      </c>
      <c r="I228">
        <v>1</v>
      </c>
      <c r="J228" t="s">
        <v>199</v>
      </c>
      <c r="K228" t="s">
        <v>204</v>
      </c>
      <c r="L228" t="s">
        <v>222</v>
      </c>
      <c r="M228" t="s">
        <v>225</v>
      </c>
    </row>
    <row r="229" spans="1:13" x14ac:dyDescent="0.25">
      <c r="A229" t="s">
        <v>382</v>
      </c>
      <c r="B229">
        <v>1</v>
      </c>
      <c r="C229">
        <v>0.61802188305599426</v>
      </c>
      <c r="D229">
        <v>0.11570890499122526</v>
      </c>
      <c r="E229">
        <v>0.53531740940201789</v>
      </c>
      <c r="F229">
        <v>0.61952026091278922</v>
      </c>
      <c r="G229">
        <v>0.97841189553350882</v>
      </c>
      <c r="H229">
        <v>0.20356250438664938</v>
      </c>
      <c r="I229">
        <v>0.84233930165911231</v>
      </c>
      <c r="J229" t="s">
        <v>199</v>
      </c>
      <c r="K229" t="s">
        <v>239</v>
      </c>
      <c r="L229" t="s">
        <v>222</v>
      </c>
      <c r="M229" t="s">
        <v>225</v>
      </c>
    </row>
    <row r="230" spans="1:13" x14ac:dyDescent="0.25">
      <c r="A230" t="s">
        <v>383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 t="s">
        <v>199</v>
      </c>
      <c r="K230" t="s">
        <v>241</v>
      </c>
      <c r="L230" t="s">
        <v>222</v>
      </c>
      <c r="M230" t="s">
        <v>225</v>
      </c>
    </row>
    <row r="231" spans="1:13" x14ac:dyDescent="0.25">
      <c r="A231" t="s">
        <v>116</v>
      </c>
      <c r="B231">
        <v>1</v>
      </c>
      <c r="C231">
        <v>0.56748522185742445</v>
      </c>
      <c r="D231">
        <v>0.40909700098689777</v>
      </c>
      <c r="E231">
        <v>0.42639087341101994</v>
      </c>
      <c r="F231">
        <v>0.27541250271428919</v>
      </c>
      <c r="G231">
        <v>0.53352898324729359</v>
      </c>
      <c r="H231">
        <v>0.28203175682544335</v>
      </c>
      <c r="I231">
        <v>0.51364510245408845</v>
      </c>
      <c r="J231" t="s">
        <v>199</v>
      </c>
      <c r="K231" t="s">
        <v>206</v>
      </c>
      <c r="L231" t="s">
        <v>222</v>
      </c>
      <c r="M231" t="s">
        <v>225</v>
      </c>
    </row>
    <row r="232" spans="1:13" x14ac:dyDescent="0.25">
      <c r="A232" t="s">
        <v>289</v>
      </c>
      <c r="B232">
        <v>1</v>
      </c>
      <c r="C232">
        <v>0.5989698946848514</v>
      </c>
      <c r="D232">
        <v>0.43755422554430012</v>
      </c>
      <c r="E232">
        <v>0.86793278107849958</v>
      </c>
      <c r="F232">
        <v>0.25528926156499393</v>
      </c>
      <c r="G232">
        <v>1</v>
      </c>
      <c r="H232">
        <v>0.15480294955057777</v>
      </c>
      <c r="I232">
        <v>0.54248387998255421</v>
      </c>
      <c r="J232" t="s">
        <v>199</v>
      </c>
      <c r="K232" t="s">
        <v>207</v>
      </c>
      <c r="L232" t="s">
        <v>222</v>
      </c>
      <c r="M232" t="s">
        <v>225</v>
      </c>
    </row>
    <row r="233" spans="1:13" x14ac:dyDescent="0.25">
      <c r="A233" t="s">
        <v>384</v>
      </c>
      <c r="B233">
        <v>0.7123022201101461</v>
      </c>
      <c r="C233">
        <v>1</v>
      </c>
      <c r="D233">
        <v>0.94574109734088596</v>
      </c>
      <c r="E233">
        <v>1</v>
      </c>
      <c r="F233">
        <v>1</v>
      </c>
      <c r="G233">
        <v>1</v>
      </c>
      <c r="H233">
        <v>0.88557655102072719</v>
      </c>
      <c r="I233">
        <v>1</v>
      </c>
      <c r="J233" t="s">
        <v>199</v>
      </c>
      <c r="K233" t="s">
        <v>233</v>
      </c>
      <c r="L233" t="s">
        <v>222</v>
      </c>
      <c r="M233" t="s">
        <v>225</v>
      </c>
    </row>
    <row r="234" spans="1:13" x14ac:dyDescent="0.25">
      <c r="A234" t="s">
        <v>117</v>
      </c>
      <c r="J234" t="s">
        <v>199</v>
      </c>
      <c r="K234" t="s">
        <v>202</v>
      </c>
      <c r="L234" t="s">
        <v>223</v>
      </c>
      <c r="M234" t="s">
        <v>225</v>
      </c>
    </row>
    <row r="235" spans="1:13" x14ac:dyDescent="0.25">
      <c r="A235" t="s">
        <v>118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0.75249621929057686</v>
      </c>
      <c r="I235">
        <v>1</v>
      </c>
      <c r="J235" t="s">
        <v>199</v>
      </c>
      <c r="K235" t="s">
        <v>203</v>
      </c>
      <c r="L235" t="s">
        <v>223</v>
      </c>
      <c r="M235" t="s">
        <v>225</v>
      </c>
    </row>
    <row r="236" spans="1:13" x14ac:dyDescent="0.25">
      <c r="A236" t="s">
        <v>119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 t="s">
        <v>199</v>
      </c>
      <c r="K236" t="s">
        <v>204</v>
      </c>
      <c r="L236" t="s">
        <v>223</v>
      </c>
      <c r="M236" t="s">
        <v>225</v>
      </c>
    </row>
    <row r="237" spans="1:13" x14ac:dyDescent="0.25">
      <c r="A237" t="s">
        <v>385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 t="s">
        <v>199</v>
      </c>
      <c r="K237" t="s">
        <v>239</v>
      </c>
      <c r="L237" t="s">
        <v>223</v>
      </c>
      <c r="M237" t="s">
        <v>225</v>
      </c>
    </row>
    <row r="238" spans="1:13" x14ac:dyDescent="0.25">
      <c r="A238" t="s">
        <v>386</v>
      </c>
      <c r="B238">
        <v>1</v>
      </c>
      <c r="C238">
        <v>0.64056084163485583</v>
      </c>
      <c r="D238">
        <v>1</v>
      </c>
      <c r="E238">
        <v>0.49367098498135698</v>
      </c>
      <c r="F238">
        <v>0.38419929909687761</v>
      </c>
      <c r="G238">
        <v>6.0015277195944558E-2</v>
      </c>
      <c r="H238">
        <v>0.16357288990524715</v>
      </c>
      <c r="I238">
        <v>6.0871346557366673E-2</v>
      </c>
      <c r="J238" t="s">
        <v>199</v>
      </c>
      <c r="K238" t="s">
        <v>241</v>
      </c>
      <c r="L238" t="s">
        <v>223</v>
      </c>
      <c r="M238" t="s">
        <v>225</v>
      </c>
    </row>
    <row r="239" spans="1:13" x14ac:dyDescent="0.25">
      <c r="A239" t="s">
        <v>120</v>
      </c>
      <c r="B239">
        <v>1</v>
      </c>
      <c r="C239">
        <v>0.9629193885257481</v>
      </c>
      <c r="D239">
        <v>0.97543438160350959</v>
      </c>
      <c r="E239">
        <v>0.5211531962238829</v>
      </c>
      <c r="F239">
        <v>0.25484108658657312</v>
      </c>
      <c r="G239">
        <v>7.7798536022579051E-2</v>
      </c>
      <c r="H239">
        <v>0.16558013827014356</v>
      </c>
      <c r="I239">
        <v>5.7638061026508355E-2</v>
      </c>
      <c r="J239" t="s">
        <v>199</v>
      </c>
      <c r="K239" t="s">
        <v>206</v>
      </c>
      <c r="L239" t="s">
        <v>223</v>
      </c>
      <c r="M239" t="s">
        <v>225</v>
      </c>
    </row>
    <row r="240" spans="1:13" x14ac:dyDescent="0.25">
      <c r="A240" t="s">
        <v>290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 t="s">
        <v>199</v>
      </c>
      <c r="K240" t="s">
        <v>207</v>
      </c>
      <c r="L240" t="s">
        <v>223</v>
      </c>
      <c r="M240" t="s">
        <v>225</v>
      </c>
    </row>
    <row r="241" spans="1:13" x14ac:dyDescent="0.25">
      <c r="A241" t="s">
        <v>387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 t="s">
        <v>199</v>
      </c>
      <c r="K241" t="s">
        <v>233</v>
      </c>
      <c r="L241" t="s">
        <v>223</v>
      </c>
      <c r="M241" t="s">
        <v>225</v>
      </c>
    </row>
    <row r="242" spans="1:13" x14ac:dyDescent="0.25">
      <c r="A242" t="s">
        <v>121</v>
      </c>
      <c r="J242" t="s">
        <v>200</v>
      </c>
      <c r="K242" t="s">
        <v>202</v>
      </c>
      <c r="L242" t="s">
        <v>209</v>
      </c>
      <c r="M242" t="s">
        <v>225</v>
      </c>
    </row>
    <row r="243" spans="1:13" x14ac:dyDescent="0.25">
      <c r="A243" t="s">
        <v>122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 t="s">
        <v>200</v>
      </c>
      <c r="K243" t="s">
        <v>203</v>
      </c>
      <c r="L243" t="s">
        <v>209</v>
      </c>
      <c r="M243" t="s">
        <v>225</v>
      </c>
    </row>
    <row r="244" spans="1:13" x14ac:dyDescent="0.25">
      <c r="A244" t="s">
        <v>123</v>
      </c>
      <c r="B244">
        <v>0.37663547359973215</v>
      </c>
      <c r="C244">
        <v>0.23406616550655499</v>
      </c>
      <c r="D244">
        <v>3.938678836156044E-2</v>
      </c>
      <c r="E244">
        <v>1.5091241286366807E-2</v>
      </c>
      <c r="F244">
        <v>5.0112559602022875E-3</v>
      </c>
      <c r="G244">
        <v>5.6958677085214857E-3</v>
      </c>
      <c r="H244">
        <v>5.9926197971860214E-3</v>
      </c>
      <c r="I244">
        <v>5.5944902733593808E-3</v>
      </c>
      <c r="J244" t="s">
        <v>200</v>
      </c>
      <c r="K244" t="s">
        <v>204</v>
      </c>
      <c r="L244" t="s">
        <v>209</v>
      </c>
      <c r="M244" t="s">
        <v>225</v>
      </c>
    </row>
    <row r="245" spans="1:13" x14ac:dyDescent="0.25">
      <c r="A245" t="s">
        <v>388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0.42630528676345936</v>
      </c>
      <c r="I245">
        <v>0.14377632053048847</v>
      </c>
      <c r="J245" t="s">
        <v>200</v>
      </c>
      <c r="K245" t="s">
        <v>239</v>
      </c>
      <c r="L245" t="s">
        <v>209</v>
      </c>
      <c r="M245" t="s">
        <v>225</v>
      </c>
    </row>
    <row r="246" spans="1:13" x14ac:dyDescent="0.25">
      <c r="A246" t="s">
        <v>389</v>
      </c>
      <c r="B246">
        <v>1</v>
      </c>
      <c r="C246">
        <v>1</v>
      </c>
      <c r="D246">
        <v>1</v>
      </c>
      <c r="E246">
        <v>1</v>
      </c>
      <c r="F246">
        <v>0.32355969707216437</v>
      </c>
      <c r="G246">
        <v>3.9564577237415383E-2</v>
      </c>
      <c r="H246">
        <v>4.4011018415990102E-3</v>
      </c>
      <c r="I246">
        <v>7.5504451728683963E-4</v>
      </c>
      <c r="J246" t="s">
        <v>200</v>
      </c>
      <c r="K246" t="s">
        <v>241</v>
      </c>
      <c r="L246" t="s">
        <v>209</v>
      </c>
      <c r="M246" t="s">
        <v>225</v>
      </c>
    </row>
    <row r="247" spans="1:13" x14ac:dyDescent="0.25">
      <c r="A247" t="s">
        <v>124</v>
      </c>
      <c r="B247">
        <v>1</v>
      </c>
      <c r="C247">
        <v>1</v>
      </c>
      <c r="D247">
        <v>1</v>
      </c>
      <c r="E247">
        <v>1</v>
      </c>
      <c r="F247">
        <v>0.59273542362700526</v>
      </c>
      <c r="G247">
        <v>3.1205817190192574E-2</v>
      </c>
      <c r="H247">
        <v>2.5847592962823908E-3</v>
      </c>
      <c r="I247">
        <v>1.7033241192065951E-4</v>
      </c>
      <c r="J247" t="s">
        <v>200</v>
      </c>
      <c r="K247" t="s">
        <v>206</v>
      </c>
      <c r="L247" t="s">
        <v>209</v>
      </c>
      <c r="M247" t="s">
        <v>225</v>
      </c>
    </row>
    <row r="248" spans="1:13" x14ac:dyDescent="0.25">
      <c r="A248" t="s">
        <v>291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 t="s">
        <v>200</v>
      </c>
      <c r="K248" t="s">
        <v>207</v>
      </c>
      <c r="L248" t="s">
        <v>209</v>
      </c>
      <c r="M248" t="s">
        <v>225</v>
      </c>
    </row>
    <row r="249" spans="1:13" x14ac:dyDescent="0.25">
      <c r="A249" t="s">
        <v>390</v>
      </c>
      <c r="B249">
        <v>1</v>
      </c>
      <c r="C249">
        <v>1</v>
      </c>
      <c r="D249">
        <v>1</v>
      </c>
      <c r="E249">
        <v>0.55085194537514548</v>
      </c>
      <c r="F249">
        <v>0.31492538255450647</v>
      </c>
      <c r="G249">
        <v>0.14967845358268178</v>
      </c>
      <c r="H249">
        <v>5.1818303528480256E-2</v>
      </c>
      <c r="I249">
        <v>1.7920693406801295E-2</v>
      </c>
      <c r="J249" t="s">
        <v>200</v>
      </c>
      <c r="K249" t="s">
        <v>233</v>
      </c>
      <c r="L249" t="s">
        <v>209</v>
      </c>
      <c r="M249" t="s">
        <v>225</v>
      </c>
    </row>
    <row r="250" spans="1:13" x14ac:dyDescent="0.25">
      <c r="A250" t="s">
        <v>125</v>
      </c>
      <c r="J250" t="s">
        <v>200</v>
      </c>
      <c r="K250" t="s">
        <v>202</v>
      </c>
      <c r="L250" t="s">
        <v>210</v>
      </c>
      <c r="M250" t="s">
        <v>225</v>
      </c>
    </row>
    <row r="251" spans="1:13" x14ac:dyDescent="0.25">
      <c r="A251" t="s">
        <v>126</v>
      </c>
      <c r="B251">
        <v>0.11016897084661634</v>
      </c>
      <c r="C251">
        <v>0.57064962794645835</v>
      </c>
      <c r="D251">
        <v>0.91956778308294918</v>
      </c>
      <c r="E251">
        <v>1</v>
      </c>
      <c r="F251">
        <v>1</v>
      </c>
      <c r="G251">
        <v>1</v>
      </c>
      <c r="H251">
        <v>1</v>
      </c>
      <c r="I251">
        <v>1</v>
      </c>
      <c r="J251" t="s">
        <v>200</v>
      </c>
      <c r="K251" t="s">
        <v>203</v>
      </c>
      <c r="L251" t="s">
        <v>210</v>
      </c>
      <c r="M251" t="s">
        <v>225</v>
      </c>
    </row>
    <row r="252" spans="1:13" x14ac:dyDescent="0.25">
      <c r="A252" t="s">
        <v>127</v>
      </c>
      <c r="B252">
        <v>0.76224249442248815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 t="s">
        <v>200</v>
      </c>
      <c r="K252" t="s">
        <v>204</v>
      </c>
      <c r="L252" t="s">
        <v>210</v>
      </c>
      <c r="M252" t="s">
        <v>225</v>
      </c>
    </row>
    <row r="253" spans="1:13" x14ac:dyDescent="0.25">
      <c r="A253" t="s">
        <v>391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 t="s">
        <v>200</v>
      </c>
      <c r="K253" t="s">
        <v>239</v>
      </c>
      <c r="L253" t="s">
        <v>210</v>
      </c>
      <c r="M253" t="s">
        <v>225</v>
      </c>
    </row>
    <row r="254" spans="1:13" x14ac:dyDescent="0.25">
      <c r="A254" t="s">
        <v>392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 t="s">
        <v>200</v>
      </c>
      <c r="K254" t="s">
        <v>241</v>
      </c>
      <c r="L254" t="s">
        <v>210</v>
      </c>
      <c r="M254" t="s">
        <v>225</v>
      </c>
    </row>
    <row r="255" spans="1:13" x14ac:dyDescent="0.25">
      <c r="A255" t="s">
        <v>128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 t="s">
        <v>200</v>
      </c>
      <c r="K255" t="s">
        <v>206</v>
      </c>
      <c r="L255" t="s">
        <v>210</v>
      </c>
      <c r="M255" t="s">
        <v>225</v>
      </c>
    </row>
    <row r="256" spans="1:13" x14ac:dyDescent="0.25">
      <c r="A256" t="s">
        <v>292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 t="s">
        <v>200</v>
      </c>
      <c r="K256" t="s">
        <v>207</v>
      </c>
      <c r="L256" t="s">
        <v>210</v>
      </c>
      <c r="M256" t="s">
        <v>225</v>
      </c>
    </row>
    <row r="257" spans="1:13" x14ac:dyDescent="0.25">
      <c r="A257" t="s">
        <v>393</v>
      </c>
      <c r="B257">
        <v>5.7261001259822267E-2</v>
      </c>
      <c r="C257">
        <v>0.62709180172131918</v>
      </c>
      <c r="D257">
        <v>0.75326278938603086</v>
      </c>
      <c r="E257">
        <v>1</v>
      </c>
      <c r="F257">
        <v>1</v>
      </c>
      <c r="G257">
        <v>1</v>
      </c>
      <c r="H257">
        <v>1</v>
      </c>
      <c r="I257">
        <v>1</v>
      </c>
      <c r="J257" t="s">
        <v>200</v>
      </c>
      <c r="K257" t="s">
        <v>233</v>
      </c>
      <c r="L257" t="s">
        <v>210</v>
      </c>
      <c r="M257" t="s">
        <v>225</v>
      </c>
    </row>
    <row r="258" spans="1:13" x14ac:dyDescent="0.25">
      <c r="A258" t="s">
        <v>129</v>
      </c>
      <c r="J258" t="s">
        <v>200</v>
      </c>
      <c r="K258" t="s">
        <v>202</v>
      </c>
      <c r="L258" t="s">
        <v>211</v>
      </c>
      <c r="M258" t="s">
        <v>225</v>
      </c>
    </row>
    <row r="259" spans="1:13" x14ac:dyDescent="0.25">
      <c r="A259" t="s">
        <v>130</v>
      </c>
      <c r="B259">
        <v>0.54600563122715551</v>
      </c>
      <c r="C259">
        <v>0.74482613570444212</v>
      </c>
      <c r="D259">
        <v>0.24619455933038775</v>
      </c>
      <c r="E259">
        <v>0.27104981973823511</v>
      </c>
      <c r="F259">
        <v>0.33400314106874163</v>
      </c>
      <c r="G259">
        <v>0.37188812093164936</v>
      </c>
      <c r="H259">
        <v>0.31595458991094594</v>
      </c>
      <c r="I259">
        <v>0.43605203541275017</v>
      </c>
      <c r="J259" t="s">
        <v>200</v>
      </c>
      <c r="K259" t="s">
        <v>203</v>
      </c>
      <c r="L259" t="s">
        <v>211</v>
      </c>
      <c r="M259" t="s">
        <v>225</v>
      </c>
    </row>
    <row r="260" spans="1:13" x14ac:dyDescent="0.25">
      <c r="A260" t="s">
        <v>131</v>
      </c>
      <c r="B260">
        <v>0.9240833217738309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 t="s">
        <v>200</v>
      </c>
      <c r="K260" t="s">
        <v>204</v>
      </c>
      <c r="L260" t="s">
        <v>211</v>
      </c>
      <c r="M260" t="s">
        <v>225</v>
      </c>
    </row>
    <row r="261" spans="1:13" x14ac:dyDescent="0.25">
      <c r="A261" t="s">
        <v>394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 t="s">
        <v>200</v>
      </c>
      <c r="K261" t="s">
        <v>239</v>
      </c>
      <c r="L261" t="s">
        <v>211</v>
      </c>
      <c r="M261" t="s">
        <v>225</v>
      </c>
    </row>
    <row r="262" spans="1:13" x14ac:dyDescent="0.25">
      <c r="A262" t="s">
        <v>395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 t="s">
        <v>200</v>
      </c>
      <c r="K262" t="s">
        <v>241</v>
      </c>
      <c r="L262" t="s">
        <v>211</v>
      </c>
      <c r="M262" t="s">
        <v>225</v>
      </c>
    </row>
    <row r="263" spans="1:13" x14ac:dyDescent="0.25">
      <c r="A263" t="s">
        <v>132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0.32381707951507954</v>
      </c>
      <c r="J263" t="s">
        <v>200</v>
      </c>
      <c r="K263" t="s">
        <v>206</v>
      </c>
      <c r="L263" t="s">
        <v>211</v>
      </c>
      <c r="M263" t="s">
        <v>225</v>
      </c>
    </row>
    <row r="264" spans="1:13" x14ac:dyDescent="0.25">
      <c r="A264" t="s">
        <v>293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 t="s">
        <v>200</v>
      </c>
      <c r="K264" t="s">
        <v>207</v>
      </c>
      <c r="L264" t="s">
        <v>211</v>
      </c>
      <c r="M264" t="s">
        <v>225</v>
      </c>
    </row>
    <row r="265" spans="1:13" x14ac:dyDescent="0.25">
      <c r="A265" t="s">
        <v>396</v>
      </c>
      <c r="B265">
        <v>0.77559742558452216</v>
      </c>
      <c r="C265">
        <v>0.83796523204164353</v>
      </c>
      <c r="D265">
        <v>0.9087437020207052</v>
      </c>
      <c r="E265">
        <v>0.81302390710605321</v>
      </c>
      <c r="F265">
        <v>1</v>
      </c>
      <c r="G265">
        <v>1</v>
      </c>
      <c r="H265">
        <v>1</v>
      </c>
      <c r="I265">
        <v>1</v>
      </c>
      <c r="J265" t="s">
        <v>200</v>
      </c>
      <c r="K265" t="s">
        <v>233</v>
      </c>
      <c r="L265" t="s">
        <v>211</v>
      </c>
      <c r="M265" t="s">
        <v>225</v>
      </c>
    </row>
    <row r="266" spans="1:13" x14ac:dyDescent="0.25">
      <c r="A266" t="s">
        <v>133</v>
      </c>
      <c r="J266" t="s">
        <v>200</v>
      </c>
      <c r="K266" t="s">
        <v>202</v>
      </c>
      <c r="L266" t="s">
        <v>212</v>
      </c>
      <c r="M266" t="s">
        <v>225</v>
      </c>
    </row>
    <row r="267" spans="1:13" x14ac:dyDescent="0.25">
      <c r="A267" t="s">
        <v>134</v>
      </c>
      <c r="B267">
        <v>0.42808612138159274</v>
      </c>
      <c r="C267">
        <v>0.88351972725502503</v>
      </c>
      <c r="D267">
        <v>0.68548008539731509</v>
      </c>
      <c r="E267">
        <v>0.61819973142696805</v>
      </c>
      <c r="F267">
        <v>0.79632206647100423</v>
      </c>
      <c r="G267">
        <v>0.87284222484536889</v>
      </c>
      <c r="H267">
        <v>1</v>
      </c>
      <c r="I267">
        <v>1</v>
      </c>
      <c r="J267" t="s">
        <v>200</v>
      </c>
      <c r="K267" t="s">
        <v>203</v>
      </c>
      <c r="L267" t="s">
        <v>212</v>
      </c>
      <c r="M267" t="s">
        <v>225</v>
      </c>
    </row>
    <row r="268" spans="1:13" x14ac:dyDescent="0.25">
      <c r="A268" t="s">
        <v>135</v>
      </c>
      <c r="B268">
        <v>0.73473343880543007</v>
      </c>
      <c r="C268">
        <v>1</v>
      </c>
      <c r="D268">
        <v>0.36621520893653819</v>
      </c>
      <c r="E268">
        <v>2.2690757237527656E-2</v>
      </c>
      <c r="F268">
        <v>0.12348001257441799</v>
      </c>
      <c r="G268">
        <v>0.17212946152462583</v>
      </c>
      <c r="H268">
        <v>0.20786595232596777</v>
      </c>
      <c r="I268">
        <v>0.2789269177803399</v>
      </c>
      <c r="J268" t="s">
        <v>200</v>
      </c>
      <c r="K268" t="s">
        <v>204</v>
      </c>
      <c r="L268" t="s">
        <v>212</v>
      </c>
      <c r="M268" t="s">
        <v>225</v>
      </c>
    </row>
    <row r="269" spans="1:13" x14ac:dyDescent="0.25">
      <c r="A269" t="s">
        <v>397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 t="s">
        <v>200</v>
      </c>
      <c r="K269" t="s">
        <v>239</v>
      </c>
      <c r="L269" t="s">
        <v>212</v>
      </c>
      <c r="M269" t="s">
        <v>225</v>
      </c>
    </row>
    <row r="270" spans="1:13" x14ac:dyDescent="0.25">
      <c r="A270" t="s">
        <v>398</v>
      </c>
      <c r="B270">
        <v>1</v>
      </c>
      <c r="C270">
        <v>1</v>
      </c>
      <c r="D270">
        <v>1</v>
      </c>
      <c r="E270">
        <v>1</v>
      </c>
      <c r="F270">
        <v>0.50719374794370675</v>
      </c>
      <c r="G270">
        <v>0.10324243282084768</v>
      </c>
      <c r="H270">
        <v>1.0014877947124511E-2</v>
      </c>
      <c r="I270">
        <v>1.3563363882273915E-3</v>
      </c>
      <c r="J270" t="s">
        <v>200</v>
      </c>
      <c r="K270" t="s">
        <v>241</v>
      </c>
      <c r="L270" t="s">
        <v>212</v>
      </c>
      <c r="M270" t="s">
        <v>225</v>
      </c>
    </row>
    <row r="271" spans="1:13" x14ac:dyDescent="0.25">
      <c r="A271" t="s">
        <v>136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0.84093047624099238</v>
      </c>
      <c r="J271" t="s">
        <v>200</v>
      </c>
      <c r="K271" t="s">
        <v>206</v>
      </c>
      <c r="L271" t="s">
        <v>212</v>
      </c>
      <c r="M271" t="s">
        <v>225</v>
      </c>
    </row>
    <row r="272" spans="1:13" x14ac:dyDescent="0.25">
      <c r="A272" t="s">
        <v>294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 t="s">
        <v>200</v>
      </c>
      <c r="K272" t="s">
        <v>207</v>
      </c>
      <c r="L272" t="s">
        <v>212</v>
      </c>
      <c r="M272" t="s">
        <v>225</v>
      </c>
    </row>
    <row r="273" spans="1:13" x14ac:dyDescent="0.25">
      <c r="A273" t="s">
        <v>399</v>
      </c>
      <c r="B273">
        <v>1.0594780269697499E-2</v>
      </c>
      <c r="C273">
        <v>9.0147626542614198E-2</v>
      </c>
      <c r="D273">
        <v>0.1981034658672392</v>
      </c>
      <c r="E273">
        <v>4.6357886068879126E-2</v>
      </c>
      <c r="F273">
        <v>4.9308767610314372E-2</v>
      </c>
      <c r="G273">
        <v>6.0950415544760661E-2</v>
      </c>
      <c r="H273">
        <v>0.31853783741505182</v>
      </c>
      <c r="I273">
        <v>0.33765536086871301</v>
      </c>
      <c r="J273" t="s">
        <v>200</v>
      </c>
      <c r="K273" t="s">
        <v>233</v>
      </c>
      <c r="L273" t="s">
        <v>212</v>
      </c>
      <c r="M273" t="s">
        <v>225</v>
      </c>
    </row>
    <row r="274" spans="1:13" x14ac:dyDescent="0.25">
      <c r="A274" t="s">
        <v>137</v>
      </c>
      <c r="J274" t="s">
        <v>200</v>
      </c>
      <c r="K274" t="s">
        <v>202</v>
      </c>
      <c r="L274" t="s">
        <v>213</v>
      </c>
      <c r="M274" t="s">
        <v>225</v>
      </c>
    </row>
    <row r="275" spans="1:13" x14ac:dyDescent="0.25">
      <c r="A275" t="s">
        <v>138</v>
      </c>
      <c r="B275">
        <v>0.8142060223746419</v>
      </c>
      <c r="C275">
        <v>1</v>
      </c>
      <c r="D275">
        <v>1</v>
      </c>
      <c r="E275">
        <v>1</v>
      </c>
      <c r="F275">
        <v>0.38814642367416252</v>
      </c>
      <c r="G275">
        <v>0.20578430694875566</v>
      </c>
      <c r="H275">
        <v>0.1395814610656132</v>
      </c>
      <c r="I275">
        <v>7.2327833678601086E-2</v>
      </c>
      <c r="J275" t="s">
        <v>200</v>
      </c>
      <c r="K275" t="s">
        <v>203</v>
      </c>
      <c r="L275" t="s">
        <v>213</v>
      </c>
      <c r="M275" t="s">
        <v>225</v>
      </c>
    </row>
    <row r="276" spans="1:13" x14ac:dyDescent="0.25">
      <c r="A276" t="s">
        <v>139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0.73459604982959226</v>
      </c>
      <c r="H276">
        <v>0.44300099453209396</v>
      </c>
      <c r="I276">
        <v>0.34977075664628798</v>
      </c>
      <c r="J276" t="s">
        <v>200</v>
      </c>
      <c r="K276" t="s">
        <v>204</v>
      </c>
      <c r="L276" t="s">
        <v>213</v>
      </c>
      <c r="M276" t="s">
        <v>225</v>
      </c>
    </row>
    <row r="277" spans="1:13" x14ac:dyDescent="0.25">
      <c r="A277" t="s">
        <v>400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0.86954756365899666</v>
      </c>
      <c r="I277">
        <v>0.42511226716462419</v>
      </c>
      <c r="J277" t="s">
        <v>200</v>
      </c>
      <c r="K277" t="s">
        <v>239</v>
      </c>
      <c r="L277" t="s">
        <v>213</v>
      </c>
      <c r="M277" t="s">
        <v>225</v>
      </c>
    </row>
    <row r="278" spans="1:13" x14ac:dyDescent="0.25">
      <c r="A278" t="s">
        <v>401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0.26125223259618474</v>
      </c>
      <c r="H278">
        <v>1.8260771695241478E-2</v>
      </c>
      <c r="I278">
        <v>2.6675589330161752E-2</v>
      </c>
      <c r="J278" t="s">
        <v>200</v>
      </c>
      <c r="K278" t="s">
        <v>241</v>
      </c>
      <c r="L278" t="s">
        <v>213</v>
      </c>
      <c r="M278" t="s">
        <v>225</v>
      </c>
    </row>
    <row r="279" spans="1:13" x14ac:dyDescent="0.25">
      <c r="A279" t="s">
        <v>140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0.47515795436180358</v>
      </c>
      <c r="H279">
        <v>4.5282883365180833E-2</v>
      </c>
      <c r="I279">
        <v>2.3404038259893442E-2</v>
      </c>
      <c r="J279" t="s">
        <v>200</v>
      </c>
      <c r="K279" t="s">
        <v>206</v>
      </c>
      <c r="L279" t="s">
        <v>213</v>
      </c>
      <c r="M279" t="s">
        <v>225</v>
      </c>
    </row>
    <row r="280" spans="1:13" x14ac:dyDescent="0.25">
      <c r="A280" t="s">
        <v>295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 t="s">
        <v>200</v>
      </c>
      <c r="K280" t="s">
        <v>207</v>
      </c>
      <c r="L280" t="s">
        <v>213</v>
      </c>
      <c r="M280" t="s">
        <v>225</v>
      </c>
    </row>
    <row r="281" spans="1:13" x14ac:dyDescent="0.25">
      <c r="A281" t="s">
        <v>402</v>
      </c>
      <c r="B281">
        <v>0.32336144020882451</v>
      </c>
      <c r="C281">
        <v>0.25501616187555376</v>
      </c>
      <c r="D281">
        <v>0.19660023226108422</v>
      </c>
      <c r="E281">
        <v>0.42686203511593407</v>
      </c>
      <c r="F281">
        <v>0.48529391751930806</v>
      </c>
      <c r="G281">
        <v>0.33372752719133109</v>
      </c>
      <c r="H281">
        <v>0.30960330826996513</v>
      </c>
      <c r="I281">
        <v>0.23575314682849763</v>
      </c>
      <c r="J281" t="s">
        <v>200</v>
      </c>
      <c r="K281" t="s">
        <v>233</v>
      </c>
      <c r="L281" t="s">
        <v>213</v>
      </c>
      <c r="M281" t="s">
        <v>225</v>
      </c>
    </row>
    <row r="282" spans="1:13" x14ac:dyDescent="0.25">
      <c r="A282" t="s">
        <v>141</v>
      </c>
      <c r="J282" t="s">
        <v>200</v>
      </c>
      <c r="K282" t="s">
        <v>202</v>
      </c>
      <c r="L282" t="s">
        <v>214</v>
      </c>
      <c r="M282" t="s">
        <v>225</v>
      </c>
    </row>
    <row r="283" spans="1:13" x14ac:dyDescent="0.25">
      <c r="A283" t="s">
        <v>142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0.59143644466111511</v>
      </c>
      <c r="H283">
        <v>0.40217292296519092</v>
      </c>
      <c r="I283">
        <v>0.34857542318590579</v>
      </c>
      <c r="J283" t="s">
        <v>200</v>
      </c>
      <c r="K283" t="s">
        <v>203</v>
      </c>
      <c r="L283" t="s">
        <v>214</v>
      </c>
      <c r="M283" t="s">
        <v>225</v>
      </c>
    </row>
    <row r="284" spans="1:13" x14ac:dyDescent="0.25">
      <c r="A284" t="s">
        <v>143</v>
      </c>
      <c r="B284">
        <v>0.23506428756878919</v>
      </c>
      <c r="C284">
        <v>5.3702950719278575E-3</v>
      </c>
      <c r="D284">
        <v>9.9789518342541655E-2</v>
      </c>
      <c r="E284">
        <v>6.3279087083145641E-2</v>
      </c>
      <c r="F284">
        <v>0.21928460625255355</v>
      </c>
      <c r="G284">
        <v>0.14812446438557109</v>
      </c>
      <c r="H284">
        <v>0.25586811734620185</v>
      </c>
      <c r="I284">
        <v>0.13591866220198678</v>
      </c>
      <c r="J284" t="s">
        <v>200</v>
      </c>
      <c r="K284" t="s">
        <v>204</v>
      </c>
      <c r="L284" t="s">
        <v>214</v>
      </c>
      <c r="M284" t="s">
        <v>225</v>
      </c>
    </row>
    <row r="285" spans="1:13" x14ac:dyDescent="0.25">
      <c r="A285" t="s">
        <v>403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 t="s">
        <v>200</v>
      </c>
      <c r="K285" t="s">
        <v>239</v>
      </c>
      <c r="L285" t="s">
        <v>214</v>
      </c>
      <c r="M285" t="s">
        <v>225</v>
      </c>
    </row>
    <row r="286" spans="1:13" x14ac:dyDescent="0.25">
      <c r="A286" t="s">
        <v>404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0.44305172828490269</v>
      </c>
      <c r="H286">
        <v>0.23952755724814501</v>
      </c>
      <c r="I286">
        <v>0.1567962394826678</v>
      </c>
      <c r="J286" t="s">
        <v>200</v>
      </c>
      <c r="K286" t="s">
        <v>241</v>
      </c>
      <c r="L286" t="s">
        <v>214</v>
      </c>
      <c r="M286" t="s">
        <v>225</v>
      </c>
    </row>
    <row r="287" spans="1:13" x14ac:dyDescent="0.25">
      <c r="A287" t="s">
        <v>144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0.81776613819401778</v>
      </c>
      <c r="H287">
        <v>0.31245573025562978</v>
      </c>
      <c r="I287">
        <v>0.11161598408645479</v>
      </c>
      <c r="J287" t="s">
        <v>200</v>
      </c>
      <c r="K287" t="s">
        <v>206</v>
      </c>
      <c r="L287" t="s">
        <v>214</v>
      </c>
      <c r="M287" t="s">
        <v>225</v>
      </c>
    </row>
    <row r="288" spans="1:13" x14ac:dyDescent="0.25">
      <c r="A288" t="s">
        <v>296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 t="s">
        <v>200</v>
      </c>
      <c r="K288" t="s">
        <v>207</v>
      </c>
      <c r="L288" t="s">
        <v>214</v>
      </c>
      <c r="M288" t="s">
        <v>225</v>
      </c>
    </row>
    <row r="289" spans="1:13" x14ac:dyDescent="0.25">
      <c r="A289" t="s">
        <v>405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 t="s">
        <v>200</v>
      </c>
      <c r="K289" t="s">
        <v>233</v>
      </c>
      <c r="L289" t="s">
        <v>214</v>
      </c>
      <c r="M289" t="s">
        <v>225</v>
      </c>
    </row>
    <row r="290" spans="1:13" x14ac:dyDescent="0.25">
      <c r="A290" t="s">
        <v>145</v>
      </c>
      <c r="J290" t="s">
        <v>200</v>
      </c>
      <c r="K290" t="s">
        <v>202</v>
      </c>
      <c r="L290" t="s">
        <v>215</v>
      </c>
      <c r="M290" t="s">
        <v>225</v>
      </c>
    </row>
    <row r="291" spans="1:13" x14ac:dyDescent="0.25">
      <c r="A291" t="s">
        <v>146</v>
      </c>
      <c r="B291">
        <v>0.14568843335126005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 t="s">
        <v>200</v>
      </c>
      <c r="K291" t="s">
        <v>203</v>
      </c>
      <c r="L291" t="s">
        <v>215</v>
      </c>
      <c r="M291" t="s">
        <v>225</v>
      </c>
    </row>
    <row r="292" spans="1:13" x14ac:dyDescent="0.25">
      <c r="A292" t="s">
        <v>147</v>
      </c>
      <c r="B292">
        <v>1</v>
      </c>
      <c r="C292">
        <v>0.78406947125267235</v>
      </c>
      <c r="D292">
        <v>0.95467075005484903</v>
      </c>
      <c r="E292">
        <v>0.53265156190799434</v>
      </c>
      <c r="F292">
        <v>0.69034603311084908</v>
      </c>
      <c r="G292">
        <v>1</v>
      </c>
      <c r="H292">
        <v>1</v>
      </c>
      <c r="I292">
        <v>1</v>
      </c>
      <c r="J292" t="s">
        <v>200</v>
      </c>
      <c r="K292" t="s">
        <v>204</v>
      </c>
      <c r="L292" t="s">
        <v>215</v>
      </c>
      <c r="M292" t="s">
        <v>225</v>
      </c>
    </row>
    <row r="293" spans="1:13" x14ac:dyDescent="0.25">
      <c r="A293" t="s">
        <v>406</v>
      </c>
      <c r="B293">
        <v>1</v>
      </c>
      <c r="C293">
        <v>0.68135926226926391</v>
      </c>
      <c r="D293">
        <v>1</v>
      </c>
      <c r="E293">
        <v>0.74559514398760562</v>
      </c>
      <c r="F293">
        <v>0.22719948416544392</v>
      </c>
      <c r="G293">
        <v>0.97518043576767299</v>
      </c>
      <c r="H293">
        <v>0.31804547573727082</v>
      </c>
      <c r="I293">
        <v>2.4112758442650206E-2</v>
      </c>
      <c r="J293" t="s">
        <v>200</v>
      </c>
      <c r="K293" t="s">
        <v>239</v>
      </c>
      <c r="L293" t="s">
        <v>215</v>
      </c>
      <c r="M293" t="s">
        <v>225</v>
      </c>
    </row>
    <row r="294" spans="1:13" x14ac:dyDescent="0.25">
      <c r="A294" t="s">
        <v>407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 t="s">
        <v>200</v>
      </c>
      <c r="K294" t="s">
        <v>241</v>
      </c>
      <c r="L294" t="s">
        <v>215</v>
      </c>
      <c r="M294" t="s">
        <v>225</v>
      </c>
    </row>
    <row r="295" spans="1:13" x14ac:dyDescent="0.25">
      <c r="A295" t="s">
        <v>148</v>
      </c>
      <c r="B295">
        <v>0.98271245755686665</v>
      </c>
      <c r="C295">
        <v>1</v>
      </c>
      <c r="D295">
        <v>1</v>
      </c>
      <c r="E295">
        <v>0.15240622157102046</v>
      </c>
      <c r="F295">
        <v>0.51078841115438811</v>
      </c>
      <c r="G295">
        <v>1</v>
      </c>
      <c r="H295">
        <v>0.21150454554005677</v>
      </c>
      <c r="I295">
        <v>6.8317313636972118E-2</v>
      </c>
      <c r="J295" t="s">
        <v>200</v>
      </c>
      <c r="K295" t="s">
        <v>206</v>
      </c>
      <c r="L295" t="s">
        <v>215</v>
      </c>
      <c r="M295" t="s">
        <v>225</v>
      </c>
    </row>
    <row r="296" spans="1:13" x14ac:dyDescent="0.25">
      <c r="A296" t="s">
        <v>297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 t="s">
        <v>200</v>
      </c>
      <c r="K296" t="s">
        <v>207</v>
      </c>
      <c r="L296" t="s">
        <v>215</v>
      </c>
      <c r="M296" t="s">
        <v>225</v>
      </c>
    </row>
    <row r="297" spans="1:13" x14ac:dyDescent="0.25">
      <c r="A297" t="s">
        <v>408</v>
      </c>
      <c r="B297">
        <v>0.55633375423090881</v>
      </c>
      <c r="C297">
        <v>0.26398318970841528</v>
      </c>
      <c r="D297">
        <v>0.16469381366895863</v>
      </c>
      <c r="E297">
        <v>1</v>
      </c>
      <c r="F297">
        <v>0.82371228077533942</v>
      </c>
      <c r="G297">
        <v>1</v>
      </c>
      <c r="H297">
        <v>1</v>
      </c>
      <c r="I297">
        <v>1</v>
      </c>
      <c r="J297" t="s">
        <v>200</v>
      </c>
      <c r="K297" t="s">
        <v>233</v>
      </c>
      <c r="L297" t="s">
        <v>215</v>
      </c>
      <c r="M297" t="s">
        <v>225</v>
      </c>
    </row>
    <row r="298" spans="1:13" x14ac:dyDescent="0.25">
      <c r="A298" t="s">
        <v>149</v>
      </c>
      <c r="J298" t="s">
        <v>200</v>
      </c>
      <c r="K298" t="s">
        <v>202</v>
      </c>
      <c r="L298" t="s">
        <v>216</v>
      </c>
      <c r="M298" t="s">
        <v>225</v>
      </c>
    </row>
    <row r="299" spans="1:13" x14ac:dyDescent="0.25">
      <c r="A299" t="s">
        <v>150</v>
      </c>
      <c r="B299">
        <v>0.14517822115758522</v>
      </c>
      <c r="C299">
        <v>0.44441746073204813</v>
      </c>
      <c r="D299">
        <v>0.80448458990435978</v>
      </c>
      <c r="E299">
        <v>1</v>
      </c>
      <c r="F299">
        <v>1</v>
      </c>
      <c r="G299">
        <v>1</v>
      </c>
      <c r="H299">
        <v>1</v>
      </c>
      <c r="I299">
        <v>1</v>
      </c>
      <c r="J299" t="s">
        <v>200</v>
      </c>
      <c r="K299" t="s">
        <v>203</v>
      </c>
      <c r="L299" t="s">
        <v>216</v>
      </c>
      <c r="M299" t="s">
        <v>225</v>
      </c>
    </row>
    <row r="300" spans="1:13" x14ac:dyDescent="0.25">
      <c r="A300" t="s">
        <v>151</v>
      </c>
      <c r="B300">
        <v>0.66199541764230219</v>
      </c>
      <c r="C300">
        <v>0.77284236887914659</v>
      </c>
      <c r="D300">
        <v>0.99185125726864976</v>
      </c>
      <c r="E300">
        <v>1</v>
      </c>
      <c r="F300">
        <v>0.6042749695769869</v>
      </c>
      <c r="G300">
        <v>0.71863435023955713</v>
      </c>
      <c r="H300">
        <v>1</v>
      </c>
      <c r="I300">
        <v>1</v>
      </c>
      <c r="J300" t="s">
        <v>200</v>
      </c>
      <c r="K300" t="s">
        <v>204</v>
      </c>
      <c r="L300" t="s">
        <v>216</v>
      </c>
      <c r="M300" t="s">
        <v>225</v>
      </c>
    </row>
    <row r="301" spans="1:13" x14ac:dyDescent="0.25">
      <c r="A301" t="s">
        <v>409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0.92123031036225478</v>
      </c>
      <c r="J301" t="s">
        <v>200</v>
      </c>
      <c r="K301" t="s">
        <v>239</v>
      </c>
      <c r="L301" t="s">
        <v>216</v>
      </c>
      <c r="M301" t="s">
        <v>225</v>
      </c>
    </row>
    <row r="302" spans="1:13" x14ac:dyDescent="0.25">
      <c r="A302" t="s">
        <v>410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 t="s">
        <v>200</v>
      </c>
      <c r="K302" t="s">
        <v>241</v>
      </c>
      <c r="L302" t="s">
        <v>216</v>
      </c>
      <c r="M302" t="s">
        <v>225</v>
      </c>
    </row>
    <row r="303" spans="1:13" x14ac:dyDescent="0.25">
      <c r="A303" t="s">
        <v>152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 t="s">
        <v>200</v>
      </c>
      <c r="K303" t="s">
        <v>206</v>
      </c>
      <c r="L303" t="s">
        <v>216</v>
      </c>
      <c r="M303" t="s">
        <v>225</v>
      </c>
    </row>
    <row r="304" spans="1:13" x14ac:dyDescent="0.25">
      <c r="A304" t="s">
        <v>153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 t="s">
        <v>200</v>
      </c>
      <c r="K304" t="s">
        <v>207</v>
      </c>
      <c r="L304" t="s">
        <v>216</v>
      </c>
      <c r="M304" t="s">
        <v>225</v>
      </c>
    </row>
    <row r="305" spans="1:13" x14ac:dyDescent="0.25">
      <c r="A305" t="s">
        <v>411</v>
      </c>
      <c r="B305">
        <v>0.32277555174460271</v>
      </c>
      <c r="C305">
        <v>0.33005036624269252</v>
      </c>
      <c r="D305">
        <v>0.12193146396665798</v>
      </c>
      <c r="E305">
        <v>0.40856573812339558</v>
      </c>
      <c r="F305">
        <v>0.12286422839906067</v>
      </c>
      <c r="G305">
        <v>3.2204181926957121E-2</v>
      </c>
      <c r="H305">
        <v>0.89604879332554788</v>
      </c>
      <c r="I305">
        <v>0.4358472114132339</v>
      </c>
      <c r="J305" t="s">
        <v>200</v>
      </c>
      <c r="K305" t="s">
        <v>233</v>
      </c>
      <c r="L305" t="s">
        <v>216</v>
      </c>
      <c r="M305" t="s">
        <v>225</v>
      </c>
    </row>
    <row r="306" spans="1:13" x14ac:dyDescent="0.25">
      <c r="A306" t="s">
        <v>154</v>
      </c>
      <c r="J306" t="s">
        <v>200</v>
      </c>
      <c r="K306" t="s">
        <v>202</v>
      </c>
      <c r="L306" t="s">
        <v>217</v>
      </c>
      <c r="M306" t="s">
        <v>225</v>
      </c>
    </row>
    <row r="307" spans="1:13" x14ac:dyDescent="0.25">
      <c r="A307" t="s">
        <v>155</v>
      </c>
      <c r="B307">
        <v>0.17308956063826453</v>
      </c>
      <c r="C307">
        <v>0.22186514394846929</v>
      </c>
      <c r="D307">
        <v>0.77301546581162284</v>
      </c>
      <c r="E307">
        <v>0.91482440868038406</v>
      </c>
      <c r="F307">
        <v>1</v>
      </c>
      <c r="G307">
        <v>1</v>
      </c>
      <c r="H307">
        <v>0.78099484622689475</v>
      </c>
      <c r="I307">
        <v>0.71522588388889474</v>
      </c>
      <c r="J307" t="s">
        <v>200</v>
      </c>
      <c r="K307" t="s">
        <v>203</v>
      </c>
      <c r="L307" t="s">
        <v>217</v>
      </c>
      <c r="M307" t="s">
        <v>225</v>
      </c>
    </row>
    <row r="308" spans="1:13" x14ac:dyDescent="0.25">
      <c r="A308" t="s">
        <v>156</v>
      </c>
      <c r="B308">
        <v>7.3115779120474123E-2</v>
      </c>
      <c r="C308">
        <v>3.4363192783193807E-3</v>
      </c>
      <c r="D308">
        <v>2.100857784853245E-2</v>
      </c>
      <c r="E308">
        <v>5.5354950166850422E-2</v>
      </c>
      <c r="F308">
        <v>3.4565121401996461E-2</v>
      </c>
      <c r="G308">
        <v>3.1494998956854064E-2</v>
      </c>
      <c r="H308">
        <v>7.6008863532427324E-4</v>
      </c>
      <c r="I308">
        <v>1.8602827726232833E-3</v>
      </c>
      <c r="J308" t="s">
        <v>200</v>
      </c>
      <c r="K308" t="s">
        <v>204</v>
      </c>
      <c r="L308" t="s">
        <v>217</v>
      </c>
      <c r="M308" t="s">
        <v>225</v>
      </c>
    </row>
    <row r="309" spans="1:13" x14ac:dyDescent="0.25">
      <c r="A309" t="s">
        <v>412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0.71585063109567248</v>
      </c>
      <c r="J309" t="s">
        <v>200</v>
      </c>
      <c r="K309" t="s">
        <v>239</v>
      </c>
      <c r="L309" t="s">
        <v>217</v>
      </c>
      <c r="M309" t="s">
        <v>225</v>
      </c>
    </row>
    <row r="310" spans="1:13" x14ac:dyDescent="0.25">
      <c r="A310" t="s">
        <v>413</v>
      </c>
      <c r="B310">
        <v>1</v>
      </c>
      <c r="C310">
        <v>1</v>
      </c>
      <c r="D310">
        <v>1</v>
      </c>
      <c r="E310">
        <v>1</v>
      </c>
      <c r="F310">
        <v>0.57322725256924412</v>
      </c>
      <c r="G310">
        <v>0.27631949734780159</v>
      </c>
      <c r="H310">
        <v>4.4422612525375452E-2</v>
      </c>
      <c r="I310">
        <v>3.0269052285724532E-2</v>
      </c>
      <c r="J310" t="s">
        <v>200</v>
      </c>
      <c r="K310" t="s">
        <v>241</v>
      </c>
      <c r="L310" t="s">
        <v>217</v>
      </c>
      <c r="M310" t="s">
        <v>225</v>
      </c>
    </row>
    <row r="311" spans="1:13" x14ac:dyDescent="0.25">
      <c r="A311" t="s">
        <v>157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0.79023002645726348</v>
      </c>
      <c r="I311">
        <v>0.44517670395445252</v>
      </c>
      <c r="J311" t="s">
        <v>200</v>
      </c>
      <c r="K311" t="s">
        <v>206</v>
      </c>
      <c r="L311" t="s">
        <v>217</v>
      </c>
      <c r="M311" t="s">
        <v>225</v>
      </c>
    </row>
    <row r="312" spans="1:13" x14ac:dyDescent="0.25">
      <c r="A312" t="s">
        <v>158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 t="s">
        <v>200</v>
      </c>
      <c r="K312" t="s">
        <v>207</v>
      </c>
      <c r="L312" t="s">
        <v>217</v>
      </c>
      <c r="M312" t="s">
        <v>225</v>
      </c>
    </row>
    <row r="313" spans="1:13" x14ac:dyDescent="0.25">
      <c r="A313" t="s">
        <v>414</v>
      </c>
      <c r="B313">
        <v>1.5622723392656503E-2</v>
      </c>
      <c r="C313">
        <v>2.7378942858692357E-2</v>
      </c>
      <c r="D313">
        <v>4.810674328477256E-2</v>
      </c>
      <c r="E313">
        <v>7.4196020784525807E-2</v>
      </c>
      <c r="F313">
        <v>0.11133904669240335</v>
      </c>
      <c r="G313">
        <v>0.2971573425247595</v>
      </c>
      <c r="H313">
        <v>9.07860113758443E-2</v>
      </c>
      <c r="I313">
        <v>6.1678465539257495E-2</v>
      </c>
      <c r="J313" t="s">
        <v>200</v>
      </c>
      <c r="K313" t="s">
        <v>233</v>
      </c>
      <c r="L313" t="s">
        <v>217</v>
      </c>
      <c r="M313" t="s">
        <v>225</v>
      </c>
    </row>
    <row r="314" spans="1:13" x14ac:dyDescent="0.25">
      <c r="A314" t="s">
        <v>159</v>
      </c>
      <c r="J314" t="s">
        <v>200</v>
      </c>
      <c r="K314" t="s">
        <v>202</v>
      </c>
      <c r="L314" t="s">
        <v>218</v>
      </c>
      <c r="M314" t="s">
        <v>225</v>
      </c>
    </row>
    <row r="315" spans="1:13" x14ac:dyDescent="0.25">
      <c r="A315" t="s">
        <v>160</v>
      </c>
      <c r="B315">
        <v>0.15084506576328915</v>
      </c>
      <c r="C315">
        <v>5.0345253252448811E-3</v>
      </c>
      <c r="D315">
        <v>6.9547782891448322E-3</v>
      </c>
      <c r="E315">
        <v>4.8835139135138005E-2</v>
      </c>
      <c r="F315">
        <v>3.8963784520356995E-2</v>
      </c>
      <c r="G315">
        <v>2.0969406224889922E-2</v>
      </c>
      <c r="H315">
        <v>6.9576528061431289E-2</v>
      </c>
      <c r="I315">
        <v>5.5775483291253598E-2</v>
      </c>
      <c r="J315" t="s">
        <v>200</v>
      </c>
      <c r="K315" t="s">
        <v>203</v>
      </c>
      <c r="L315" t="s">
        <v>218</v>
      </c>
      <c r="M315" t="s">
        <v>225</v>
      </c>
    </row>
    <row r="316" spans="1:13" x14ac:dyDescent="0.25">
      <c r="A316" t="s">
        <v>161</v>
      </c>
      <c r="B316">
        <v>1</v>
      </c>
      <c r="C316">
        <v>0.97469253681111057</v>
      </c>
      <c r="D316">
        <v>9.8215485677810663E-3</v>
      </c>
      <c r="E316">
        <v>0.32612729308347715</v>
      </c>
      <c r="F316">
        <v>0.3308336968164296</v>
      </c>
      <c r="G316">
        <v>0.63706072257452928</v>
      </c>
      <c r="H316">
        <v>1</v>
      </c>
      <c r="I316">
        <v>1</v>
      </c>
      <c r="J316" t="s">
        <v>200</v>
      </c>
      <c r="K316" t="s">
        <v>204</v>
      </c>
      <c r="L316" t="s">
        <v>218</v>
      </c>
      <c r="M316" t="s">
        <v>225</v>
      </c>
    </row>
    <row r="317" spans="1:13" x14ac:dyDescent="0.25">
      <c r="A317" t="s">
        <v>415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 t="s">
        <v>200</v>
      </c>
      <c r="K317" t="s">
        <v>239</v>
      </c>
      <c r="L317" t="s">
        <v>218</v>
      </c>
      <c r="M317" t="s">
        <v>225</v>
      </c>
    </row>
    <row r="318" spans="1:13" x14ac:dyDescent="0.25">
      <c r="A318" t="s">
        <v>416</v>
      </c>
      <c r="B318">
        <v>1</v>
      </c>
      <c r="C318">
        <v>1</v>
      </c>
      <c r="D318">
        <v>1</v>
      </c>
      <c r="E318">
        <v>0.15075856193337561</v>
      </c>
      <c r="F318">
        <v>3.4755166841247326E-2</v>
      </c>
      <c r="G318">
        <v>1.8787432337685574E-2</v>
      </c>
      <c r="H318">
        <v>1.7883520256409408E-2</v>
      </c>
      <c r="I318">
        <v>9.3056517191798423E-3</v>
      </c>
      <c r="J318" t="s">
        <v>200</v>
      </c>
      <c r="K318" t="s">
        <v>241</v>
      </c>
      <c r="L318" t="s">
        <v>218</v>
      </c>
      <c r="M318" t="s">
        <v>225</v>
      </c>
    </row>
    <row r="319" spans="1:13" x14ac:dyDescent="0.25">
      <c r="A319" t="s">
        <v>162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0.91182309898434921</v>
      </c>
      <c r="I319">
        <v>0.43743114411114142</v>
      </c>
      <c r="J319" t="s">
        <v>200</v>
      </c>
      <c r="K319" t="s">
        <v>206</v>
      </c>
      <c r="L319" t="s">
        <v>218</v>
      </c>
      <c r="M319" t="s">
        <v>225</v>
      </c>
    </row>
    <row r="320" spans="1:13" x14ac:dyDescent="0.25">
      <c r="A320" t="s">
        <v>163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 t="s">
        <v>200</v>
      </c>
      <c r="K320" t="s">
        <v>207</v>
      </c>
      <c r="L320" t="s">
        <v>218</v>
      </c>
      <c r="M320" t="s">
        <v>225</v>
      </c>
    </row>
    <row r="321" spans="1:13" x14ac:dyDescent="0.25">
      <c r="A321" t="s">
        <v>417</v>
      </c>
      <c r="B321">
        <v>1</v>
      </c>
      <c r="C321">
        <v>1</v>
      </c>
      <c r="D321">
        <v>0.72359156194503593</v>
      </c>
      <c r="E321">
        <v>1</v>
      </c>
      <c r="F321">
        <v>1</v>
      </c>
      <c r="G321">
        <v>1</v>
      </c>
      <c r="H321">
        <v>1</v>
      </c>
      <c r="I321">
        <v>1</v>
      </c>
      <c r="J321" t="s">
        <v>200</v>
      </c>
      <c r="K321" t="s">
        <v>233</v>
      </c>
      <c r="L321" t="s">
        <v>218</v>
      </c>
      <c r="M321" t="s">
        <v>225</v>
      </c>
    </row>
    <row r="322" spans="1:13" x14ac:dyDescent="0.25">
      <c r="A322" t="s">
        <v>164</v>
      </c>
      <c r="J322" t="s">
        <v>200</v>
      </c>
      <c r="K322" t="s">
        <v>202</v>
      </c>
      <c r="L322" t="s">
        <v>219</v>
      </c>
      <c r="M322" t="s">
        <v>225</v>
      </c>
    </row>
    <row r="323" spans="1:13" x14ac:dyDescent="0.25">
      <c r="A323" t="s">
        <v>165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 t="s">
        <v>200</v>
      </c>
      <c r="K323" t="s">
        <v>203</v>
      </c>
      <c r="L323" t="s">
        <v>219</v>
      </c>
      <c r="M323" t="s">
        <v>225</v>
      </c>
    </row>
    <row r="324" spans="1:13" x14ac:dyDescent="0.25">
      <c r="A324" t="s">
        <v>166</v>
      </c>
      <c r="B324">
        <v>0.64864662892362457</v>
      </c>
      <c r="C324">
        <v>0.55793863567009261</v>
      </c>
      <c r="D324">
        <v>0.46494355581445646</v>
      </c>
      <c r="E324">
        <v>0.41481576631728445</v>
      </c>
      <c r="F324">
        <v>0.70229283550851163</v>
      </c>
      <c r="G324">
        <v>0.3718581391699009</v>
      </c>
      <c r="H324">
        <v>0.2083294979084136</v>
      </c>
      <c r="I324">
        <v>0.14817031835774921</v>
      </c>
      <c r="J324" t="s">
        <v>200</v>
      </c>
      <c r="K324" t="s">
        <v>204</v>
      </c>
      <c r="L324" t="s">
        <v>219</v>
      </c>
      <c r="M324" t="s">
        <v>225</v>
      </c>
    </row>
    <row r="325" spans="1:13" x14ac:dyDescent="0.25">
      <c r="A325" t="s">
        <v>418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0.65071044165272007</v>
      </c>
      <c r="I325">
        <v>0.23796386316438103</v>
      </c>
      <c r="J325" t="s">
        <v>200</v>
      </c>
      <c r="K325" t="s">
        <v>239</v>
      </c>
      <c r="L325" t="s">
        <v>219</v>
      </c>
      <c r="M325" t="s">
        <v>225</v>
      </c>
    </row>
    <row r="326" spans="1:13" x14ac:dyDescent="0.25">
      <c r="A326" t="s">
        <v>419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0.53208514928690098</v>
      </c>
      <c r="J326" t="s">
        <v>200</v>
      </c>
      <c r="K326" t="s">
        <v>241</v>
      </c>
      <c r="L326" t="s">
        <v>219</v>
      </c>
      <c r="M326" t="s">
        <v>225</v>
      </c>
    </row>
    <row r="327" spans="1:13" x14ac:dyDescent="0.25">
      <c r="A327" t="s">
        <v>167</v>
      </c>
      <c r="B327">
        <v>1</v>
      </c>
      <c r="C327">
        <v>1</v>
      </c>
      <c r="D327">
        <v>1</v>
      </c>
      <c r="E327">
        <v>0.7789369023128212</v>
      </c>
      <c r="F327">
        <v>7.7578194676754947E-3</v>
      </c>
      <c r="G327">
        <v>1.0239850280231208E-3</v>
      </c>
      <c r="H327">
        <v>2.8686365539249271E-4</v>
      </c>
      <c r="I327">
        <v>2.393065168800115E-4</v>
      </c>
      <c r="J327" t="s">
        <v>200</v>
      </c>
      <c r="K327" t="s">
        <v>206</v>
      </c>
      <c r="L327" t="s">
        <v>219</v>
      </c>
      <c r="M327" t="s">
        <v>225</v>
      </c>
    </row>
    <row r="328" spans="1:13" x14ac:dyDescent="0.25">
      <c r="A328" t="s">
        <v>168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 t="s">
        <v>200</v>
      </c>
      <c r="K328" t="s">
        <v>207</v>
      </c>
      <c r="L328" t="s">
        <v>219</v>
      </c>
      <c r="M328" t="s">
        <v>225</v>
      </c>
    </row>
    <row r="329" spans="1:13" x14ac:dyDescent="0.25">
      <c r="A329" t="s">
        <v>420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0.72074320053653151</v>
      </c>
      <c r="I329">
        <v>0.49241327967631909</v>
      </c>
      <c r="J329" t="s">
        <v>200</v>
      </c>
      <c r="K329" t="s">
        <v>233</v>
      </c>
      <c r="L329" t="s">
        <v>219</v>
      </c>
      <c r="M329" t="s">
        <v>225</v>
      </c>
    </row>
    <row r="330" spans="1:13" x14ac:dyDescent="0.25">
      <c r="A330" t="s">
        <v>169</v>
      </c>
      <c r="J330" t="s">
        <v>200</v>
      </c>
      <c r="K330" t="s">
        <v>202</v>
      </c>
      <c r="L330" t="s">
        <v>220</v>
      </c>
      <c r="M330" t="s">
        <v>225</v>
      </c>
    </row>
    <row r="331" spans="1:13" x14ac:dyDescent="0.25">
      <c r="A331" t="s">
        <v>170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 t="s">
        <v>200</v>
      </c>
      <c r="K331" t="s">
        <v>203</v>
      </c>
      <c r="L331" t="s">
        <v>220</v>
      </c>
      <c r="M331" t="s">
        <v>225</v>
      </c>
    </row>
    <row r="332" spans="1:13" x14ac:dyDescent="0.25">
      <c r="A332" t="s">
        <v>171</v>
      </c>
      <c r="B332">
        <v>1</v>
      </c>
      <c r="C332">
        <v>1</v>
      </c>
      <c r="D332">
        <v>0.71222584082275597</v>
      </c>
      <c r="E332">
        <v>1</v>
      </c>
      <c r="F332">
        <v>1</v>
      </c>
      <c r="G332">
        <v>1</v>
      </c>
      <c r="H332">
        <v>1</v>
      </c>
      <c r="I332">
        <v>1</v>
      </c>
      <c r="J332" t="s">
        <v>200</v>
      </c>
      <c r="K332" t="s">
        <v>204</v>
      </c>
      <c r="L332" t="s">
        <v>220</v>
      </c>
      <c r="M332" t="s">
        <v>225</v>
      </c>
    </row>
    <row r="333" spans="1:13" x14ac:dyDescent="0.25">
      <c r="A333" t="s">
        <v>421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 t="s">
        <v>200</v>
      </c>
      <c r="K333" t="s">
        <v>239</v>
      </c>
      <c r="L333" t="s">
        <v>220</v>
      </c>
      <c r="M333" t="s">
        <v>225</v>
      </c>
    </row>
    <row r="334" spans="1:13" x14ac:dyDescent="0.25">
      <c r="A334" t="s">
        <v>422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 t="s">
        <v>200</v>
      </c>
      <c r="K334" t="s">
        <v>241</v>
      </c>
      <c r="L334" t="s">
        <v>220</v>
      </c>
      <c r="M334" t="s">
        <v>225</v>
      </c>
    </row>
    <row r="335" spans="1:13" x14ac:dyDescent="0.25">
      <c r="A335" t="s">
        <v>172</v>
      </c>
      <c r="B335">
        <v>1</v>
      </c>
      <c r="C335">
        <v>1</v>
      </c>
      <c r="D335">
        <v>1</v>
      </c>
      <c r="E335">
        <v>1</v>
      </c>
      <c r="F335">
        <v>0.61583984582585183</v>
      </c>
      <c r="G335">
        <v>0.45157443079882448</v>
      </c>
      <c r="H335">
        <v>0.14106645193561351</v>
      </c>
      <c r="I335">
        <v>0.18200642923020863</v>
      </c>
      <c r="J335" t="s">
        <v>200</v>
      </c>
      <c r="K335" t="s">
        <v>206</v>
      </c>
      <c r="L335" t="s">
        <v>220</v>
      </c>
      <c r="M335" t="s">
        <v>225</v>
      </c>
    </row>
    <row r="336" spans="1:13" x14ac:dyDescent="0.25">
      <c r="A336" t="s">
        <v>173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 t="s">
        <v>200</v>
      </c>
      <c r="K336" t="s">
        <v>207</v>
      </c>
      <c r="L336" t="s">
        <v>220</v>
      </c>
      <c r="M336" t="s">
        <v>225</v>
      </c>
    </row>
    <row r="337" spans="1:13" x14ac:dyDescent="0.25">
      <c r="A337" t="s">
        <v>423</v>
      </c>
      <c r="B337">
        <v>1</v>
      </c>
      <c r="C337">
        <v>0.93415921765173615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 t="s">
        <v>200</v>
      </c>
      <c r="K337" t="s">
        <v>233</v>
      </c>
      <c r="L337" t="s">
        <v>220</v>
      </c>
      <c r="M337" t="s">
        <v>225</v>
      </c>
    </row>
    <row r="338" spans="1:13" x14ac:dyDescent="0.25">
      <c r="A338" t="s">
        <v>174</v>
      </c>
      <c r="J338" t="s">
        <v>200</v>
      </c>
      <c r="K338" t="s">
        <v>202</v>
      </c>
      <c r="L338" t="s">
        <v>221</v>
      </c>
      <c r="M338" t="s">
        <v>225</v>
      </c>
    </row>
    <row r="339" spans="1:13" x14ac:dyDescent="0.25">
      <c r="A339" t="s">
        <v>175</v>
      </c>
      <c r="B339">
        <v>1.9093575862395108E-2</v>
      </c>
      <c r="C339">
        <v>0.6983391329566222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0.53917869195469659</v>
      </c>
      <c r="J339" t="s">
        <v>200</v>
      </c>
      <c r="K339" t="s">
        <v>203</v>
      </c>
      <c r="L339" t="s">
        <v>221</v>
      </c>
      <c r="M339" t="s">
        <v>225</v>
      </c>
    </row>
    <row r="340" spans="1:13" x14ac:dyDescent="0.25">
      <c r="A340" t="s">
        <v>176</v>
      </c>
      <c r="B340">
        <v>1.878441818696093E-2</v>
      </c>
      <c r="C340">
        <v>2.809048848799945E-3</v>
      </c>
      <c r="D340">
        <v>2.3191868763373178E-2</v>
      </c>
      <c r="E340">
        <v>2.8712941130838693E-2</v>
      </c>
      <c r="F340">
        <v>5.4779827048409446E-2</v>
      </c>
      <c r="G340">
        <v>7.4628299062549086E-3</v>
      </c>
      <c r="H340">
        <v>1.5654058118303733E-2</v>
      </c>
      <c r="I340">
        <v>1.5427785310528221E-2</v>
      </c>
      <c r="J340" t="s">
        <v>200</v>
      </c>
      <c r="K340" t="s">
        <v>204</v>
      </c>
      <c r="L340" t="s">
        <v>221</v>
      </c>
      <c r="M340" t="s">
        <v>225</v>
      </c>
    </row>
    <row r="341" spans="1:13" x14ac:dyDescent="0.25">
      <c r="A341" t="s">
        <v>424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0.83007301728303506</v>
      </c>
      <c r="I341">
        <v>0.39783577199132836</v>
      </c>
      <c r="J341" t="s">
        <v>200</v>
      </c>
      <c r="K341" t="s">
        <v>239</v>
      </c>
      <c r="L341" t="s">
        <v>221</v>
      </c>
      <c r="M341" t="s">
        <v>225</v>
      </c>
    </row>
    <row r="342" spans="1:13" x14ac:dyDescent="0.25">
      <c r="A342" t="s">
        <v>425</v>
      </c>
      <c r="B342">
        <v>1</v>
      </c>
      <c r="C342">
        <v>1</v>
      </c>
      <c r="D342">
        <v>1</v>
      </c>
      <c r="E342">
        <v>1</v>
      </c>
      <c r="F342">
        <v>0.922905090165417</v>
      </c>
      <c r="G342">
        <v>0.10922356728942681</v>
      </c>
      <c r="H342">
        <v>1.2323676801802963E-2</v>
      </c>
      <c r="I342">
        <v>8.2848842429733419E-4</v>
      </c>
      <c r="J342" t="s">
        <v>200</v>
      </c>
      <c r="K342" t="s">
        <v>241</v>
      </c>
      <c r="L342" t="s">
        <v>221</v>
      </c>
      <c r="M342" t="s">
        <v>225</v>
      </c>
    </row>
    <row r="343" spans="1:13" x14ac:dyDescent="0.25">
      <c r="A343" t="s">
        <v>177</v>
      </c>
      <c r="B343">
        <v>1</v>
      </c>
      <c r="C343">
        <v>1</v>
      </c>
      <c r="D343">
        <v>1</v>
      </c>
      <c r="E343">
        <v>1</v>
      </c>
      <c r="F343">
        <v>0.78428572544284281</v>
      </c>
      <c r="G343">
        <v>0.10848142439818574</v>
      </c>
      <c r="H343">
        <v>1.0577819341207599E-2</v>
      </c>
      <c r="I343">
        <v>3.4509370583175165E-4</v>
      </c>
      <c r="J343" t="s">
        <v>200</v>
      </c>
      <c r="K343" t="s">
        <v>206</v>
      </c>
      <c r="L343" t="s">
        <v>221</v>
      </c>
      <c r="M343" t="s">
        <v>225</v>
      </c>
    </row>
    <row r="344" spans="1:13" x14ac:dyDescent="0.25">
      <c r="A344" t="s">
        <v>178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 t="s">
        <v>200</v>
      </c>
      <c r="K344" t="s">
        <v>207</v>
      </c>
      <c r="L344" t="s">
        <v>221</v>
      </c>
      <c r="M344" t="s">
        <v>225</v>
      </c>
    </row>
    <row r="345" spans="1:13" x14ac:dyDescent="0.25">
      <c r="A345" t="s">
        <v>426</v>
      </c>
      <c r="B345">
        <v>5.9325032612435476E-4</v>
      </c>
      <c r="C345">
        <v>6.2075439066352177E-4</v>
      </c>
      <c r="D345">
        <v>5.0921514157881392E-4</v>
      </c>
      <c r="E345">
        <v>1.0627767471444583E-4</v>
      </c>
      <c r="F345">
        <v>2.2535058863392825E-5</v>
      </c>
      <c r="G345">
        <v>1.0163916295376397E-4</v>
      </c>
      <c r="H345">
        <v>8.772603338335708E-5</v>
      </c>
      <c r="I345">
        <v>6.6922041317611422E-5</v>
      </c>
      <c r="J345" t="s">
        <v>200</v>
      </c>
      <c r="K345" t="s">
        <v>233</v>
      </c>
      <c r="L345" t="s">
        <v>221</v>
      </c>
      <c r="M345" t="s">
        <v>225</v>
      </c>
    </row>
    <row r="346" spans="1:13" x14ac:dyDescent="0.25">
      <c r="A346" t="s">
        <v>179</v>
      </c>
      <c r="J346" t="s">
        <v>200</v>
      </c>
      <c r="K346" t="s">
        <v>202</v>
      </c>
      <c r="L346" t="s">
        <v>222</v>
      </c>
      <c r="M346" t="s">
        <v>225</v>
      </c>
    </row>
    <row r="347" spans="1:13" x14ac:dyDescent="0.25">
      <c r="A347" t="s">
        <v>180</v>
      </c>
      <c r="B347">
        <v>1.206851250093699E-2</v>
      </c>
      <c r="C347">
        <v>0.15168971375693263</v>
      </c>
      <c r="D347">
        <v>0.14338485258726608</v>
      </c>
      <c r="E347">
        <v>0.38324943699905395</v>
      </c>
      <c r="F347">
        <v>0.53171125619192949</v>
      </c>
      <c r="G347">
        <v>0.47468827771385613</v>
      </c>
      <c r="H347">
        <v>0.53715024233839559</v>
      </c>
      <c r="I347">
        <v>0.86162559287609342</v>
      </c>
      <c r="J347" t="s">
        <v>200</v>
      </c>
      <c r="K347" t="s">
        <v>203</v>
      </c>
      <c r="L347" t="s">
        <v>222</v>
      </c>
      <c r="M347" t="s">
        <v>225</v>
      </c>
    </row>
    <row r="348" spans="1:13" x14ac:dyDescent="0.25">
      <c r="A348" t="s">
        <v>181</v>
      </c>
      <c r="B348">
        <v>0.1558769296206805</v>
      </c>
      <c r="C348">
        <v>0.25392865453413771</v>
      </c>
      <c r="D348">
        <v>0.13892086901278539</v>
      </c>
      <c r="E348">
        <v>0.21797793540095634</v>
      </c>
      <c r="F348">
        <v>3.8892876556234635E-2</v>
      </c>
      <c r="G348">
        <v>0.22750536690335288</v>
      </c>
      <c r="H348">
        <v>0.10949349795682536</v>
      </c>
      <c r="I348">
        <v>0.98536111278283811</v>
      </c>
      <c r="J348" t="s">
        <v>200</v>
      </c>
      <c r="K348" t="s">
        <v>204</v>
      </c>
      <c r="L348" t="s">
        <v>222</v>
      </c>
      <c r="M348" t="s">
        <v>225</v>
      </c>
    </row>
    <row r="349" spans="1:13" x14ac:dyDescent="0.25">
      <c r="A349" t="s">
        <v>427</v>
      </c>
      <c r="B349">
        <v>1</v>
      </c>
      <c r="C349">
        <v>1</v>
      </c>
      <c r="D349">
        <v>1</v>
      </c>
      <c r="E349">
        <v>1</v>
      </c>
      <c r="F349">
        <v>0.93216301961002679</v>
      </c>
      <c r="G349">
        <v>0.56298066285598347</v>
      </c>
      <c r="H349">
        <v>0.4088823257030938</v>
      </c>
      <c r="I349">
        <v>0.40861838386775229</v>
      </c>
      <c r="J349" t="s">
        <v>200</v>
      </c>
      <c r="K349" t="s">
        <v>239</v>
      </c>
      <c r="L349" t="s">
        <v>222</v>
      </c>
      <c r="M349" t="s">
        <v>225</v>
      </c>
    </row>
    <row r="350" spans="1:13" x14ac:dyDescent="0.25">
      <c r="A350" t="s">
        <v>428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 t="s">
        <v>200</v>
      </c>
      <c r="K350" t="s">
        <v>241</v>
      </c>
      <c r="L350" t="s">
        <v>222</v>
      </c>
      <c r="M350" t="s">
        <v>225</v>
      </c>
    </row>
    <row r="351" spans="1:13" x14ac:dyDescent="0.25">
      <c r="A351" t="s">
        <v>182</v>
      </c>
      <c r="B351">
        <v>1</v>
      </c>
      <c r="C351">
        <v>1</v>
      </c>
      <c r="D351">
        <v>1</v>
      </c>
      <c r="E351">
        <v>1</v>
      </c>
      <c r="F351">
        <v>0.82711751094396768</v>
      </c>
      <c r="G351">
        <v>0.91075086151906759</v>
      </c>
      <c r="H351">
        <v>0.62655674031724806</v>
      </c>
      <c r="I351">
        <v>0.8308277678052689</v>
      </c>
      <c r="J351" t="s">
        <v>200</v>
      </c>
      <c r="K351" t="s">
        <v>206</v>
      </c>
      <c r="L351" t="s">
        <v>222</v>
      </c>
      <c r="M351" t="s">
        <v>225</v>
      </c>
    </row>
    <row r="352" spans="1:13" x14ac:dyDescent="0.25">
      <c r="A352" t="s">
        <v>183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0.61920055774643568</v>
      </c>
      <c r="H352">
        <v>0.15231862179089495</v>
      </c>
      <c r="I352">
        <v>0.31133194489227645</v>
      </c>
      <c r="J352" t="s">
        <v>200</v>
      </c>
      <c r="K352" t="s">
        <v>207</v>
      </c>
      <c r="L352" t="s">
        <v>222</v>
      </c>
      <c r="M352" t="s">
        <v>225</v>
      </c>
    </row>
    <row r="353" spans="1:13" x14ac:dyDescent="0.25">
      <c r="A353" t="s">
        <v>429</v>
      </c>
      <c r="B353">
        <v>0.71008793497091083</v>
      </c>
      <c r="C353">
        <v>0.39925643184096998</v>
      </c>
      <c r="D353">
        <v>0.22447809308703515</v>
      </c>
      <c r="E353">
        <v>0.26258397247845489</v>
      </c>
      <c r="F353">
        <v>0.10999803149981699</v>
      </c>
      <c r="G353">
        <v>0.2094994467297939</v>
      </c>
      <c r="H353">
        <v>7.3067044257215163E-2</v>
      </c>
      <c r="I353">
        <v>0.73377856015334819</v>
      </c>
      <c r="J353" t="s">
        <v>200</v>
      </c>
      <c r="K353" t="s">
        <v>233</v>
      </c>
      <c r="L353" t="s">
        <v>222</v>
      </c>
      <c r="M353" t="s">
        <v>225</v>
      </c>
    </row>
    <row r="354" spans="1:13" x14ac:dyDescent="0.25">
      <c r="A354" t="s">
        <v>184</v>
      </c>
      <c r="J354" t="s">
        <v>200</v>
      </c>
      <c r="K354" t="s">
        <v>202</v>
      </c>
      <c r="L354" t="s">
        <v>223</v>
      </c>
      <c r="M354" t="s">
        <v>225</v>
      </c>
    </row>
    <row r="355" spans="1:13" x14ac:dyDescent="0.25">
      <c r="A355" t="s">
        <v>185</v>
      </c>
      <c r="B355">
        <v>0.96889258767459507</v>
      </c>
      <c r="C355">
        <v>0.37423867056417581</v>
      </c>
      <c r="D355">
        <v>0.79991086300106851</v>
      </c>
      <c r="E355">
        <v>0.44579989443768436</v>
      </c>
      <c r="F355">
        <v>1</v>
      </c>
      <c r="G355">
        <v>1</v>
      </c>
      <c r="H355">
        <v>1</v>
      </c>
      <c r="I355">
        <v>1</v>
      </c>
      <c r="J355" t="s">
        <v>200</v>
      </c>
      <c r="K355" t="s">
        <v>203</v>
      </c>
      <c r="L355" t="s">
        <v>223</v>
      </c>
      <c r="M355" t="s">
        <v>225</v>
      </c>
    </row>
    <row r="356" spans="1:13" x14ac:dyDescent="0.25">
      <c r="A356" t="s">
        <v>186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 t="s">
        <v>200</v>
      </c>
      <c r="K356" t="s">
        <v>204</v>
      </c>
      <c r="L356" t="s">
        <v>223</v>
      </c>
      <c r="M356" t="s">
        <v>225</v>
      </c>
    </row>
    <row r="357" spans="1:13" x14ac:dyDescent="0.25">
      <c r="A357" t="s">
        <v>430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 t="s">
        <v>200</v>
      </c>
      <c r="K357" t="s">
        <v>239</v>
      </c>
      <c r="L357" t="s">
        <v>223</v>
      </c>
      <c r="M357" t="s">
        <v>225</v>
      </c>
    </row>
    <row r="358" spans="1:13" x14ac:dyDescent="0.25">
      <c r="A358" t="s">
        <v>431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0.94488478859725555</v>
      </c>
      <c r="H358">
        <v>0.9323033041791815</v>
      </c>
      <c r="I358">
        <v>0.99083738751615402</v>
      </c>
      <c r="J358" t="s">
        <v>200</v>
      </c>
      <c r="K358" t="s">
        <v>241</v>
      </c>
      <c r="L358" t="s">
        <v>223</v>
      </c>
      <c r="M358" t="s">
        <v>225</v>
      </c>
    </row>
    <row r="359" spans="1:13" x14ac:dyDescent="0.25">
      <c r="A359" t="s">
        <v>187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 t="s">
        <v>200</v>
      </c>
      <c r="K359" t="s">
        <v>206</v>
      </c>
      <c r="L359" t="s">
        <v>223</v>
      </c>
      <c r="M359" t="s">
        <v>225</v>
      </c>
    </row>
    <row r="360" spans="1:13" x14ac:dyDescent="0.25">
      <c r="A360" t="s">
        <v>188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 t="s">
        <v>200</v>
      </c>
      <c r="K360" t="s">
        <v>207</v>
      </c>
      <c r="L360" t="s">
        <v>223</v>
      </c>
      <c r="M360" t="s">
        <v>225</v>
      </c>
    </row>
    <row r="361" spans="1:13" x14ac:dyDescent="0.25">
      <c r="A361" t="s">
        <v>432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 t="s">
        <v>200</v>
      </c>
      <c r="K361" t="s">
        <v>233</v>
      </c>
      <c r="L361" t="s">
        <v>223</v>
      </c>
      <c r="M361" t="s">
        <v>225</v>
      </c>
    </row>
    <row r="362" spans="1:13" x14ac:dyDescent="0.25">
      <c r="A362" t="s">
        <v>164</v>
      </c>
      <c r="J362" t="s">
        <v>200</v>
      </c>
      <c r="K362" t="s">
        <v>202</v>
      </c>
      <c r="L362" t="s">
        <v>219</v>
      </c>
      <c r="M362" t="s">
        <v>225</v>
      </c>
    </row>
    <row r="363" spans="1:13" x14ac:dyDescent="0.25">
      <c r="A363" t="s">
        <v>165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 t="s">
        <v>200</v>
      </c>
      <c r="K363" t="s">
        <v>203</v>
      </c>
      <c r="L363" t="s">
        <v>219</v>
      </c>
      <c r="M363" t="s">
        <v>225</v>
      </c>
    </row>
    <row r="364" spans="1:13" x14ac:dyDescent="0.25">
      <c r="A364" t="s">
        <v>166</v>
      </c>
      <c r="B364">
        <v>0.64864662892362457</v>
      </c>
      <c r="C364">
        <v>0.55793863567009261</v>
      </c>
      <c r="D364">
        <v>0.46494355581445646</v>
      </c>
      <c r="E364">
        <v>0.41481576631728445</v>
      </c>
      <c r="F364">
        <v>0.70229283550851163</v>
      </c>
      <c r="G364">
        <v>0.3718581391699009</v>
      </c>
      <c r="H364">
        <v>0.2083294979084136</v>
      </c>
      <c r="I364">
        <v>0.14817031835774921</v>
      </c>
      <c r="J364" t="s">
        <v>200</v>
      </c>
      <c r="K364" t="s">
        <v>204</v>
      </c>
      <c r="L364" t="s">
        <v>219</v>
      </c>
      <c r="M364" t="s">
        <v>225</v>
      </c>
    </row>
    <row r="365" spans="1:13" x14ac:dyDescent="0.25">
      <c r="A365" t="s">
        <v>418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0.65071044165272007</v>
      </c>
      <c r="I365">
        <v>0.23796386316438103</v>
      </c>
      <c r="J365" t="s">
        <v>200</v>
      </c>
      <c r="K365" t="s">
        <v>239</v>
      </c>
      <c r="L365" t="s">
        <v>219</v>
      </c>
      <c r="M365" t="s">
        <v>225</v>
      </c>
    </row>
    <row r="366" spans="1:13" x14ac:dyDescent="0.25">
      <c r="A366" t="s">
        <v>419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0.53208514928690098</v>
      </c>
      <c r="J366" t="s">
        <v>200</v>
      </c>
      <c r="K366" t="s">
        <v>241</v>
      </c>
      <c r="L366" t="s">
        <v>219</v>
      </c>
      <c r="M366" t="s">
        <v>225</v>
      </c>
    </row>
    <row r="367" spans="1:13" x14ac:dyDescent="0.25">
      <c r="A367" t="s">
        <v>167</v>
      </c>
      <c r="B367">
        <v>1</v>
      </c>
      <c r="C367">
        <v>1</v>
      </c>
      <c r="D367">
        <v>1</v>
      </c>
      <c r="E367">
        <v>0.7789369023128212</v>
      </c>
      <c r="F367">
        <v>7.7578194676754947E-3</v>
      </c>
      <c r="G367">
        <v>1.0239850280231208E-3</v>
      </c>
      <c r="H367">
        <v>2.8686365539249271E-4</v>
      </c>
      <c r="I367">
        <v>2.393065168800115E-4</v>
      </c>
      <c r="J367" t="s">
        <v>200</v>
      </c>
      <c r="K367" t="s">
        <v>206</v>
      </c>
      <c r="L367" t="s">
        <v>219</v>
      </c>
      <c r="M367" t="s">
        <v>225</v>
      </c>
    </row>
    <row r="368" spans="1:13" x14ac:dyDescent="0.25">
      <c r="A368" t="s">
        <v>168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 t="s">
        <v>200</v>
      </c>
      <c r="K368" t="s">
        <v>207</v>
      </c>
      <c r="L368" t="s">
        <v>219</v>
      </c>
      <c r="M368" t="s">
        <v>225</v>
      </c>
    </row>
    <row r="369" spans="1:13" x14ac:dyDescent="0.25">
      <c r="A369" t="s">
        <v>420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0.72074320053653151</v>
      </c>
      <c r="I369">
        <v>0.49241327967631909</v>
      </c>
      <c r="J369" t="s">
        <v>200</v>
      </c>
      <c r="K369" t="s">
        <v>233</v>
      </c>
      <c r="L369" t="s">
        <v>219</v>
      </c>
      <c r="M369" t="s">
        <v>225</v>
      </c>
    </row>
    <row r="370" spans="1:13" x14ac:dyDescent="0.25">
      <c r="A370" t="s">
        <v>449</v>
      </c>
      <c r="B370">
        <v>0.69542863970994118</v>
      </c>
      <c r="C370">
        <v>0.55390707523881533</v>
      </c>
      <c r="D370">
        <v>0.26675369731409293</v>
      </c>
      <c r="E370">
        <v>0.12029587251232912</v>
      </c>
      <c r="F370">
        <v>6.4017578429915914E-2</v>
      </c>
      <c r="G370">
        <v>3.438761089738418E-2</v>
      </c>
      <c r="H370">
        <v>2.0203171232097555E-2</v>
      </c>
      <c r="I370">
        <v>1.2903303157816957E-2</v>
      </c>
      <c r="J370" t="s">
        <v>200</v>
      </c>
      <c r="K370" t="s">
        <v>226</v>
      </c>
      <c r="L370" t="s">
        <v>219</v>
      </c>
      <c r="M370" t="s">
        <v>225</v>
      </c>
    </row>
    <row r="371" spans="1:13" x14ac:dyDescent="0.25">
      <c r="A371" t="s">
        <v>169</v>
      </c>
      <c r="J371" t="s">
        <v>200</v>
      </c>
      <c r="K371" t="s">
        <v>202</v>
      </c>
      <c r="L371" t="s">
        <v>220</v>
      </c>
      <c r="M371" t="s">
        <v>225</v>
      </c>
    </row>
    <row r="372" spans="1:13" x14ac:dyDescent="0.25">
      <c r="A372" t="s">
        <v>170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 t="s">
        <v>200</v>
      </c>
      <c r="K372" t="s">
        <v>203</v>
      </c>
      <c r="L372" t="s">
        <v>220</v>
      </c>
      <c r="M372" t="s">
        <v>225</v>
      </c>
    </row>
    <row r="373" spans="1:13" x14ac:dyDescent="0.25">
      <c r="A373" t="s">
        <v>171</v>
      </c>
      <c r="B373">
        <v>1</v>
      </c>
      <c r="C373">
        <v>1</v>
      </c>
      <c r="D373">
        <v>0.71222584082275597</v>
      </c>
      <c r="E373">
        <v>1</v>
      </c>
      <c r="F373">
        <v>1</v>
      </c>
      <c r="G373">
        <v>1</v>
      </c>
      <c r="H373">
        <v>1</v>
      </c>
      <c r="I373">
        <v>1</v>
      </c>
      <c r="J373" t="s">
        <v>200</v>
      </c>
      <c r="K373" t="s">
        <v>204</v>
      </c>
      <c r="L373" t="s">
        <v>220</v>
      </c>
      <c r="M373" t="s">
        <v>225</v>
      </c>
    </row>
    <row r="374" spans="1:13" x14ac:dyDescent="0.25">
      <c r="A374" t="s">
        <v>421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 t="s">
        <v>200</v>
      </c>
      <c r="K374" t="s">
        <v>239</v>
      </c>
      <c r="L374" t="s">
        <v>220</v>
      </c>
      <c r="M374" t="s">
        <v>225</v>
      </c>
    </row>
    <row r="375" spans="1:13" x14ac:dyDescent="0.25">
      <c r="A375" t="s">
        <v>422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 t="s">
        <v>200</v>
      </c>
      <c r="K375" t="s">
        <v>241</v>
      </c>
      <c r="L375" t="s">
        <v>220</v>
      </c>
      <c r="M375" t="s">
        <v>225</v>
      </c>
    </row>
    <row r="376" spans="1:13" x14ac:dyDescent="0.25">
      <c r="A376" t="s">
        <v>172</v>
      </c>
      <c r="B376">
        <v>1</v>
      </c>
      <c r="C376">
        <v>1</v>
      </c>
      <c r="D376">
        <v>1</v>
      </c>
      <c r="E376">
        <v>1</v>
      </c>
      <c r="F376">
        <v>0.61583984582585183</v>
      </c>
      <c r="G376">
        <v>0.45157443079882448</v>
      </c>
      <c r="H376">
        <v>0.14106645193561351</v>
      </c>
      <c r="I376">
        <v>0.18200642923020863</v>
      </c>
      <c r="J376" t="s">
        <v>200</v>
      </c>
      <c r="K376" t="s">
        <v>206</v>
      </c>
      <c r="L376" t="s">
        <v>220</v>
      </c>
      <c r="M376" t="s">
        <v>225</v>
      </c>
    </row>
    <row r="377" spans="1:13" x14ac:dyDescent="0.25">
      <c r="A377" t="s">
        <v>173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 t="s">
        <v>200</v>
      </c>
      <c r="K377" t="s">
        <v>207</v>
      </c>
      <c r="L377" t="s">
        <v>220</v>
      </c>
      <c r="M377" t="s">
        <v>225</v>
      </c>
    </row>
    <row r="378" spans="1:13" x14ac:dyDescent="0.25">
      <c r="A378" t="s">
        <v>423</v>
      </c>
      <c r="B378">
        <v>1</v>
      </c>
      <c r="C378">
        <v>0.93415921765173615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 t="s">
        <v>200</v>
      </c>
      <c r="K378" t="s">
        <v>233</v>
      </c>
      <c r="L378" t="s">
        <v>220</v>
      </c>
      <c r="M378" t="s">
        <v>225</v>
      </c>
    </row>
    <row r="379" spans="1:13" x14ac:dyDescent="0.25">
      <c r="A379" t="s">
        <v>450</v>
      </c>
      <c r="B379">
        <v>1.5021224225046759E-2</v>
      </c>
      <c r="C379">
        <v>0.25320958464918575</v>
      </c>
      <c r="D379">
        <v>6.647352901074588E-2</v>
      </c>
      <c r="E379">
        <v>0.16893435445851152</v>
      </c>
      <c r="F379">
        <v>0.17940976566760466</v>
      </c>
      <c r="G379">
        <v>0.22043441091932622</v>
      </c>
      <c r="H379">
        <v>4.9216811762006929E-2</v>
      </c>
      <c r="I379">
        <v>4.6565063442104877E-2</v>
      </c>
      <c r="J379" t="s">
        <v>200</v>
      </c>
      <c r="K379" t="s">
        <v>226</v>
      </c>
      <c r="L379" t="s">
        <v>220</v>
      </c>
      <c r="M379" t="s">
        <v>225</v>
      </c>
    </row>
    <row r="380" spans="1:13" x14ac:dyDescent="0.25">
      <c r="A380" t="s">
        <v>174</v>
      </c>
      <c r="J380" t="s">
        <v>200</v>
      </c>
      <c r="K380" t="s">
        <v>202</v>
      </c>
      <c r="L380" t="s">
        <v>221</v>
      </c>
      <c r="M380" t="s">
        <v>225</v>
      </c>
    </row>
    <row r="381" spans="1:13" x14ac:dyDescent="0.25">
      <c r="A381" t="s">
        <v>175</v>
      </c>
      <c r="B381">
        <v>1.9093575862395108E-2</v>
      </c>
      <c r="C381">
        <v>0.6983391329566222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0.53917869195469659</v>
      </c>
      <c r="J381" t="s">
        <v>200</v>
      </c>
      <c r="K381" t="s">
        <v>203</v>
      </c>
      <c r="L381" t="s">
        <v>221</v>
      </c>
      <c r="M381" t="s">
        <v>225</v>
      </c>
    </row>
    <row r="382" spans="1:13" x14ac:dyDescent="0.25">
      <c r="A382" t="s">
        <v>176</v>
      </c>
      <c r="B382">
        <v>1.878441818696093E-2</v>
      </c>
      <c r="C382">
        <v>2.809048848799945E-3</v>
      </c>
      <c r="D382">
        <v>2.3191868763373178E-2</v>
      </c>
      <c r="E382">
        <v>2.8712941130838693E-2</v>
      </c>
      <c r="F382">
        <v>5.4779827048409446E-2</v>
      </c>
      <c r="G382">
        <v>7.4628299062549086E-3</v>
      </c>
      <c r="H382">
        <v>1.5654058118303733E-2</v>
      </c>
      <c r="I382">
        <v>1.5427785310528221E-2</v>
      </c>
      <c r="J382" t="s">
        <v>200</v>
      </c>
      <c r="K382" t="s">
        <v>204</v>
      </c>
      <c r="L382" t="s">
        <v>221</v>
      </c>
      <c r="M382" t="s">
        <v>225</v>
      </c>
    </row>
    <row r="383" spans="1:13" x14ac:dyDescent="0.25">
      <c r="A383" t="s">
        <v>424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0.83007301728303506</v>
      </c>
      <c r="I383">
        <v>0.39783577199132836</v>
      </c>
      <c r="J383" t="s">
        <v>200</v>
      </c>
      <c r="K383" t="s">
        <v>239</v>
      </c>
      <c r="L383" t="s">
        <v>221</v>
      </c>
      <c r="M383" t="s">
        <v>225</v>
      </c>
    </row>
    <row r="384" spans="1:13" x14ac:dyDescent="0.25">
      <c r="A384" t="s">
        <v>425</v>
      </c>
      <c r="B384">
        <v>1</v>
      </c>
      <c r="C384">
        <v>1</v>
      </c>
      <c r="D384">
        <v>1</v>
      </c>
      <c r="E384">
        <v>1</v>
      </c>
      <c r="F384">
        <v>0.922905090165417</v>
      </c>
      <c r="G384">
        <v>0.10922356728942681</v>
      </c>
      <c r="H384">
        <v>1.2323676801802963E-2</v>
      </c>
      <c r="I384">
        <v>8.2848842429733419E-4</v>
      </c>
      <c r="J384" t="s">
        <v>200</v>
      </c>
      <c r="K384" t="s">
        <v>241</v>
      </c>
      <c r="L384" t="s">
        <v>221</v>
      </c>
      <c r="M384" t="s">
        <v>225</v>
      </c>
    </row>
    <row r="385" spans="1:13" x14ac:dyDescent="0.25">
      <c r="A385" t="s">
        <v>177</v>
      </c>
      <c r="B385">
        <v>1</v>
      </c>
      <c r="C385">
        <v>1</v>
      </c>
      <c r="D385">
        <v>1</v>
      </c>
      <c r="E385">
        <v>1</v>
      </c>
      <c r="F385">
        <v>0.78428572544284281</v>
      </c>
      <c r="G385">
        <v>0.10848142439818574</v>
      </c>
      <c r="H385">
        <v>1.0577819341207599E-2</v>
      </c>
      <c r="I385">
        <v>3.4509370583175165E-4</v>
      </c>
      <c r="J385" t="s">
        <v>200</v>
      </c>
      <c r="K385" t="s">
        <v>206</v>
      </c>
      <c r="L385" t="s">
        <v>221</v>
      </c>
      <c r="M385" t="s">
        <v>225</v>
      </c>
    </row>
    <row r="386" spans="1:13" x14ac:dyDescent="0.25">
      <c r="A386" t="s">
        <v>178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 t="s">
        <v>200</v>
      </c>
      <c r="K386" t="s">
        <v>207</v>
      </c>
      <c r="L386" t="s">
        <v>221</v>
      </c>
      <c r="M386" t="s">
        <v>225</v>
      </c>
    </row>
    <row r="387" spans="1:13" x14ac:dyDescent="0.25">
      <c r="A387" t="s">
        <v>426</v>
      </c>
      <c r="B387">
        <v>5.9325032612435476E-4</v>
      </c>
      <c r="C387">
        <v>6.2075439066352177E-4</v>
      </c>
      <c r="D387">
        <v>5.0921514157881392E-4</v>
      </c>
      <c r="E387">
        <v>1.0627767471444583E-4</v>
      </c>
      <c r="F387">
        <v>2.2535058863392825E-5</v>
      </c>
      <c r="G387">
        <v>1.0163916295376397E-4</v>
      </c>
      <c r="H387">
        <v>8.772603338335708E-5</v>
      </c>
      <c r="I387">
        <v>6.6922041317611422E-5</v>
      </c>
      <c r="J387" t="s">
        <v>200</v>
      </c>
      <c r="K387" t="s">
        <v>233</v>
      </c>
      <c r="L387" t="s">
        <v>221</v>
      </c>
      <c r="M387" t="s">
        <v>225</v>
      </c>
    </row>
    <row r="388" spans="1:13" x14ac:dyDescent="0.25">
      <c r="A388" t="s">
        <v>451</v>
      </c>
      <c r="B388">
        <v>2.5357990189679553E-5</v>
      </c>
      <c r="C388">
        <v>4.2396896288666389E-4</v>
      </c>
      <c r="D388">
        <v>8.8424843254245042E-5</v>
      </c>
      <c r="E388">
        <v>7.3225975722769282E-6</v>
      </c>
      <c r="F388">
        <v>2.2252736427073441E-6</v>
      </c>
      <c r="G388">
        <v>1.1758080911666944E-6</v>
      </c>
      <c r="H388">
        <v>3.7659863474292089E-7</v>
      </c>
      <c r="I388">
        <v>7.8657777905596518E-9</v>
      </c>
      <c r="J388" t="s">
        <v>200</v>
      </c>
      <c r="K388" t="s">
        <v>226</v>
      </c>
      <c r="L388" t="s">
        <v>221</v>
      </c>
      <c r="M388" t="s">
        <v>225</v>
      </c>
    </row>
    <row r="389" spans="1:13" x14ac:dyDescent="0.25">
      <c r="A389" t="s">
        <v>179</v>
      </c>
      <c r="J389" t="s">
        <v>200</v>
      </c>
      <c r="K389" t="s">
        <v>202</v>
      </c>
      <c r="L389" t="s">
        <v>222</v>
      </c>
      <c r="M389" t="s">
        <v>225</v>
      </c>
    </row>
    <row r="390" spans="1:13" x14ac:dyDescent="0.25">
      <c r="A390" t="s">
        <v>180</v>
      </c>
      <c r="B390">
        <v>1.206851250093699E-2</v>
      </c>
      <c r="C390">
        <v>0.15168971375693263</v>
      </c>
      <c r="D390">
        <v>0.14338485258726608</v>
      </c>
      <c r="E390">
        <v>0.38324943699905395</v>
      </c>
      <c r="F390">
        <v>0.53171125619192949</v>
      </c>
      <c r="G390">
        <v>0.47468827771385613</v>
      </c>
      <c r="H390">
        <v>0.53715024233839559</v>
      </c>
      <c r="I390">
        <v>0.86162559287609342</v>
      </c>
      <c r="J390" t="s">
        <v>200</v>
      </c>
      <c r="K390" t="s">
        <v>203</v>
      </c>
      <c r="L390" t="s">
        <v>222</v>
      </c>
      <c r="M390" t="s">
        <v>225</v>
      </c>
    </row>
    <row r="391" spans="1:13" x14ac:dyDescent="0.25">
      <c r="A391" t="s">
        <v>181</v>
      </c>
      <c r="B391">
        <v>0.1558769296206805</v>
      </c>
      <c r="C391">
        <v>0.25392865453413771</v>
      </c>
      <c r="D391">
        <v>0.13892086901278539</v>
      </c>
      <c r="E391">
        <v>0.21797793540095634</v>
      </c>
      <c r="F391">
        <v>3.8892876556234635E-2</v>
      </c>
      <c r="G391">
        <v>0.22750536690335288</v>
      </c>
      <c r="H391">
        <v>0.10949349795682536</v>
      </c>
      <c r="I391">
        <v>0.98536111278283811</v>
      </c>
      <c r="J391" t="s">
        <v>200</v>
      </c>
      <c r="K391" t="s">
        <v>204</v>
      </c>
      <c r="L391" t="s">
        <v>222</v>
      </c>
      <c r="M391" t="s">
        <v>225</v>
      </c>
    </row>
    <row r="392" spans="1:13" x14ac:dyDescent="0.25">
      <c r="A392" t="s">
        <v>427</v>
      </c>
      <c r="B392">
        <v>1</v>
      </c>
      <c r="C392">
        <v>1</v>
      </c>
      <c r="D392">
        <v>1</v>
      </c>
      <c r="E392">
        <v>1</v>
      </c>
      <c r="F392">
        <v>0.93216301961002679</v>
      </c>
      <c r="G392">
        <v>0.56298066285598347</v>
      </c>
      <c r="H392">
        <v>0.4088823257030938</v>
      </c>
      <c r="I392">
        <v>0.40861838386775229</v>
      </c>
      <c r="J392" t="s">
        <v>200</v>
      </c>
      <c r="K392" t="s">
        <v>239</v>
      </c>
      <c r="L392" t="s">
        <v>222</v>
      </c>
      <c r="M392" t="s">
        <v>225</v>
      </c>
    </row>
    <row r="393" spans="1:13" x14ac:dyDescent="0.25">
      <c r="A393" t="s">
        <v>428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 t="s">
        <v>200</v>
      </c>
      <c r="K393" t="s">
        <v>241</v>
      </c>
      <c r="L393" t="s">
        <v>222</v>
      </c>
      <c r="M393" t="s">
        <v>225</v>
      </c>
    </row>
    <row r="394" spans="1:13" x14ac:dyDescent="0.25">
      <c r="A394" t="s">
        <v>182</v>
      </c>
      <c r="B394">
        <v>1</v>
      </c>
      <c r="C394">
        <v>1</v>
      </c>
      <c r="D394">
        <v>1</v>
      </c>
      <c r="E394">
        <v>1</v>
      </c>
      <c r="F394">
        <v>0.82711751094396768</v>
      </c>
      <c r="G394">
        <v>0.91075086151906759</v>
      </c>
      <c r="H394">
        <v>0.62655674031724806</v>
      </c>
      <c r="I394">
        <v>0.8308277678052689</v>
      </c>
      <c r="J394" t="s">
        <v>200</v>
      </c>
      <c r="K394" t="s">
        <v>206</v>
      </c>
      <c r="L394" t="s">
        <v>222</v>
      </c>
      <c r="M394" t="s">
        <v>225</v>
      </c>
    </row>
    <row r="395" spans="1:13" x14ac:dyDescent="0.25">
      <c r="A395" t="s">
        <v>183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0.61920055774643568</v>
      </c>
      <c r="H395">
        <v>0.15231862179089495</v>
      </c>
      <c r="I395">
        <v>0.31133194489227645</v>
      </c>
      <c r="J395" t="s">
        <v>200</v>
      </c>
      <c r="K395" t="s">
        <v>207</v>
      </c>
      <c r="L395" t="s">
        <v>222</v>
      </c>
      <c r="M395" t="s">
        <v>225</v>
      </c>
    </row>
    <row r="396" spans="1:13" x14ac:dyDescent="0.25">
      <c r="A396" t="s">
        <v>429</v>
      </c>
      <c r="B396">
        <v>0.71008793497091083</v>
      </c>
      <c r="C396">
        <v>0.39925643184096998</v>
      </c>
      <c r="D396">
        <v>0.22447809308703515</v>
      </c>
      <c r="E396">
        <v>0.26258397247845489</v>
      </c>
      <c r="F396">
        <v>0.10999803149981699</v>
      </c>
      <c r="G396">
        <v>0.2094994467297939</v>
      </c>
      <c r="H396">
        <v>7.3067044257215163E-2</v>
      </c>
      <c r="I396">
        <v>0.73377856015334819</v>
      </c>
      <c r="J396" t="s">
        <v>200</v>
      </c>
      <c r="K396" t="s">
        <v>233</v>
      </c>
      <c r="L396" t="s">
        <v>222</v>
      </c>
      <c r="M396" t="s">
        <v>225</v>
      </c>
    </row>
    <row r="397" spans="1:13" x14ac:dyDescent="0.25">
      <c r="A397" t="s">
        <v>452</v>
      </c>
      <c r="B397">
        <v>0.49533671030825599</v>
      </c>
      <c r="C397">
        <v>6.8373602983460308E-3</v>
      </c>
      <c r="D397">
        <v>2.7026607661503603E-2</v>
      </c>
      <c r="E397">
        <v>5.7371113082195044E-2</v>
      </c>
      <c r="F397">
        <v>8.7862076645390419E-2</v>
      </c>
      <c r="G397">
        <v>0.11214492031708627</v>
      </c>
      <c r="H397">
        <v>0.16722602552893617</v>
      </c>
      <c r="I397">
        <v>0.2394810228595024</v>
      </c>
      <c r="J397" t="s">
        <v>200</v>
      </c>
      <c r="K397" t="s">
        <v>226</v>
      </c>
      <c r="L397" t="s">
        <v>222</v>
      </c>
      <c r="M397" t="s">
        <v>225</v>
      </c>
    </row>
    <row r="398" spans="1:13" x14ac:dyDescent="0.25">
      <c r="A398" t="s">
        <v>184</v>
      </c>
      <c r="J398" t="s">
        <v>200</v>
      </c>
      <c r="K398" t="s">
        <v>202</v>
      </c>
      <c r="L398" t="s">
        <v>223</v>
      </c>
      <c r="M398" t="s">
        <v>225</v>
      </c>
    </row>
    <row r="399" spans="1:13" x14ac:dyDescent="0.25">
      <c r="A399" t="s">
        <v>185</v>
      </c>
      <c r="B399">
        <v>0.96889258767459507</v>
      </c>
      <c r="C399">
        <v>0.37423867056417581</v>
      </c>
      <c r="D399">
        <v>0.79991086300106851</v>
      </c>
      <c r="E399">
        <v>0.44579989443768436</v>
      </c>
      <c r="F399">
        <v>1</v>
      </c>
      <c r="G399">
        <v>1</v>
      </c>
      <c r="H399">
        <v>1</v>
      </c>
      <c r="I399">
        <v>1</v>
      </c>
      <c r="J399" t="s">
        <v>200</v>
      </c>
      <c r="K399" t="s">
        <v>203</v>
      </c>
      <c r="L399" t="s">
        <v>223</v>
      </c>
      <c r="M399" t="s">
        <v>225</v>
      </c>
    </row>
    <row r="400" spans="1:13" x14ac:dyDescent="0.25">
      <c r="A400" t="s">
        <v>186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 t="s">
        <v>200</v>
      </c>
      <c r="K400" t="s">
        <v>204</v>
      </c>
      <c r="L400" t="s">
        <v>223</v>
      </c>
      <c r="M400" t="s">
        <v>225</v>
      </c>
    </row>
    <row r="401" spans="1:13" x14ac:dyDescent="0.25">
      <c r="A401" t="s">
        <v>430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 t="s">
        <v>200</v>
      </c>
      <c r="K401" t="s">
        <v>239</v>
      </c>
      <c r="L401" t="s">
        <v>223</v>
      </c>
      <c r="M401" t="s">
        <v>225</v>
      </c>
    </row>
    <row r="402" spans="1:13" x14ac:dyDescent="0.25">
      <c r="A402" t="s">
        <v>431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0.94488478859725555</v>
      </c>
      <c r="H402">
        <v>0.9323033041791815</v>
      </c>
      <c r="I402">
        <v>0.99083738751615402</v>
      </c>
      <c r="J402" t="s">
        <v>200</v>
      </c>
      <c r="K402" t="s">
        <v>241</v>
      </c>
      <c r="L402" t="s">
        <v>223</v>
      </c>
      <c r="M402" t="s">
        <v>225</v>
      </c>
    </row>
    <row r="403" spans="1:13" x14ac:dyDescent="0.25">
      <c r="A403" t="s">
        <v>187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 t="s">
        <v>200</v>
      </c>
      <c r="K403" t="s">
        <v>206</v>
      </c>
      <c r="L403" t="s">
        <v>223</v>
      </c>
      <c r="M403" t="s">
        <v>225</v>
      </c>
    </row>
    <row r="404" spans="1:13" x14ac:dyDescent="0.25">
      <c r="A404" t="s">
        <v>188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 t="s">
        <v>200</v>
      </c>
      <c r="K404" t="s">
        <v>207</v>
      </c>
      <c r="L404" t="s">
        <v>223</v>
      </c>
      <c r="M404" t="s">
        <v>225</v>
      </c>
    </row>
    <row r="405" spans="1:13" x14ac:dyDescent="0.25">
      <c r="A405" t="s">
        <v>432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 t="s">
        <v>200</v>
      </c>
      <c r="K405" t="s">
        <v>233</v>
      </c>
      <c r="L405" t="s">
        <v>223</v>
      </c>
      <c r="M405" t="s">
        <v>225</v>
      </c>
    </row>
    <row r="406" spans="1:13" x14ac:dyDescent="0.25">
      <c r="A406" t="s">
        <v>453</v>
      </c>
      <c r="B406">
        <v>0.70087195636993815</v>
      </c>
      <c r="C406">
        <v>0.74351817822021449</v>
      </c>
      <c r="D406">
        <v>0.99111642421831903</v>
      </c>
      <c r="E406">
        <v>0.64134927026770594</v>
      </c>
      <c r="F406">
        <v>0.69942063796007869</v>
      </c>
      <c r="G406">
        <v>0.67799205599115631</v>
      </c>
      <c r="H406">
        <v>0.82776670486549375</v>
      </c>
      <c r="I406">
        <v>0.67894249277283225</v>
      </c>
      <c r="J406" t="s">
        <v>200</v>
      </c>
      <c r="K406" t="s">
        <v>226</v>
      </c>
      <c r="L406" t="s">
        <v>223</v>
      </c>
      <c r="M40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README</vt:lpstr>
      <vt:lpstr>rmsfe</vt:lpstr>
      <vt:lpstr>rmsfe_Pivot_T1</vt:lpstr>
      <vt:lpstr>rmsfe_Pivot_T4</vt:lpstr>
      <vt:lpstr>rmsfe_Pivot_T8</vt:lpstr>
      <vt:lpstr>T4</vt:lpstr>
      <vt:lpstr>T8</vt:lpstr>
      <vt:lpstr>T1</vt:lpstr>
      <vt:lpstr>pvalR</vt:lpstr>
      <vt:lpstr>pvalL</vt:lpstr>
      <vt:lpstr>min_rmsfe</vt:lpstr>
      <vt:lpstr>Names</vt:lpstr>
      <vt:lpstr>pvalR_true_false10</vt:lpstr>
      <vt:lpstr>pvalR_true_false05</vt:lpstr>
      <vt:lpstr>pvalL_true_false10</vt:lpstr>
      <vt:lpstr>pvalL_true_false05</vt:lpstr>
      <vt:lpstr>pvalLR_true_false10</vt:lpstr>
      <vt:lpstr>pvalLR_true_false05</vt:lpstr>
      <vt:lpstr>pvalLR</vt:lpstr>
      <vt:lpstr>modelNames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Blagov, Boris</cp:lastModifiedBy>
  <cp:lastPrinted>2025-10-27T14:56:13Z</cp:lastPrinted>
  <dcterms:created xsi:type="dcterms:W3CDTF">2024-11-14T13:58:45Z</dcterms:created>
  <dcterms:modified xsi:type="dcterms:W3CDTF">2026-03-24T15:19:45Z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2024-10-22T10:21:06Z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9cb3508e-eb2c-4a42-9daf-7db64a845982</vt:lpwstr>
  </property>
  <property fmtid="{D5CDD505-2E9C-101B-9397-08002B2CF9AE}" pid="8" name="MSIP_Label_3854b9cd-2ce7-4de9-b239-edf358d6fc2e_ContentBits">
    <vt:lpwstr>0</vt:lpwstr>
  </property>
</Properties>
</file>